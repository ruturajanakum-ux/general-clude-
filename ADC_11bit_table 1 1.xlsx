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6568D364D4A17F1EC82D4DFA835DABFF7AF5988B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ADC_Table" sheetId="1" r:id="rId1"/>
  </sheets>
  <definedNames>
    <definedName name="_xlnm._FilterDatabase" localSheetId="0" hidden="1">ADC_Table!$A$9:$H$2410</definedName>
  </definedName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410" i="1" l="1"/>
  <c r="G2410" i="1"/>
  <c r="F2410" i="1"/>
  <c r="E2410" i="1"/>
  <c r="D2410" i="1"/>
  <c r="C2410" i="1"/>
  <c r="B2410" i="1"/>
  <c r="H2409" i="1"/>
  <c r="G2409" i="1"/>
  <c r="F2409" i="1"/>
  <c r="E2409" i="1"/>
  <c r="D2409" i="1"/>
  <c r="C2409" i="1"/>
  <c r="B2409" i="1"/>
  <c r="H2408" i="1"/>
  <c r="G2408" i="1"/>
  <c r="F2408" i="1"/>
  <c r="E2408" i="1"/>
  <c r="D2408" i="1"/>
  <c r="C2408" i="1"/>
  <c r="B2408" i="1"/>
  <c r="H2407" i="1"/>
  <c r="G2407" i="1"/>
  <c r="F2407" i="1"/>
  <c r="E2407" i="1"/>
  <c r="D2407" i="1"/>
  <c r="C2407" i="1"/>
  <c r="B2407" i="1"/>
  <c r="H2406" i="1"/>
  <c r="G2406" i="1"/>
  <c r="F2406" i="1"/>
  <c r="E2406" i="1"/>
  <c r="D2406" i="1"/>
  <c r="C2406" i="1"/>
  <c r="B2406" i="1"/>
  <c r="H2405" i="1"/>
  <c r="G2405" i="1"/>
  <c r="F2405" i="1"/>
  <c r="E2405" i="1"/>
  <c r="D2405" i="1"/>
  <c r="C2405" i="1"/>
  <c r="B2405" i="1"/>
  <c r="H2404" i="1"/>
  <c r="G2404" i="1"/>
  <c r="F2404" i="1"/>
  <c r="E2404" i="1"/>
  <c r="D2404" i="1"/>
  <c r="C2404" i="1"/>
  <c r="B2404" i="1"/>
  <c r="H2403" i="1"/>
  <c r="G2403" i="1"/>
  <c r="F2403" i="1"/>
  <c r="E2403" i="1"/>
  <c r="D2403" i="1"/>
  <c r="C2403" i="1"/>
  <c r="B2403" i="1"/>
  <c r="H2402" i="1"/>
  <c r="G2402" i="1"/>
  <c r="F2402" i="1"/>
  <c r="E2402" i="1"/>
  <c r="D2402" i="1"/>
  <c r="C2402" i="1"/>
  <c r="B2402" i="1"/>
  <c r="H2401" i="1"/>
  <c r="G2401" i="1"/>
  <c r="F2401" i="1"/>
  <c r="E2401" i="1"/>
  <c r="D2401" i="1"/>
  <c r="C2401" i="1"/>
  <c r="B2401" i="1"/>
  <c r="H2400" i="1"/>
  <c r="G2400" i="1"/>
  <c r="F2400" i="1"/>
  <c r="E2400" i="1"/>
  <c r="D2400" i="1"/>
  <c r="C2400" i="1"/>
  <c r="B2400" i="1"/>
  <c r="H2399" i="1"/>
  <c r="G2399" i="1"/>
  <c r="F2399" i="1"/>
  <c r="E2399" i="1"/>
  <c r="D2399" i="1"/>
  <c r="C2399" i="1"/>
  <c r="B2399" i="1"/>
  <c r="H2398" i="1"/>
  <c r="G2398" i="1"/>
  <c r="F2398" i="1"/>
  <c r="E2398" i="1"/>
  <c r="D2398" i="1"/>
  <c r="C2398" i="1"/>
  <c r="B2398" i="1"/>
  <c r="H2397" i="1"/>
  <c r="G2397" i="1"/>
  <c r="F2397" i="1"/>
  <c r="E2397" i="1"/>
  <c r="D2397" i="1"/>
  <c r="C2397" i="1"/>
  <c r="B2397" i="1"/>
  <c r="H2396" i="1"/>
  <c r="G2396" i="1"/>
  <c r="F2396" i="1"/>
  <c r="E2396" i="1"/>
  <c r="D2396" i="1"/>
  <c r="C2396" i="1"/>
  <c r="B2396" i="1"/>
  <c r="H2395" i="1"/>
  <c r="G2395" i="1"/>
  <c r="F2395" i="1"/>
  <c r="E2395" i="1"/>
  <c r="D2395" i="1"/>
  <c r="C2395" i="1"/>
  <c r="B2395" i="1"/>
  <c r="H2394" i="1"/>
  <c r="G2394" i="1"/>
  <c r="F2394" i="1"/>
  <c r="E2394" i="1"/>
  <c r="D2394" i="1"/>
  <c r="C2394" i="1"/>
  <c r="B2394" i="1"/>
  <c r="H2393" i="1"/>
  <c r="G2393" i="1"/>
  <c r="F2393" i="1"/>
  <c r="E2393" i="1"/>
  <c r="D2393" i="1"/>
  <c r="C2393" i="1"/>
  <c r="B2393" i="1"/>
  <c r="H2392" i="1"/>
  <c r="G2392" i="1"/>
  <c r="F2392" i="1"/>
  <c r="E2392" i="1"/>
  <c r="D2392" i="1"/>
  <c r="C2392" i="1"/>
  <c r="B2392" i="1"/>
  <c r="H2391" i="1"/>
  <c r="G2391" i="1"/>
  <c r="F2391" i="1"/>
  <c r="E2391" i="1"/>
  <c r="D2391" i="1"/>
  <c r="C2391" i="1"/>
  <c r="B2391" i="1"/>
  <c r="H2390" i="1"/>
  <c r="G2390" i="1"/>
  <c r="F2390" i="1"/>
  <c r="E2390" i="1"/>
  <c r="D2390" i="1"/>
  <c r="C2390" i="1"/>
  <c r="B2390" i="1"/>
  <c r="H2389" i="1"/>
  <c r="G2389" i="1"/>
  <c r="F2389" i="1"/>
  <c r="E2389" i="1"/>
  <c r="D2389" i="1"/>
  <c r="C2389" i="1"/>
  <c r="B2389" i="1"/>
  <c r="H2388" i="1"/>
  <c r="G2388" i="1"/>
  <c r="F2388" i="1"/>
  <c r="E2388" i="1"/>
  <c r="D2388" i="1"/>
  <c r="C2388" i="1"/>
  <c r="B2388" i="1"/>
  <c r="H2387" i="1"/>
  <c r="G2387" i="1"/>
  <c r="F2387" i="1"/>
  <c r="E2387" i="1"/>
  <c r="D2387" i="1"/>
  <c r="C2387" i="1"/>
  <c r="B2387" i="1"/>
  <c r="H2386" i="1"/>
  <c r="G2386" i="1"/>
  <c r="F2386" i="1"/>
  <c r="E2386" i="1"/>
  <c r="D2386" i="1"/>
  <c r="C2386" i="1"/>
  <c r="B2386" i="1"/>
  <c r="H2385" i="1"/>
  <c r="G2385" i="1"/>
  <c r="F2385" i="1"/>
  <c r="E2385" i="1"/>
  <c r="D2385" i="1"/>
  <c r="C2385" i="1"/>
  <c r="B2385" i="1"/>
  <c r="H2384" i="1"/>
  <c r="G2384" i="1"/>
  <c r="F2384" i="1"/>
  <c r="E2384" i="1"/>
  <c r="D2384" i="1"/>
  <c r="C2384" i="1"/>
  <c r="B2384" i="1"/>
  <c r="H2383" i="1"/>
  <c r="G2383" i="1"/>
  <c r="F2383" i="1"/>
  <c r="E2383" i="1"/>
  <c r="D2383" i="1"/>
  <c r="C2383" i="1"/>
  <c r="B2383" i="1"/>
  <c r="H2382" i="1"/>
  <c r="G2382" i="1"/>
  <c r="F2382" i="1"/>
  <c r="E2382" i="1"/>
  <c r="D2382" i="1"/>
  <c r="C2382" i="1"/>
  <c r="B2382" i="1"/>
  <c r="H2381" i="1"/>
  <c r="G2381" i="1"/>
  <c r="F2381" i="1"/>
  <c r="E2381" i="1"/>
  <c r="D2381" i="1"/>
  <c r="C2381" i="1"/>
  <c r="B2381" i="1"/>
  <c r="H2380" i="1"/>
  <c r="G2380" i="1"/>
  <c r="F2380" i="1"/>
  <c r="E2380" i="1"/>
  <c r="D2380" i="1"/>
  <c r="C2380" i="1"/>
  <c r="B2380" i="1"/>
  <c r="H2379" i="1"/>
  <c r="G2379" i="1"/>
  <c r="F2379" i="1"/>
  <c r="E2379" i="1"/>
  <c r="D2379" i="1"/>
  <c r="C2379" i="1"/>
  <c r="B2379" i="1"/>
  <c r="H2378" i="1"/>
  <c r="G2378" i="1"/>
  <c r="F2378" i="1"/>
  <c r="E2378" i="1"/>
  <c r="D2378" i="1"/>
  <c r="C2378" i="1"/>
  <c r="B2378" i="1"/>
  <c r="H2377" i="1"/>
  <c r="G2377" i="1"/>
  <c r="F2377" i="1"/>
  <c r="E2377" i="1"/>
  <c r="D2377" i="1"/>
  <c r="C2377" i="1"/>
  <c r="B2377" i="1"/>
  <c r="H2376" i="1"/>
  <c r="G2376" i="1"/>
  <c r="F2376" i="1"/>
  <c r="E2376" i="1"/>
  <c r="D2376" i="1"/>
  <c r="C2376" i="1"/>
  <c r="B2376" i="1"/>
  <c r="H2375" i="1"/>
  <c r="G2375" i="1"/>
  <c r="F2375" i="1"/>
  <c r="E2375" i="1"/>
  <c r="D2375" i="1"/>
  <c r="C2375" i="1"/>
  <c r="B2375" i="1"/>
  <c r="H2374" i="1"/>
  <c r="G2374" i="1"/>
  <c r="F2374" i="1"/>
  <c r="E2374" i="1"/>
  <c r="D2374" i="1"/>
  <c r="C2374" i="1"/>
  <c r="B2374" i="1"/>
  <c r="H2373" i="1"/>
  <c r="G2373" i="1"/>
  <c r="F2373" i="1"/>
  <c r="E2373" i="1"/>
  <c r="D2373" i="1"/>
  <c r="C2373" i="1"/>
  <c r="B2373" i="1"/>
  <c r="H2372" i="1"/>
  <c r="G2372" i="1"/>
  <c r="F2372" i="1"/>
  <c r="E2372" i="1"/>
  <c r="D2372" i="1"/>
  <c r="C2372" i="1"/>
  <c r="B2372" i="1"/>
  <c r="H2371" i="1"/>
  <c r="G2371" i="1"/>
  <c r="F2371" i="1"/>
  <c r="E2371" i="1"/>
  <c r="D2371" i="1"/>
  <c r="C2371" i="1"/>
  <c r="B2371" i="1"/>
  <c r="H2370" i="1"/>
  <c r="G2370" i="1"/>
  <c r="F2370" i="1"/>
  <c r="E2370" i="1"/>
  <c r="D2370" i="1"/>
  <c r="C2370" i="1"/>
  <c r="B2370" i="1"/>
  <c r="H2369" i="1"/>
  <c r="G2369" i="1"/>
  <c r="F2369" i="1"/>
  <c r="E2369" i="1"/>
  <c r="D2369" i="1"/>
  <c r="C2369" i="1"/>
  <c r="B2369" i="1"/>
  <c r="H2368" i="1"/>
  <c r="G2368" i="1"/>
  <c r="F2368" i="1"/>
  <c r="E2368" i="1"/>
  <c r="D2368" i="1"/>
  <c r="C2368" i="1"/>
  <c r="B2368" i="1"/>
  <c r="H2367" i="1"/>
  <c r="G2367" i="1"/>
  <c r="F2367" i="1"/>
  <c r="E2367" i="1"/>
  <c r="D2367" i="1"/>
  <c r="C2367" i="1"/>
  <c r="B2367" i="1"/>
  <c r="H2366" i="1"/>
  <c r="G2366" i="1"/>
  <c r="F2366" i="1"/>
  <c r="E2366" i="1"/>
  <c r="D2366" i="1"/>
  <c r="C2366" i="1"/>
  <c r="B2366" i="1"/>
  <c r="H2365" i="1"/>
  <c r="G2365" i="1"/>
  <c r="F2365" i="1"/>
  <c r="E2365" i="1"/>
  <c r="D2365" i="1"/>
  <c r="C2365" i="1"/>
  <c r="B2365" i="1"/>
  <c r="H2364" i="1"/>
  <c r="G2364" i="1"/>
  <c r="F2364" i="1"/>
  <c r="E2364" i="1"/>
  <c r="D2364" i="1"/>
  <c r="C2364" i="1"/>
  <c r="B2364" i="1"/>
  <c r="H2363" i="1"/>
  <c r="G2363" i="1"/>
  <c r="F2363" i="1"/>
  <c r="E2363" i="1"/>
  <c r="D2363" i="1"/>
  <c r="C2363" i="1"/>
  <c r="B2363" i="1"/>
  <c r="H2362" i="1"/>
  <c r="G2362" i="1"/>
  <c r="F2362" i="1"/>
  <c r="E2362" i="1"/>
  <c r="D2362" i="1"/>
  <c r="C2362" i="1"/>
  <c r="B2362" i="1"/>
  <c r="H2361" i="1"/>
  <c r="G2361" i="1"/>
  <c r="F2361" i="1"/>
  <c r="E2361" i="1"/>
  <c r="D2361" i="1"/>
  <c r="C2361" i="1"/>
  <c r="B2361" i="1"/>
  <c r="H2360" i="1"/>
  <c r="G2360" i="1"/>
  <c r="F2360" i="1"/>
  <c r="E2360" i="1"/>
  <c r="D2360" i="1"/>
  <c r="C2360" i="1"/>
  <c r="B2360" i="1"/>
  <c r="H2359" i="1"/>
  <c r="G2359" i="1"/>
  <c r="F2359" i="1"/>
  <c r="E2359" i="1"/>
  <c r="D2359" i="1"/>
  <c r="C2359" i="1"/>
  <c r="B2359" i="1"/>
  <c r="H2358" i="1"/>
  <c r="G2358" i="1"/>
  <c r="F2358" i="1"/>
  <c r="E2358" i="1"/>
  <c r="D2358" i="1"/>
  <c r="C2358" i="1"/>
  <c r="B2358" i="1"/>
  <c r="H2357" i="1"/>
  <c r="G2357" i="1"/>
  <c r="F2357" i="1"/>
  <c r="E2357" i="1"/>
  <c r="D2357" i="1"/>
  <c r="C2357" i="1"/>
  <c r="B2357" i="1"/>
  <c r="H2356" i="1"/>
  <c r="G2356" i="1"/>
  <c r="F2356" i="1"/>
  <c r="E2356" i="1"/>
  <c r="D2356" i="1"/>
  <c r="C2356" i="1"/>
  <c r="B2356" i="1"/>
  <c r="H2355" i="1"/>
  <c r="G2355" i="1"/>
  <c r="F2355" i="1"/>
  <c r="E2355" i="1"/>
  <c r="D2355" i="1"/>
  <c r="C2355" i="1"/>
  <c r="B2355" i="1"/>
  <c r="H2354" i="1"/>
  <c r="G2354" i="1"/>
  <c r="F2354" i="1"/>
  <c r="E2354" i="1"/>
  <c r="D2354" i="1"/>
  <c r="C2354" i="1"/>
  <c r="B2354" i="1"/>
  <c r="H2353" i="1"/>
  <c r="G2353" i="1"/>
  <c r="F2353" i="1"/>
  <c r="E2353" i="1"/>
  <c r="D2353" i="1"/>
  <c r="C2353" i="1"/>
  <c r="B2353" i="1"/>
  <c r="H2352" i="1"/>
  <c r="G2352" i="1"/>
  <c r="F2352" i="1"/>
  <c r="E2352" i="1"/>
  <c r="D2352" i="1"/>
  <c r="C2352" i="1"/>
  <c r="B2352" i="1"/>
  <c r="H2351" i="1"/>
  <c r="G2351" i="1"/>
  <c r="F2351" i="1"/>
  <c r="E2351" i="1"/>
  <c r="D2351" i="1"/>
  <c r="C2351" i="1"/>
  <c r="B2351" i="1"/>
  <c r="H2350" i="1"/>
  <c r="G2350" i="1"/>
  <c r="F2350" i="1"/>
  <c r="E2350" i="1"/>
  <c r="D2350" i="1"/>
  <c r="C2350" i="1"/>
  <c r="B2350" i="1"/>
  <c r="H2349" i="1"/>
  <c r="G2349" i="1"/>
  <c r="F2349" i="1"/>
  <c r="E2349" i="1"/>
  <c r="D2349" i="1"/>
  <c r="C2349" i="1"/>
  <c r="B2349" i="1"/>
  <c r="H2348" i="1"/>
  <c r="G2348" i="1"/>
  <c r="F2348" i="1"/>
  <c r="E2348" i="1"/>
  <c r="D2348" i="1"/>
  <c r="C2348" i="1"/>
  <c r="B2348" i="1"/>
  <c r="H2347" i="1"/>
  <c r="G2347" i="1"/>
  <c r="F2347" i="1"/>
  <c r="E2347" i="1"/>
  <c r="D2347" i="1"/>
  <c r="C2347" i="1"/>
  <c r="B2347" i="1"/>
  <c r="H2346" i="1"/>
  <c r="G2346" i="1"/>
  <c r="F2346" i="1"/>
  <c r="E2346" i="1"/>
  <c r="D2346" i="1"/>
  <c r="C2346" i="1"/>
  <c r="B2346" i="1"/>
  <c r="H2345" i="1"/>
  <c r="G2345" i="1"/>
  <c r="F2345" i="1"/>
  <c r="E2345" i="1"/>
  <c r="D2345" i="1"/>
  <c r="C2345" i="1"/>
  <c r="B2345" i="1"/>
  <c r="H2344" i="1"/>
  <c r="G2344" i="1"/>
  <c r="F2344" i="1"/>
  <c r="E2344" i="1"/>
  <c r="D2344" i="1"/>
  <c r="C2344" i="1"/>
  <c r="B2344" i="1"/>
  <c r="H2343" i="1"/>
  <c r="G2343" i="1"/>
  <c r="F2343" i="1"/>
  <c r="E2343" i="1"/>
  <c r="D2343" i="1"/>
  <c r="C2343" i="1"/>
  <c r="B2343" i="1"/>
  <c r="H2342" i="1"/>
  <c r="G2342" i="1"/>
  <c r="F2342" i="1"/>
  <c r="E2342" i="1"/>
  <c r="D2342" i="1"/>
  <c r="C2342" i="1"/>
  <c r="B2342" i="1"/>
  <c r="H2341" i="1"/>
  <c r="G2341" i="1"/>
  <c r="F2341" i="1"/>
  <c r="E2341" i="1"/>
  <c r="D2341" i="1"/>
  <c r="C2341" i="1"/>
  <c r="B2341" i="1"/>
  <c r="H2340" i="1"/>
  <c r="G2340" i="1"/>
  <c r="F2340" i="1"/>
  <c r="E2340" i="1"/>
  <c r="D2340" i="1"/>
  <c r="C2340" i="1"/>
  <c r="B2340" i="1"/>
  <c r="H2339" i="1"/>
  <c r="G2339" i="1"/>
  <c r="F2339" i="1"/>
  <c r="E2339" i="1"/>
  <c r="D2339" i="1"/>
  <c r="C2339" i="1"/>
  <c r="B2339" i="1"/>
  <c r="H2338" i="1"/>
  <c r="G2338" i="1"/>
  <c r="F2338" i="1"/>
  <c r="E2338" i="1"/>
  <c r="D2338" i="1"/>
  <c r="C2338" i="1"/>
  <c r="B2338" i="1"/>
  <c r="H2337" i="1"/>
  <c r="G2337" i="1"/>
  <c r="F2337" i="1"/>
  <c r="E2337" i="1"/>
  <c r="D2337" i="1"/>
  <c r="C2337" i="1"/>
  <c r="B2337" i="1"/>
  <c r="H2336" i="1"/>
  <c r="G2336" i="1"/>
  <c r="F2336" i="1"/>
  <c r="E2336" i="1"/>
  <c r="D2336" i="1"/>
  <c r="C2336" i="1"/>
  <c r="B2336" i="1"/>
  <c r="H2335" i="1"/>
  <c r="G2335" i="1"/>
  <c r="F2335" i="1"/>
  <c r="E2335" i="1"/>
  <c r="D2335" i="1"/>
  <c r="C2335" i="1"/>
  <c r="B2335" i="1"/>
  <c r="H2334" i="1"/>
  <c r="G2334" i="1"/>
  <c r="F2334" i="1"/>
  <c r="E2334" i="1"/>
  <c r="D2334" i="1"/>
  <c r="C2334" i="1"/>
  <c r="B2334" i="1"/>
  <c r="H2333" i="1"/>
  <c r="G2333" i="1"/>
  <c r="F2333" i="1"/>
  <c r="E2333" i="1"/>
  <c r="D2333" i="1"/>
  <c r="C2333" i="1"/>
  <c r="B2333" i="1"/>
  <c r="H2332" i="1"/>
  <c r="G2332" i="1"/>
  <c r="F2332" i="1"/>
  <c r="E2332" i="1"/>
  <c r="D2332" i="1"/>
  <c r="C2332" i="1"/>
  <c r="B2332" i="1"/>
  <c r="H2331" i="1"/>
  <c r="G2331" i="1"/>
  <c r="F2331" i="1"/>
  <c r="E2331" i="1"/>
  <c r="D2331" i="1"/>
  <c r="C2331" i="1"/>
  <c r="B2331" i="1"/>
  <c r="H2330" i="1"/>
  <c r="G2330" i="1"/>
  <c r="F2330" i="1"/>
  <c r="E2330" i="1"/>
  <c r="D2330" i="1"/>
  <c r="C2330" i="1"/>
  <c r="B2330" i="1"/>
  <c r="H2329" i="1"/>
  <c r="G2329" i="1"/>
  <c r="F2329" i="1"/>
  <c r="E2329" i="1"/>
  <c r="D2329" i="1"/>
  <c r="C2329" i="1"/>
  <c r="B2329" i="1"/>
  <c r="H2328" i="1"/>
  <c r="G2328" i="1"/>
  <c r="F2328" i="1"/>
  <c r="E2328" i="1"/>
  <c r="D2328" i="1"/>
  <c r="C2328" i="1"/>
  <c r="B2328" i="1"/>
  <c r="H2327" i="1"/>
  <c r="G2327" i="1"/>
  <c r="F2327" i="1"/>
  <c r="E2327" i="1"/>
  <c r="D2327" i="1"/>
  <c r="C2327" i="1"/>
  <c r="B2327" i="1"/>
  <c r="H2326" i="1"/>
  <c r="G2326" i="1"/>
  <c r="F2326" i="1"/>
  <c r="E2326" i="1"/>
  <c r="D2326" i="1"/>
  <c r="C2326" i="1"/>
  <c r="B2326" i="1"/>
  <c r="H2325" i="1"/>
  <c r="G2325" i="1"/>
  <c r="F2325" i="1"/>
  <c r="E2325" i="1"/>
  <c r="D2325" i="1"/>
  <c r="C2325" i="1"/>
  <c r="B2325" i="1"/>
  <c r="H2324" i="1"/>
  <c r="G2324" i="1"/>
  <c r="F2324" i="1"/>
  <c r="E2324" i="1"/>
  <c r="D2324" i="1"/>
  <c r="C2324" i="1"/>
  <c r="B2324" i="1"/>
  <c r="H2323" i="1"/>
  <c r="G2323" i="1"/>
  <c r="F2323" i="1"/>
  <c r="E2323" i="1"/>
  <c r="D2323" i="1"/>
  <c r="C2323" i="1"/>
  <c r="B2323" i="1"/>
  <c r="H2322" i="1"/>
  <c r="G2322" i="1"/>
  <c r="F2322" i="1"/>
  <c r="E2322" i="1"/>
  <c r="D2322" i="1"/>
  <c r="C2322" i="1"/>
  <c r="B2322" i="1"/>
  <c r="H2321" i="1"/>
  <c r="G2321" i="1"/>
  <c r="F2321" i="1"/>
  <c r="E2321" i="1"/>
  <c r="D2321" i="1"/>
  <c r="C2321" i="1"/>
  <c r="B2321" i="1"/>
  <c r="H2320" i="1"/>
  <c r="G2320" i="1"/>
  <c r="F2320" i="1"/>
  <c r="E2320" i="1"/>
  <c r="D2320" i="1"/>
  <c r="C2320" i="1"/>
  <c r="B2320" i="1"/>
  <c r="H2319" i="1"/>
  <c r="G2319" i="1"/>
  <c r="F2319" i="1"/>
  <c r="E2319" i="1"/>
  <c r="D2319" i="1"/>
  <c r="C2319" i="1"/>
  <c r="B2319" i="1"/>
  <c r="H2318" i="1"/>
  <c r="G2318" i="1"/>
  <c r="F2318" i="1"/>
  <c r="E2318" i="1"/>
  <c r="D2318" i="1"/>
  <c r="C2318" i="1"/>
  <c r="B2318" i="1"/>
  <c r="H2317" i="1"/>
  <c r="G2317" i="1"/>
  <c r="F2317" i="1"/>
  <c r="E2317" i="1"/>
  <c r="D2317" i="1"/>
  <c r="C2317" i="1"/>
  <c r="B2317" i="1"/>
  <c r="H2316" i="1"/>
  <c r="G2316" i="1"/>
  <c r="F2316" i="1"/>
  <c r="E2316" i="1"/>
  <c r="D2316" i="1"/>
  <c r="C2316" i="1"/>
  <c r="B2316" i="1"/>
  <c r="H2315" i="1"/>
  <c r="G2315" i="1"/>
  <c r="F2315" i="1"/>
  <c r="E2315" i="1"/>
  <c r="D2315" i="1"/>
  <c r="C2315" i="1"/>
  <c r="B2315" i="1"/>
  <c r="H2314" i="1"/>
  <c r="G2314" i="1"/>
  <c r="F2314" i="1"/>
  <c r="E2314" i="1"/>
  <c r="D2314" i="1"/>
  <c r="C2314" i="1"/>
  <c r="B2314" i="1"/>
  <c r="H2313" i="1"/>
  <c r="G2313" i="1"/>
  <c r="F2313" i="1"/>
  <c r="E2313" i="1"/>
  <c r="D2313" i="1"/>
  <c r="C2313" i="1"/>
  <c r="B2313" i="1"/>
  <c r="H2312" i="1"/>
  <c r="G2312" i="1"/>
  <c r="F2312" i="1"/>
  <c r="E2312" i="1"/>
  <c r="D2312" i="1"/>
  <c r="C2312" i="1"/>
  <c r="B2312" i="1"/>
  <c r="H2311" i="1"/>
  <c r="G2311" i="1"/>
  <c r="F2311" i="1"/>
  <c r="E2311" i="1"/>
  <c r="D2311" i="1"/>
  <c r="C2311" i="1"/>
  <c r="B2311" i="1"/>
  <c r="H2310" i="1"/>
  <c r="G2310" i="1"/>
  <c r="F2310" i="1"/>
  <c r="E2310" i="1"/>
  <c r="D2310" i="1"/>
  <c r="C2310" i="1"/>
  <c r="B2310" i="1"/>
  <c r="H2309" i="1"/>
  <c r="G2309" i="1"/>
  <c r="F2309" i="1"/>
  <c r="E2309" i="1"/>
  <c r="D2309" i="1"/>
  <c r="C2309" i="1"/>
  <c r="B2309" i="1"/>
  <c r="H2308" i="1"/>
  <c r="G2308" i="1"/>
  <c r="F2308" i="1"/>
  <c r="E2308" i="1"/>
  <c r="D2308" i="1"/>
  <c r="C2308" i="1"/>
  <c r="B2308" i="1"/>
  <c r="H2307" i="1"/>
  <c r="G2307" i="1"/>
  <c r="F2307" i="1"/>
  <c r="E2307" i="1"/>
  <c r="D2307" i="1"/>
  <c r="C2307" i="1"/>
  <c r="B2307" i="1"/>
  <c r="H2306" i="1"/>
  <c r="G2306" i="1"/>
  <c r="F2306" i="1"/>
  <c r="E2306" i="1"/>
  <c r="D2306" i="1"/>
  <c r="C2306" i="1"/>
  <c r="B2306" i="1"/>
  <c r="H2305" i="1"/>
  <c r="G2305" i="1"/>
  <c r="F2305" i="1"/>
  <c r="E2305" i="1"/>
  <c r="D2305" i="1"/>
  <c r="C2305" i="1"/>
  <c r="B2305" i="1"/>
  <c r="H2304" i="1"/>
  <c r="G2304" i="1"/>
  <c r="F2304" i="1"/>
  <c r="E2304" i="1"/>
  <c r="D2304" i="1"/>
  <c r="C2304" i="1"/>
  <c r="B2304" i="1"/>
  <c r="H2303" i="1"/>
  <c r="G2303" i="1"/>
  <c r="F2303" i="1"/>
  <c r="E2303" i="1"/>
  <c r="D2303" i="1"/>
  <c r="C2303" i="1"/>
  <c r="B2303" i="1"/>
  <c r="H2302" i="1"/>
  <c r="G2302" i="1"/>
  <c r="F2302" i="1"/>
  <c r="E2302" i="1"/>
  <c r="D2302" i="1"/>
  <c r="C2302" i="1"/>
  <c r="B2302" i="1"/>
  <c r="H2301" i="1"/>
  <c r="G2301" i="1"/>
  <c r="F2301" i="1"/>
  <c r="E2301" i="1"/>
  <c r="D2301" i="1"/>
  <c r="C2301" i="1"/>
  <c r="B2301" i="1"/>
  <c r="H2300" i="1"/>
  <c r="G2300" i="1"/>
  <c r="F2300" i="1"/>
  <c r="E2300" i="1"/>
  <c r="D2300" i="1"/>
  <c r="C2300" i="1"/>
  <c r="B2300" i="1"/>
  <c r="H2299" i="1"/>
  <c r="G2299" i="1"/>
  <c r="F2299" i="1"/>
  <c r="E2299" i="1"/>
  <c r="D2299" i="1"/>
  <c r="C2299" i="1"/>
  <c r="B2299" i="1"/>
  <c r="H2298" i="1"/>
  <c r="G2298" i="1"/>
  <c r="F2298" i="1"/>
  <c r="E2298" i="1"/>
  <c r="D2298" i="1"/>
  <c r="C2298" i="1"/>
  <c r="B2298" i="1"/>
  <c r="H2297" i="1"/>
  <c r="G2297" i="1"/>
  <c r="F2297" i="1"/>
  <c r="E2297" i="1"/>
  <c r="D2297" i="1"/>
  <c r="C2297" i="1"/>
  <c r="B2297" i="1"/>
  <c r="H2296" i="1"/>
  <c r="G2296" i="1"/>
  <c r="F2296" i="1"/>
  <c r="E2296" i="1"/>
  <c r="D2296" i="1"/>
  <c r="C2296" i="1"/>
  <c r="B2296" i="1"/>
  <c r="H2295" i="1"/>
  <c r="G2295" i="1"/>
  <c r="F2295" i="1"/>
  <c r="E2295" i="1"/>
  <c r="D2295" i="1"/>
  <c r="C2295" i="1"/>
  <c r="B2295" i="1"/>
  <c r="H2294" i="1"/>
  <c r="G2294" i="1"/>
  <c r="F2294" i="1"/>
  <c r="E2294" i="1"/>
  <c r="D2294" i="1"/>
  <c r="C2294" i="1"/>
  <c r="B2294" i="1"/>
  <c r="H2293" i="1"/>
  <c r="G2293" i="1"/>
  <c r="F2293" i="1"/>
  <c r="E2293" i="1"/>
  <c r="D2293" i="1"/>
  <c r="C2293" i="1"/>
  <c r="B2293" i="1"/>
  <c r="H2292" i="1"/>
  <c r="G2292" i="1"/>
  <c r="F2292" i="1"/>
  <c r="E2292" i="1"/>
  <c r="D2292" i="1"/>
  <c r="C2292" i="1"/>
  <c r="B2292" i="1"/>
  <c r="H2291" i="1"/>
  <c r="G2291" i="1"/>
  <c r="F2291" i="1"/>
  <c r="E2291" i="1"/>
  <c r="D2291" i="1"/>
  <c r="C2291" i="1"/>
  <c r="B2291" i="1"/>
  <c r="H2290" i="1"/>
  <c r="G2290" i="1"/>
  <c r="F2290" i="1"/>
  <c r="E2290" i="1"/>
  <c r="D2290" i="1"/>
  <c r="C2290" i="1"/>
  <c r="B2290" i="1"/>
  <c r="H2289" i="1"/>
  <c r="G2289" i="1"/>
  <c r="F2289" i="1"/>
  <c r="E2289" i="1"/>
  <c r="D2289" i="1"/>
  <c r="C2289" i="1"/>
  <c r="B2289" i="1"/>
  <c r="H2288" i="1"/>
  <c r="G2288" i="1"/>
  <c r="F2288" i="1"/>
  <c r="E2288" i="1"/>
  <c r="D2288" i="1"/>
  <c r="C2288" i="1"/>
  <c r="B2288" i="1"/>
  <c r="H2287" i="1"/>
  <c r="G2287" i="1"/>
  <c r="F2287" i="1"/>
  <c r="E2287" i="1"/>
  <c r="D2287" i="1"/>
  <c r="C2287" i="1"/>
  <c r="B2287" i="1"/>
  <c r="H2286" i="1"/>
  <c r="G2286" i="1"/>
  <c r="F2286" i="1"/>
  <c r="E2286" i="1"/>
  <c r="D2286" i="1"/>
  <c r="C2286" i="1"/>
  <c r="B2286" i="1"/>
  <c r="H2285" i="1"/>
  <c r="G2285" i="1"/>
  <c r="F2285" i="1"/>
  <c r="E2285" i="1"/>
  <c r="D2285" i="1"/>
  <c r="C2285" i="1"/>
  <c r="B2285" i="1"/>
  <c r="H2284" i="1"/>
  <c r="G2284" i="1"/>
  <c r="F2284" i="1"/>
  <c r="E2284" i="1"/>
  <c r="D2284" i="1"/>
  <c r="C2284" i="1"/>
  <c r="B2284" i="1"/>
  <c r="H2283" i="1"/>
  <c r="G2283" i="1"/>
  <c r="F2283" i="1"/>
  <c r="E2283" i="1"/>
  <c r="D2283" i="1"/>
  <c r="C2283" i="1"/>
  <c r="B2283" i="1"/>
  <c r="H2282" i="1"/>
  <c r="G2282" i="1"/>
  <c r="F2282" i="1"/>
  <c r="E2282" i="1"/>
  <c r="D2282" i="1"/>
  <c r="C2282" i="1"/>
  <c r="B2282" i="1"/>
  <c r="H2281" i="1"/>
  <c r="G2281" i="1"/>
  <c r="F2281" i="1"/>
  <c r="E2281" i="1"/>
  <c r="D2281" i="1"/>
  <c r="C2281" i="1"/>
  <c r="B2281" i="1"/>
  <c r="H2280" i="1"/>
  <c r="G2280" i="1"/>
  <c r="F2280" i="1"/>
  <c r="E2280" i="1"/>
  <c r="D2280" i="1"/>
  <c r="C2280" i="1"/>
  <c r="B2280" i="1"/>
  <c r="H2279" i="1"/>
  <c r="G2279" i="1"/>
  <c r="F2279" i="1"/>
  <c r="E2279" i="1"/>
  <c r="D2279" i="1"/>
  <c r="C2279" i="1"/>
  <c r="B2279" i="1"/>
  <c r="H2278" i="1"/>
  <c r="G2278" i="1"/>
  <c r="F2278" i="1"/>
  <c r="E2278" i="1"/>
  <c r="D2278" i="1"/>
  <c r="C2278" i="1"/>
  <c r="B2278" i="1"/>
  <c r="H2277" i="1"/>
  <c r="G2277" i="1"/>
  <c r="F2277" i="1"/>
  <c r="E2277" i="1"/>
  <c r="D2277" i="1"/>
  <c r="C2277" i="1"/>
  <c r="B2277" i="1"/>
  <c r="H2276" i="1"/>
  <c r="G2276" i="1"/>
  <c r="F2276" i="1"/>
  <c r="E2276" i="1"/>
  <c r="D2276" i="1"/>
  <c r="C2276" i="1"/>
  <c r="B2276" i="1"/>
  <c r="H2275" i="1"/>
  <c r="G2275" i="1"/>
  <c r="F2275" i="1"/>
  <c r="E2275" i="1"/>
  <c r="D2275" i="1"/>
  <c r="C2275" i="1"/>
  <c r="B2275" i="1"/>
  <c r="H2274" i="1"/>
  <c r="G2274" i="1"/>
  <c r="F2274" i="1"/>
  <c r="E2274" i="1"/>
  <c r="D2274" i="1"/>
  <c r="C2274" i="1"/>
  <c r="B2274" i="1"/>
  <c r="H2273" i="1"/>
  <c r="G2273" i="1"/>
  <c r="F2273" i="1"/>
  <c r="E2273" i="1"/>
  <c r="D2273" i="1"/>
  <c r="C2273" i="1"/>
  <c r="B2273" i="1"/>
  <c r="H2272" i="1"/>
  <c r="G2272" i="1"/>
  <c r="F2272" i="1"/>
  <c r="E2272" i="1"/>
  <c r="D2272" i="1"/>
  <c r="C2272" i="1"/>
  <c r="B2272" i="1"/>
  <c r="H2271" i="1"/>
  <c r="G2271" i="1"/>
  <c r="F2271" i="1"/>
  <c r="E2271" i="1"/>
  <c r="D2271" i="1"/>
  <c r="C2271" i="1"/>
  <c r="B2271" i="1"/>
  <c r="H2270" i="1"/>
  <c r="G2270" i="1"/>
  <c r="F2270" i="1"/>
  <c r="E2270" i="1"/>
  <c r="D2270" i="1"/>
  <c r="C2270" i="1"/>
  <c r="B2270" i="1"/>
  <c r="H2269" i="1"/>
  <c r="G2269" i="1"/>
  <c r="F2269" i="1"/>
  <c r="E2269" i="1"/>
  <c r="D2269" i="1"/>
  <c r="C2269" i="1"/>
  <c r="B2269" i="1"/>
  <c r="H2268" i="1"/>
  <c r="G2268" i="1"/>
  <c r="F2268" i="1"/>
  <c r="E2268" i="1"/>
  <c r="D2268" i="1"/>
  <c r="C2268" i="1"/>
  <c r="B2268" i="1"/>
  <c r="H2267" i="1"/>
  <c r="G2267" i="1"/>
  <c r="F2267" i="1"/>
  <c r="E2267" i="1"/>
  <c r="D2267" i="1"/>
  <c r="C2267" i="1"/>
  <c r="B2267" i="1"/>
  <c r="H2266" i="1"/>
  <c r="G2266" i="1"/>
  <c r="F2266" i="1"/>
  <c r="E2266" i="1"/>
  <c r="D2266" i="1"/>
  <c r="C2266" i="1"/>
  <c r="B2266" i="1"/>
  <c r="H2265" i="1"/>
  <c r="G2265" i="1"/>
  <c r="F2265" i="1"/>
  <c r="E2265" i="1"/>
  <c r="D2265" i="1"/>
  <c r="C2265" i="1"/>
  <c r="B2265" i="1"/>
  <c r="H2264" i="1"/>
  <c r="G2264" i="1"/>
  <c r="F2264" i="1"/>
  <c r="E2264" i="1"/>
  <c r="D2264" i="1"/>
  <c r="C2264" i="1"/>
  <c r="B2264" i="1"/>
  <c r="H2263" i="1"/>
  <c r="G2263" i="1"/>
  <c r="F2263" i="1"/>
  <c r="E2263" i="1"/>
  <c r="D2263" i="1"/>
  <c r="C2263" i="1"/>
  <c r="B2263" i="1"/>
  <c r="H2262" i="1"/>
  <c r="G2262" i="1"/>
  <c r="F2262" i="1"/>
  <c r="E2262" i="1"/>
  <c r="D2262" i="1"/>
  <c r="C2262" i="1"/>
  <c r="B2262" i="1"/>
  <c r="H2261" i="1"/>
  <c r="G2261" i="1"/>
  <c r="F2261" i="1"/>
  <c r="E2261" i="1"/>
  <c r="D2261" i="1"/>
  <c r="C2261" i="1"/>
  <c r="B2261" i="1"/>
  <c r="H2260" i="1"/>
  <c r="G2260" i="1"/>
  <c r="F2260" i="1"/>
  <c r="E2260" i="1"/>
  <c r="D2260" i="1"/>
  <c r="C2260" i="1"/>
  <c r="B2260" i="1"/>
  <c r="H2259" i="1"/>
  <c r="G2259" i="1"/>
  <c r="F2259" i="1"/>
  <c r="E2259" i="1"/>
  <c r="D2259" i="1"/>
  <c r="C2259" i="1"/>
  <c r="B2259" i="1"/>
  <c r="H2258" i="1"/>
  <c r="G2258" i="1"/>
  <c r="F2258" i="1"/>
  <c r="E2258" i="1"/>
  <c r="D2258" i="1"/>
  <c r="C2258" i="1"/>
  <c r="B2258" i="1"/>
  <c r="H2257" i="1"/>
  <c r="G2257" i="1"/>
  <c r="F2257" i="1"/>
  <c r="E2257" i="1"/>
  <c r="D2257" i="1"/>
  <c r="C2257" i="1"/>
  <c r="B2257" i="1"/>
  <c r="H2256" i="1"/>
  <c r="G2256" i="1"/>
  <c r="F2256" i="1"/>
  <c r="E2256" i="1"/>
  <c r="D2256" i="1"/>
  <c r="C2256" i="1"/>
  <c r="B2256" i="1"/>
  <c r="H2255" i="1"/>
  <c r="G2255" i="1"/>
  <c r="F2255" i="1"/>
  <c r="E2255" i="1"/>
  <c r="D2255" i="1"/>
  <c r="C2255" i="1"/>
  <c r="B2255" i="1"/>
  <c r="H2254" i="1"/>
  <c r="G2254" i="1"/>
  <c r="F2254" i="1"/>
  <c r="E2254" i="1"/>
  <c r="D2254" i="1"/>
  <c r="C2254" i="1"/>
  <c r="B2254" i="1"/>
  <c r="H2253" i="1"/>
  <c r="G2253" i="1"/>
  <c r="F2253" i="1"/>
  <c r="E2253" i="1"/>
  <c r="D2253" i="1"/>
  <c r="C2253" i="1"/>
  <c r="B2253" i="1"/>
  <c r="H2252" i="1"/>
  <c r="G2252" i="1"/>
  <c r="F2252" i="1"/>
  <c r="E2252" i="1"/>
  <c r="D2252" i="1"/>
  <c r="C2252" i="1"/>
  <c r="B2252" i="1"/>
  <c r="H2251" i="1"/>
  <c r="G2251" i="1"/>
  <c r="F2251" i="1"/>
  <c r="E2251" i="1"/>
  <c r="D2251" i="1"/>
  <c r="C2251" i="1"/>
  <c r="B2251" i="1"/>
  <c r="H2250" i="1"/>
  <c r="G2250" i="1"/>
  <c r="F2250" i="1"/>
  <c r="E2250" i="1"/>
  <c r="D2250" i="1"/>
  <c r="C2250" i="1"/>
  <c r="B2250" i="1"/>
  <c r="H2249" i="1"/>
  <c r="G2249" i="1"/>
  <c r="F2249" i="1"/>
  <c r="E2249" i="1"/>
  <c r="D2249" i="1"/>
  <c r="C2249" i="1"/>
  <c r="B2249" i="1"/>
  <c r="H2248" i="1"/>
  <c r="G2248" i="1"/>
  <c r="F2248" i="1"/>
  <c r="E2248" i="1"/>
  <c r="D2248" i="1"/>
  <c r="C2248" i="1"/>
  <c r="B2248" i="1"/>
  <c r="H2247" i="1"/>
  <c r="G2247" i="1"/>
  <c r="F2247" i="1"/>
  <c r="E2247" i="1"/>
  <c r="D2247" i="1"/>
  <c r="C2247" i="1"/>
  <c r="B2247" i="1"/>
  <c r="H2246" i="1"/>
  <c r="G2246" i="1"/>
  <c r="F2246" i="1"/>
  <c r="E2246" i="1"/>
  <c r="D2246" i="1"/>
  <c r="C2246" i="1"/>
  <c r="B2246" i="1"/>
  <c r="H2245" i="1"/>
  <c r="G2245" i="1"/>
  <c r="F2245" i="1"/>
  <c r="E2245" i="1"/>
  <c r="D2245" i="1"/>
  <c r="C2245" i="1"/>
  <c r="B2245" i="1"/>
  <c r="H2244" i="1"/>
  <c r="G2244" i="1"/>
  <c r="F2244" i="1"/>
  <c r="E2244" i="1"/>
  <c r="D2244" i="1"/>
  <c r="C2244" i="1"/>
  <c r="B2244" i="1"/>
  <c r="H2243" i="1"/>
  <c r="G2243" i="1"/>
  <c r="F2243" i="1"/>
  <c r="E2243" i="1"/>
  <c r="D2243" i="1"/>
  <c r="C2243" i="1"/>
  <c r="B2243" i="1"/>
  <c r="H2242" i="1"/>
  <c r="G2242" i="1"/>
  <c r="F2242" i="1"/>
  <c r="E2242" i="1"/>
  <c r="D2242" i="1"/>
  <c r="C2242" i="1"/>
  <c r="B2242" i="1"/>
  <c r="H2241" i="1"/>
  <c r="G2241" i="1"/>
  <c r="F2241" i="1"/>
  <c r="E2241" i="1"/>
  <c r="D2241" i="1"/>
  <c r="C2241" i="1"/>
  <c r="B2241" i="1"/>
  <c r="H2240" i="1"/>
  <c r="G2240" i="1"/>
  <c r="F2240" i="1"/>
  <c r="E2240" i="1"/>
  <c r="D2240" i="1"/>
  <c r="C2240" i="1"/>
  <c r="B2240" i="1"/>
  <c r="H2239" i="1"/>
  <c r="G2239" i="1"/>
  <c r="F2239" i="1"/>
  <c r="E2239" i="1"/>
  <c r="D2239" i="1"/>
  <c r="C2239" i="1"/>
  <c r="B2239" i="1"/>
  <c r="H2238" i="1"/>
  <c r="G2238" i="1"/>
  <c r="F2238" i="1"/>
  <c r="E2238" i="1"/>
  <c r="D2238" i="1"/>
  <c r="C2238" i="1"/>
  <c r="B2238" i="1"/>
  <c r="H2237" i="1"/>
  <c r="G2237" i="1"/>
  <c r="F2237" i="1"/>
  <c r="E2237" i="1"/>
  <c r="D2237" i="1"/>
  <c r="C2237" i="1"/>
  <c r="B2237" i="1"/>
  <c r="H2236" i="1"/>
  <c r="G2236" i="1"/>
  <c r="F2236" i="1"/>
  <c r="E2236" i="1"/>
  <c r="D2236" i="1"/>
  <c r="C2236" i="1"/>
  <c r="B2236" i="1"/>
  <c r="H2235" i="1"/>
  <c r="G2235" i="1"/>
  <c r="F2235" i="1"/>
  <c r="E2235" i="1"/>
  <c r="D2235" i="1"/>
  <c r="C2235" i="1"/>
  <c r="B2235" i="1"/>
  <c r="H2234" i="1"/>
  <c r="G2234" i="1"/>
  <c r="F2234" i="1"/>
  <c r="E2234" i="1"/>
  <c r="D2234" i="1"/>
  <c r="C2234" i="1"/>
  <c r="B2234" i="1"/>
  <c r="H2233" i="1"/>
  <c r="G2233" i="1"/>
  <c r="F2233" i="1"/>
  <c r="E2233" i="1"/>
  <c r="D2233" i="1"/>
  <c r="C2233" i="1"/>
  <c r="B2233" i="1"/>
  <c r="H2232" i="1"/>
  <c r="G2232" i="1"/>
  <c r="F2232" i="1"/>
  <c r="E2232" i="1"/>
  <c r="D2232" i="1"/>
  <c r="C2232" i="1"/>
  <c r="B2232" i="1"/>
  <c r="H2231" i="1"/>
  <c r="G2231" i="1"/>
  <c r="F2231" i="1"/>
  <c r="E2231" i="1"/>
  <c r="D2231" i="1"/>
  <c r="C2231" i="1"/>
  <c r="B2231" i="1"/>
  <c r="H2230" i="1"/>
  <c r="G2230" i="1"/>
  <c r="F2230" i="1"/>
  <c r="E2230" i="1"/>
  <c r="D2230" i="1"/>
  <c r="C2230" i="1"/>
  <c r="B2230" i="1"/>
  <c r="H2229" i="1"/>
  <c r="G2229" i="1"/>
  <c r="F2229" i="1"/>
  <c r="E2229" i="1"/>
  <c r="D2229" i="1"/>
  <c r="C2229" i="1"/>
  <c r="B2229" i="1"/>
  <c r="H2228" i="1"/>
  <c r="G2228" i="1"/>
  <c r="F2228" i="1"/>
  <c r="E2228" i="1"/>
  <c r="D2228" i="1"/>
  <c r="C2228" i="1"/>
  <c r="B2228" i="1"/>
  <c r="H2227" i="1"/>
  <c r="G2227" i="1"/>
  <c r="F2227" i="1"/>
  <c r="E2227" i="1"/>
  <c r="D2227" i="1"/>
  <c r="C2227" i="1"/>
  <c r="B2227" i="1"/>
  <c r="H2226" i="1"/>
  <c r="G2226" i="1"/>
  <c r="F2226" i="1"/>
  <c r="E2226" i="1"/>
  <c r="D2226" i="1"/>
  <c r="C2226" i="1"/>
  <c r="B2226" i="1"/>
  <c r="H2225" i="1"/>
  <c r="G2225" i="1"/>
  <c r="F2225" i="1"/>
  <c r="E2225" i="1"/>
  <c r="D2225" i="1"/>
  <c r="C2225" i="1"/>
  <c r="B2225" i="1"/>
  <c r="H2224" i="1"/>
  <c r="G2224" i="1"/>
  <c r="F2224" i="1"/>
  <c r="E2224" i="1"/>
  <c r="D2224" i="1"/>
  <c r="C2224" i="1"/>
  <c r="B2224" i="1"/>
  <c r="H2223" i="1"/>
  <c r="G2223" i="1"/>
  <c r="F2223" i="1"/>
  <c r="E2223" i="1"/>
  <c r="D2223" i="1"/>
  <c r="C2223" i="1"/>
  <c r="B2223" i="1"/>
  <c r="H2222" i="1"/>
  <c r="G2222" i="1"/>
  <c r="F2222" i="1"/>
  <c r="E2222" i="1"/>
  <c r="D2222" i="1"/>
  <c r="C2222" i="1"/>
  <c r="B2222" i="1"/>
  <c r="H2221" i="1"/>
  <c r="G2221" i="1"/>
  <c r="F2221" i="1"/>
  <c r="E2221" i="1"/>
  <c r="D2221" i="1"/>
  <c r="C2221" i="1"/>
  <c r="B2221" i="1"/>
  <c r="H2220" i="1"/>
  <c r="G2220" i="1"/>
  <c r="F2220" i="1"/>
  <c r="E2220" i="1"/>
  <c r="D2220" i="1"/>
  <c r="C2220" i="1"/>
  <c r="B2220" i="1"/>
  <c r="H2219" i="1"/>
  <c r="G2219" i="1"/>
  <c r="F2219" i="1"/>
  <c r="E2219" i="1"/>
  <c r="D2219" i="1"/>
  <c r="C2219" i="1"/>
  <c r="B2219" i="1"/>
  <c r="H2218" i="1"/>
  <c r="G2218" i="1"/>
  <c r="F2218" i="1"/>
  <c r="E2218" i="1"/>
  <c r="D2218" i="1"/>
  <c r="C2218" i="1"/>
  <c r="B2218" i="1"/>
  <c r="H2217" i="1"/>
  <c r="G2217" i="1"/>
  <c r="F2217" i="1"/>
  <c r="E2217" i="1"/>
  <c r="D2217" i="1"/>
  <c r="C2217" i="1"/>
  <c r="B2217" i="1"/>
  <c r="H2216" i="1"/>
  <c r="G2216" i="1"/>
  <c r="F2216" i="1"/>
  <c r="E2216" i="1"/>
  <c r="D2216" i="1"/>
  <c r="C2216" i="1"/>
  <c r="B2216" i="1"/>
  <c r="H2215" i="1"/>
  <c r="G2215" i="1"/>
  <c r="F2215" i="1"/>
  <c r="E2215" i="1"/>
  <c r="D2215" i="1"/>
  <c r="C2215" i="1"/>
  <c r="B2215" i="1"/>
  <c r="H2214" i="1"/>
  <c r="G2214" i="1"/>
  <c r="F2214" i="1"/>
  <c r="E2214" i="1"/>
  <c r="D2214" i="1"/>
  <c r="C2214" i="1"/>
  <c r="B2214" i="1"/>
  <c r="H2213" i="1"/>
  <c r="G2213" i="1"/>
  <c r="F2213" i="1"/>
  <c r="E2213" i="1"/>
  <c r="D2213" i="1"/>
  <c r="C2213" i="1"/>
  <c r="B2213" i="1"/>
  <c r="H2212" i="1"/>
  <c r="G2212" i="1"/>
  <c r="F2212" i="1"/>
  <c r="E2212" i="1"/>
  <c r="D2212" i="1"/>
  <c r="C2212" i="1"/>
  <c r="B2212" i="1"/>
  <c r="H2211" i="1"/>
  <c r="G2211" i="1"/>
  <c r="F2211" i="1"/>
  <c r="E2211" i="1"/>
  <c r="D2211" i="1"/>
  <c r="C2211" i="1"/>
  <c r="B2211" i="1"/>
  <c r="H2210" i="1"/>
  <c r="G2210" i="1"/>
  <c r="F2210" i="1"/>
  <c r="E2210" i="1"/>
  <c r="D2210" i="1"/>
  <c r="C2210" i="1"/>
  <c r="B2210" i="1"/>
  <c r="H2209" i="1"/>
  <c r="G2209" i="1"/>
  <c r="F2209" i="1"/>
  <c r="E2209" i="1"/>
  <c r="D2209" i="1"/>
  <c r="C2209" i="1"/>
  <c r="B2209" i="1"/>
  <c r="H2208" i="1"/>
  <c r="G2208" i="1"/>
  <c r="F2208" i="1"/>
  <c r="E2208" i="1"/>
  <c r="D2208" i="1"/>
  <c r="C2208" i="1"/>
  <c r="B2208" i="1"/>
  <c r="H2207" i="1"/>
  <c r="G2207" i="1"/>
  <c r="F2207" i="1"/>
  <c r="E2207" i="1"/>
  <c r="D2207" i="1"/>
  <c r="C2207" i="1"/>
  <c r="B2207" i="1"/>
  <c r="H2206" i="1"/>
  <c r="G2206" i="1"/>
  <c r="F2206" i="1"/>
  <c r="E2206" i="1"/>
  <c r="D2206" i="1"/>
  <c r="C2206" i="1"/>
  <c r="B2206" i="1"/>
  <c r="H2205" i="1"/>
  <c r="G2205" i="1"/>
  <c r="F2205" i="1"/>
  <c r="E2205" i="1"/>
  <c r="D2205" i="1"/>
  <c r="C2205" i="1"/>
  <c r="B2205" i="1"/>
  <c r="H2204" i="1"/>
  <c r="G2204" i="1"/>
  <c r="F2204" i="1"/>
  <c r="E2204" i="1"/>
  <c r="D2204" i="1"/>
  <c r="C2204" i="1"/>
  <c r="B2204" i="1"/>
  <c r="H2203" i="1"/>
  <c r="G2203" i="1"/>
  <c r="F2203" i="1"/>
  <c r="E2203" i="1"/>
  <c r="D2203" i="1"/>
  <c r="C2203" i="1"/>
  <c r="B2203" i="1"/>
  <c r="H2202" i="1"/>
  <c r="G2202" i="1"/>
  <c r="F2202" i="1"/>
  <c r="E2202" i="1"/>
  <c r="D2202" i="1"/>
  <c r="C2202" i="1"/>
  <c r="B2202" i="1"/>
  <c r="H2201" i="1"/>
  <c r="G2201" i="1"/>
  <c r="F2201" i="1"/>
  <c r="E2201" i="1"/>
  <c r="D2201" i="1"/>
  <c r="C2201" i="1"/>
  <c r="B2201" i="1"/>
  <c r="H2200" i="1"/>
  <c r="G2200" i="1"/>
  <c r="F2200" i="1"/>
  <c r="E2200" i="1"/>
  <c r="D2200" i="1"/>
  <c r="C2200" i="1"/>
  <c r="B2200" i="1"/>
  <c r="H2199" i="1"/>
  <c r="G2199" i="1"/>
  <c r="F2199" i="1"/>
  <c r="E2199" i="1"/>
  <c r="D2199" i="1"/>
  <c r="C2199" i="1"/>
  <c r="B2199" i="1"/>
  <c r="H2198" i="1"/>
  <c r="G2198" i="1"/>
  <c r="F2198" i="1"/>
  <c r="E2198" i="1"/>
  <c r="D2198" i="1"/>
  <c r="C2198" i="1"/>
  <c r="B2198" i="1"/>
  <c r="H2197" i="1"/>
  <c r="G2197" i="1"/>
  <c r="F2197" i="1"/>
  <c r="E2197" i="1"/>
  <c r="D2197" i="1"/>
  <c r="C2197" i="1"/>
  <c r="B2197" i="1"/>
  <c r="H2196" i="1"/>
  <c r="G2196" i="1"/>
  <c r="F2196" i="1"/>
  <c r="E2196" i="1"/>
  <c r="D2196" i="1"/>
  <c r="C2196" i="1"/>
  <c r="B2196" i="1"/>
  <c r="H2195" i="1"/>
  <c r="G2195" i="1"/>
  <c r="F2195" i="1"/>
  <c r="E2195" i="1"/>
  <c r="D2195" i="1"/>
  <c r="C2195" i="1"/>
  <c r="B2195" i="1"/>
  <c r="H2194" i="1"/>
  <c r="G2194" i="1"/>
  <c r="F2194" i="1"/>
  <c r="E2194" i="1"/>
  <c r="D2194" i="1"/>
  <c r="C2194" i="1"/>
  <c r="B2194" i="1"/>
  <c r="H2193" i="1"/>
  <c r="G2193" i="1"/>
  <c r="F2193" i="1"/>
  <c r="E2193" i="1"/>
  <c r="D2193" i="1"/>
  <c r="C2193" i="1"/>
  <c r="B2193" i="1"/>
  <c r="H2192" i="1"/>
  <c r="G2192" i="1"/>
  <c r="F2192" i="1"/>
  <c r="E2192" i="1"/>
  <c r="D2192" i="1"/>
  <c r="C2192" i="1"/>
  <c r="B2192" i="1"/>
  <c r="H2191" i="1"/>
  <c r="G2191" i="1"/>
  <c r="F2191" i="1"/>
  <c r="E2191" i="1"/>
  <c r="D2191" i="1"/>
  <c r="C2191" i="1"/>
  <c r="B2191" i="1"/>
  <c r="H2190" i="1"/>
  <c r="G2190" i="1"/>
  <c r="F2190" i="1"/>
  <c r="E2190" i="1"/>
  <c r="D2190" i="1"/>
  <c r="C2190" i="1"/>
  <c r="B2190" i="1"/>
  <c r="H2189" i="1"/>
  <c r="G2189" i="1"/>
  <c r="F2189" i="1"/>
  <c r="E2189" i="1"/>
  <c r="D2189" i="1"/>
  <c r="C2189" i="1"/>
  <c r="B2189" i="1"/>
  <c r="H2188" i="1"/>
  <c r="G2188" i="1"/>
  <c r="F2188" i="1"/>
  <c r="E2188" i="1"/>
  <c r="D2188" i="1"/>
  <c r="C2188" i="1"/>
  <c r="B2188" i="1"/>
  <c r="H2187" i="1"/>
  <c r="G2187" i="1"/>
  <c r="F2187" i="1"/>
  <c r="E2187" i="1"/>
  <c r="D2187" i="1"/>
  <c r="C2187" i="1"/>
  <c r="B2187" i="1"/>
  <c r="H2186" i="1"/>
  <c r="G2186" i="1"/>
  <c r="F2186" i="1"/>
  <c r="E2186" i="1"/>
  <c r="D2186" i="1"/>
  <c r="C2186" i="1"/>
  <c r="B2186" i="1"/>
  <c r="H2185" i="1"/>
  <c r="G2185" i="1"/>
  <c r="F2185" i="1"/>
  <c r="E2185" i="1"/>
  <c r="D2185" i="1"/>
  <c r="C2185" i="1"/>
  <c r="B2185" i="1"/>
  <c r="H2184" i="1"/>
  <c r="G2184" i="1"/>
  <c r="F2184" i="1"/>
  <c r="E2184" i="1"/>
  <c r="D2184" i="1"/>
  <c r="C2184" i="1"/>
  <c r="B2184" i="1"/>
  <c r="H2183" i="1"/>
  <c r="G2183" i="1"/>
  <c r="F2183" i="1"/>
  <c r="E2183" i="1"/>
  <c r="D2183" i="1"/>
  <c r="C2183" i="1"/>
  <c r="B2183" i="1"/>
  <c r="H2182" i="1"/>
  <c r="G2182" i="1"/>
  <c r="F2182" i="1"/>
  <c r="E2182" i="1"/>
  <c r="D2182" i="1"/>
  <c r="C2182" i="1"/>
  <c r="B2182" i="1"/>
  <c r="H2181" i="1"/>
  <c r="G2181" i="1"/>
  <c r="F2181" i="1"/>
  <c r="E2181" i="1"/>
  <c r="D2181" i="1"/>
  <c r="C2181" i="1"/>
  <c r="B2181" i="1"/>
  <c r="H2180" i="1"/>
  <c r="G2180" i="1"/>
  <c r="F2180" i="1"/>
  <c r="E2180" i="1"/>
  <c r="D2180" i="1"/>
  <c r="C2180" i="1"/>
  <c r="B2180" i="1"/>
  <c r="H2179" i="1"/>
  <c r="G2179" i="1"/>
  <c r="F2179" i="1"/>
  <c r="E2179" i="1"/>
  <c r="D2179" i="1"/>
  <c r="C2179" i="1"/>
  <c r="B2179" i="1"/>
  <c r="H2178" i="1"/>
  <c r="G2178" i="1"/>
  <c r="F2178" i="1"/>
  <c r="E2178" i="1"/>
  <c r="D2178" i="1"/>
  <c r="C2178" i="1"/>
  <c r="B2178" i="1"/>
  <c r="H2177" i="1"/>
  <c r="G2177" i="1"/>
  <c r="F2177" i="1"/>
  <c r="E2177" i="1"/>
  <c r="D2177" i="1"/>
  <c r="C2177" i="1"/>
  <c r="B2177" i="1"/>
  <c r="H2176" i="1"/>
  <c r="G2176" i="1"/>
  <c r="F2176" i="1"/>
  <c r="E2176" i="1"/>
  <c r="D2176" i="1"/>
  <c r="C2176" i="1"/>
  <c r="B2176" i="1"/>
  <c r="H2175" i="1"/>
  <c r="G2175" i="1"/>
  <c r="F2175" i="1"/>
  <c r="E2175" i="1"/>
  <c r="D2175" i="1"/>
  <c r="C2175" i="1"/>
  <c r="B2175" i="1"/>
  <c r="H2174" i="1"/>
  <c r="G2174" i="1"/>
  <c r="F2174" i="1"/>
  <c r="E2174" i="1"/>
  <c r="D2174" i="1"/>
  <c r="C2174" i="1"/>
  <c r="B2174" i="1"/>
  <c r="H2173" i="1"/>
  <c r="G2173" i="1"/>
  <c r="F2173" i="1"/>
  <c r="E2173" i="1"/>
  <c r="D2173" i="1"/>
  <c r="C2173" i="1"/>
  <c r="B2173" i="1"/>
  <c r="H2172" i="1"/>
  <c r="G2172" i="1"/>
  <c r="F2172" i="1"/>
  <c r="E2172" i="1"/>
  <c r="D2172" i="1"/>
  <c r="C2172" i="1"/>
  <c r="B2172" i="1"/>
  <c r="H2171" i="1"/>
  <c r="G2171" i="1"/>
  <c r="F2171" i="1"/>
  <c r="E2171" i="1"/>
  <c r="D2171" i="1"/>
  <c r="C2171" i="1"/>
  <c r="B2171" i="1"/>
  <c r="H2170" i="1"/>
  <c r="G2170" i="1"/>
  <c r="F2170" i="1"/>
  <c r="E2170" i="1"/>
  <c r="D2170" i="1"/>
  <c r="C2170" i="1"/>
  <c r="B2170" i="1"/>
  <c r="H2169" i="1"/>
  <c r="G2169" i="1"/>
  <c r="F2169" i="1"/>
  <c r="E2169" i="1"/>
  <c r="D2169" i="1"/>
  <c r="C2169" i="1"/>
  <c r="B2169" i="1"/>
  <c r="H2168" i="1"/>
  <c r="G2168" i="1"/>
  <c r="F2168" i="1"/>
  <c r="E2168" i="1"/>
  <c r="D2168" i="1"/>
  <c r="C2168" i="1"/>
  <c r="B2168" i="1"/>
  <c r="H2167" i="1"/>
  <c r="G2167" i="1"/>
  <c r="F2167" i="1"/>
  <c r="E2167" i="1"/>
  <c r="D2167" i="1"/>
  <c r="C2167" i="1"/>
  <c r="B2167" i="1"/>
  <c r="H2166" i="1"/>
  <c r="G2166" i="1"/>
  <c r="F2166" i="1"/>
  <c r="E2166" i="1"/>
  <c r="D2166" i="1"/>
  <c r="C2166" i="1"/>
  <c r="B2166" i="1"/>
  <c r="H2165" i="1"/>
  <c r="G2165" i="1"/>
  <c r="F2165" i="1"/>
  <c r="E2165" i="1"/>
  <c r="D2165" i="1"/>
  <c r="C2165" i="1"/>
  <c r="B2165" i="1"/>
  <c r="H2164" i="1"/>
  <c r="G2164" i="1"/>
  <c r="F2164" i="1"/>
  <c r="E2164" i="1"/>
  <c r="D2164" i="1"/>
  <c r="C2164" i="1"/>
  <c r="B2164" i="1"/>
  <c r="H2163" i="1"/>
  <c r="G2163" i="1"/>
  <c r="F2163" i="1"/>
  <c r="E2163" i="1"/>
  <c r="D2163" i="1"/>
  <c r="C2163" i="1"/>
  <c r="B2163" i="1"/>
  <c r="H2162" i="1"/>
  <c r="G2162" i="1"/>
  <c r="F2162" i="1"/>
  <c r="E2162" i="1"/>
  <c r="D2162" i="1"/>
  <c r="C2162" i="1"/>
  <c r="B2162" i="1"/>
  <c r="H2161" i="1"/>
  <c r="G2161" i="1"/>
  <c r="F2161" i="1"/>
  <c r="E2161" i="1"/>
  <c r="D2161" i="1"/>
  <c r="C2161" i="1"/>
  <c r="B2161" i="1"/>
  <c r="H2160" i="1"/>
  <c r="G2160" i="1"/>
  <c r="F2160" i="1"/>
  <c r="E2160" i="1"/>
  <c r="D2160" i="1"/>
  <c r="C2160" i="1"/>
  <c r="B2160" i="1"/>
  <c r="H2159" i="1"/>
  <c r="G2159" i="1"/>
  <c r="F2159" i="1"/>
  <c r="E2159" i="1"/>
  <c r="D2159" i="1"/>
  <c r="C2159" i="1"/>
  <c r="B2159" i="1"/>
  <c r="H2158" i="1"/>
  <c r="G2158" i="1"/>
  <c r="F2158" i="1"/>
  <c r="E2158" i="1"/>
  <c r="D2158" i="1"/>
  <c r="C2158" i="1"/>
  <c r="B2158" i="1"/>
  <c r="H2157" i="1"/>
  <c r="G2157" i="1"/>
  <c r="F2157" i="1"/>
  <c r="E2157" i="1"/>
  <c r="D2157" i="1"/>
  <c r="C2157" i="1"/>
  <c r="B2157" i="1"/>
  <c r="H2156" i="1"/>
  <c r="G2156" i="1"/>
  <c r="F2156" i="1"/>
  <c r="E2156" i="1"/>
  <c r="D2156" i="1"/>
  <c r="C2156" i="1"/>
  <c r="B2156" i="1"/>
  <c r="H2155" i="1"/>
  <c r="G2155" i="1"/>
  <c r="F2155" i="1"/>
  <c r="E2155" i="1"/>
  <c r="D2155" i="1"/>
  <c r="C2155" i="1"/>
  <c r="B2155" i="1"/>
  <c r="H2154" i="1"/>
  <c r="G2154" i="1"/>
  <c r="F2154" i="1"/>
  <c r="E2154" i="1"/>
  <c r="D2154" i="1"/>
  <c r="C2154" i="1"/>
  <c r="B2154" i="1"/>
  <c r="H2153" i="1"/>
  <c r="G2153" i="1"/>
  <c r="F2153" i="1"/>
  <c r="E2153" i="1"/>
  <c r="D2153" i="1"/>
  <c r="C2153" i="1"/>
  <c r="B2153" i="1"/>
  <c r="H2152" i="1"/>
  <c r="G2152" i="1"/>
  <c r="F2152" i="1"/>
  <c r="E2152" i="1"/>
  <c r="D2152" i="1"/>
  <c r="C2152" i="1"/>
  <c r="B2152" i="1"/>
  <c r="H2151" i="1"/>
  <c r="G2151" i="1"/>
  <c r="F2151" i="1"/>
  <c r="E2151" i="1"/>
  <c r="D2151" i="1"/>
  <c r="C2151" i="1"/>
  <c r="B2151" i="1"/>
  <c r="H2150" i="1"/>
  <c r="G2150" i="1"/>
  <c r="F2150" i="1"/>
  <c r="E2150" i="1"/>
  <c r="D2150" i="1"/>
  <c r="C2150" i="1"/>
  <c r="B2150" i="1"/>
  <c r="H2149" i="1"/>
  <c r="G2149" i="1"/>
  <c r="F2149" i="1"/>
  <c r="E2149" i="1"/>
  <c r="D2149" i="1"/>
  <c r="C2149" i="1"/>
  <c r="B2149" i="1"/>
  <c r="H2148" i="1"/>
  <c r="G2148" i="1"/>
  <c r="F2148" i="1"/>
  <c r="E2148" i="1"/>
  <c r="D2148" i="1"/>
  <c r="C2148" i="1"/>
  <c r="B2148" i="1"/>
  <c r="H2147" i="1"/>
  <c r="G2147" i="1"/>
  <c r="F2147" i="1"/>
  <c r="E2147" i="1"/>
  <c r="D2147" i="1"/>
  <c r="C2147" i="1"/>
  <c r="B2147" i="1"/>
  <c r="H2146" i="1"/>
  <c r="G2146" i="1"/>
  <c r="F2146" i="1"/>
  <c r="E2146" i="1"/>
  <c r="D2146" i="1"/>
  <c r="C2146" i="1"/>
  <c r="B2146" i="1"/>
  <c r="H2145" i="1"/>
  <c r="G2145" i="1"/>
  <c r="F2145" i="1"/>
  <c r="E2145" i="1"/>
  <c r="D2145" i="1"/>
  <c r="C2145" i="1"/>
  <c r="B2145" i="1"/>
  <c r="H2144" i="1"/>
  <c r="G2144" i="1"/>
  <c r="F2144" i="1"/>
  <c r="E2144" i="1"/>
  <c r="D2144" i="1"/>
  <c r="C2144" i="1"/>
  <c r="B2144" i="1"/>
  <c r="H2143" i="1"/>
  <c r="G2143" i="1"/>
  <c r="F2143" i="1"/>
  <c r="E2143" i="1"/>
  <c r="D2143" i="1"/>
  <c r="C2143" i="1"/>
  <c r="B2143" i="1"/>
  <c r="H2142" i="1"/>
  <c r="G2142" i="1"/>
  <c r="F2142" i="1"/>
  <c r="E2142" i="1"/>
  <c r="D2142" i="1"/>
  <c r="C2142" i="1"/>
  <c r="B2142" i="1"/>
  <c r="H2141" i="1"/>
  <c r="G2141" i="1"/>
  <c r="F2141" i="1"/>
  <c r="E2141" i="1"/>
  <c r="D2141" i="1"/>
  <c r="C2141" i="1"/>
  <c r="B2141" i="1"/>
  <c r="H2140" i="1"/>
  <c r="G2140" i="1"/>
  <c r="F2140" i="1"/>
  <c r="E2140" i="1"/>
  <c r="D2140" i="1"/>
  <c r="C2140" i="1"/>
  <c r="B2140" i="1"/>
  <c r="H2139" i="1"/>
  <c r="G2139" i="1"/>
  <c r="F2139" i="1"/>
  <c r="E2139" i="1"/>
  <c r="D2139" i="1"/>
  <c r="C2139" i="1"/>
  <c r="B2139" i="1"/>
  <c r="H2138" i="1"/>
  <c r="G2138" i="1"/>
  <c r="F2138" i="1"/>
  <c r="E2138" i="1"/>
  <c r="D2138" i="1"/>
  <c r="C2138" i="1"/>
  <c r="B2138" i="1"/>
  <c r="H2137" i="1"/>
  <c r="G2137" i="1"/>
  <c r="F2137" i="1"/>
  <c r="E2137" i="1"/>
  <c r="D2137" i="1"/>
  <c r="C2137" i="1"/>
  <c r="B2137" i="1"/>
  <c r="H2136" i="1"/>
  <c r="G2136" i="1"/>
  <c r="F2136" i="1"/>
  <c r="E2136" i="1"/>
  <c r="D2136" i="1"/>
  <c r="C2136" i="1"/>
  <c r="B2136" i="1"/>
  <c r="H2135" i="1"/>
  <c r="G2135" i="1"/>
  <c r="F2135" i="1"/>
  <c r="E2135" i="1"/>
  <c r="D2135" i="1"/>
  <c r="C2135" i="1"/>
  <c r="B2135" i="1"/>
  <c r="H2134" i="1"/>
  <c r="G2134" i="1"/>
  <c r="F2134" i="1"/>
  <c r="E2134" i="1"/>
  <c r="D2134" i="1"/>
  <c r="C2134" i="1"/>
  <c r="B2134" i="1"/>
  <c r="H2133" i="1"/>
  <c r="G2133" i="1"/>
  <c r="F2133" i="1"/>
  <c r="E2133" i="1"/>
  <c r="D2133" i="1"/>
  <c r="C2133" i="1"/>
  <c r="B2133" i="1"/>
  <c r="H2132" i="1"/>
  <c r="G2132" i="1"/>
  <c r="F2132" i="1"/>
  <c r="E2132" i="1"/>
  <c r="D2132" i="1"/>
  <c r="C2132" i="1"/>
  <c r="B2132" i="1"/>
  <c r="H2131" i="1"/>
  <c r="G2131" i="1"/>
  <c r="F2131" i="1"/>
  <c r="E2131" i="1"/>
  <c r="D2131" i="1"/>
  <c r="C2131" i="1"/>
  <c r="B2131" i="1"/>
  <c r="H2130" i="1"/>
  <c r="G2130" i="1"/>
  <c r="F2130" i="1"/>
  <c r="E2130" i="1"/>
  <c r="D2130" i="1"/>
  <c r="C2130" i="1"/>
  <c r="B2130" i="1"/>
  <c r="H2129" i="1"/>
  <c r="G2129" i="1"/>
  <c r="F2129" i="1"/>
  <c r="E2129" i="1"/>
  <c r="D2129" i="1"/>
  <c r="C2129" i="1"/>
  <c r="B2129" i="1"/>
  <c r="H2128" i="1"/>
  <c r="G2128" i="1"/>
  <c r="F2128" i="1"/>
  <c r="E2128" i="1"/>
  <c r="D2128" i="1"/>
  <c r="C2128" i="1"/>
  <c r="B2128" i="1"/>
  <c r="H2127" i="1"/>
  <c r="G2127" i="1"/>
  <c r="F2127" i="1"/>
  <c r="E2127" i="1"/>
  <c r="D2127" i="1"/>
  <c r="C2127" i="1"/>
  <c r="B2127" i="1"/>
  <c r="H2126" i="1"/>
  <c r="G2126" i="1"/>
  <c r="F2126" i="1"/>
  <c r="E2126" i="1"/>
  <c r="D2126" i="1"/>
  <c r="C2126" i="1"/>
  <c r="B2126" i="1"/>
  <c r="H2125" i="1"/>
  <c r="G2125" i="1"/>
  <c r="F2125" i="1"/>
  <c r="E2125" i="1"/>
  <c r="D2125" i="1"/>
  <c r="C2125" i="1"/>
  <c r="B2125" i="1"/>
  <c r="H2124" i="1"/>
  <c r="G2124" i="1"/>
  <c r="F2124" i="1"/>
  <c r="E2124" i="1"/>
  <c r="D2124" i="1"/>
  <c r="C2124" i="1"/>
  <c r="B2124" i="1"/>
  <c r="H2123" i="1"/>
  <c r="G2123" i="1"/>
  <c r="F2123" i="1"/>
  <c r="E2123" i="1"/>
  <c r="D2123" i="1"/>
  <c r="C2123" i="1"/>
  <c r="B2123" i="1"/>
  <c r="H2122" i="1"/>
  <c r="G2122" i="1"/>
  <c r="F2122" i="1"/>
  <c r="E2122" i="1"/>
  <c r="D2122" i="1"/>
  <c r="C2122" i="1"/>
  <c r="B2122" i="1"/>
  <c r="H2121" i="1"/>
  <c r="G2121" i="1"/>
  <c r="F2121" i="1"/>
  <c r="E2121" i="1"/>
  <c r="D2121" i="1"/>
  <c r="C2121" i="1"/>
  <c r="B2121" i="1"/>
  <c r="H2120" i="1"/>
  <c r="G2120" i="1"/>
  <c r="F2120" i="1"/>
  <c r="E2120" i="1"/>
  <c r="D2120" i="1"/>
  <c r="C2120" i="1"/>
  <c r="B2120" i="1"/>
  <c r="H2119" i="1"/>
  <c r="G2119" i="1"/>
  <c r="F2119" i="1"/>
  <c r="E2119" i="1"/>
  <c r="D2119" i="1"/>
  <c r="C2119" i="1"/>
  <c r="B2119" i="1"/>
  <c r="H2118" i="1"/>
  <c r="G2118" i="1"/>
  <c r="F2118" i="1"/>
  <c r="E2118" i="1"/>
  <c r="D2118" i="1"/>
  <c r="C2118" i="1"/>
  <c r="B2118" i="1"/>
  <c r="H2117" i="1"/>
  <c r="G2117" i="1"/>
  <c r="F2117" i="1"/>
  <c r="E2117" i="1"/>
  <c r="D2117" i="1"/>
  <c r="C2117" i="1"/>
  <c r="B2117" i="1"/>
  <c r="H2116" i="1"/>
  <c r="G2116" i="1"/>
  <c r="F2116" i="1"/>
  <c r="E2116" i="1"/>
  <c r="D2116" i="1"/>
  <c r="C2116" i="1"/>
  <c r="B2116" i="1"/>
  <c r="H2115" i="1"/>
  <c r="G2115" i="1"/>
  <c r="F2115" i="1"/>
  <c r="E2115" i="1"/>
  <c r="D2115" i="1"/>
  <c r="C2115" i="1"/>
  <c r="B2115" i="1"/>
  <c r="H2114" i="1"/>
  <c r="G2114" i="1"/>
  <c r="F2114" i="1"/>
  <c r="E2114" i="1"/>
  <c r="D2114" i="1"/>
  <c r="C2114" i="1"/>
  <c r="B2114" i="1"/>
  <c r="H2113" i="1"/>
  <c r="G2113" i="1"/>
  <c r="F2113" i="1"/>
  <c r="E2113" i="1"/>
  <c r="D2113" i="1"/>
  <c r="C2113" i="1"/>
  <c r="B2113" i="1"/>
  <c r="H2112" i="1"/>
  <c r="G2112" i="1"/>
  <c r="F2112" i="1"/>
  <c r="E2112" i="1"/>
  <c r="D2112" i="1"/>
  <c r="C2112" i="1"/>
  <c r="B2112" i="1"/>
  <c r="H2111" i="1"/>
  <c r="G2111" i="1"/>
  <c r="F2111" i="1"/>
  <c r="E2111" i="1"/>
  <c r="D2111" i="1"/>
  <c r="C2111" i="1"/>
  <c r="B2111" i="1"/>
  <c r="H2110" i="1"/>
  <c r="G2110" i="1"/>
  <c r="F2110" i="1"/>
  <c r="E2110" i="1"/>
  <c r="D2110" i="1"/>
  <c r="C2110" i="1"/>
  <c r="B2110" i="1"/>
  <c r="H2109" i="1"/>
  <c r="G2109" i="1"/>
  <c r="F2109" i="1"/>
  <c r="E2109" i="1"/>
  <c r="D2109" i="1"/>
  <c r="C2109" i="1"/>
  <c r="B2109" i="1"/>
  <c r="H2108" i="1"/>
  <c r="G2108" i="1"/>
  <c r="F2108" i="1"/>
  <c r="E2108" i="1"/>
  <c r="D2108" i="1"/>
  <c r="C2108" i="1"/>
  <c r="B2108" i="1"/>
  <c r="H2107" i="1"/>
  <c r="G2107" i="1"/>
  <c r="F2107" i="1"/>
  <c r="E2107" i="1"/>
  <c r="D2107" i="1"/>
  <c r="C2107" i="1"/>
  <c r="B2107" i="1"/>
  <c r="H2106" i="1"/>
  <c r="G2106" i="1"/>
  <c r="F2106" i="1"/>
  <c r="E2106" i="1"/>
  <c r="D2106" i="1"/>
  <c r="C2106" i="1"/>
  <c r="B2106" i="1"/>
  <c r="H2105" i="1"/>
  <c r="G2105" i="1"/>
  <c r="F2105" i="1"/>
  <c r="E2105" i="1"/>
  <c r="D2105" i="1"/>
  <c r="C2105" i="1"/>
  <c r="B2105" i="1"/>
  <c r="H2104" i="1"/>
  <c r="G2104" i="1"/>
  <c r="F2104" i="1"/>
  <c r="E2104" i="1"/>
  <c r="D2104" i="1"/>
  <c r="C2104" i="1"/>
  <c r="B2104" i="1"/>
  <c r="H2103" i="1"/>
  <c r="G2103" i="1"/>
  <c r="F2103" i="1"/>
  <c r="E2103" i="1"/>
  <c r="D2103" i="1"/>
  <c r="C2103" i="1"/>
  <c r="B2103" i="1"/>
  <c r="H2102" i="1"/>
  <c r="G2102" i="1"/>
  <c r="F2102" i="1"/>
  <c r="E2102" i="1"/>
  <c r="D2102" i="1"/>
  <c r="C2102" i="1"/>
  <c r="B2102" i="1"/>
  <c r="H2101" i="1"/>
  <c r="G2101" i="1"/>
  <c r="F2101" i="1"/>
  <c r="E2101" i="1"/>
  <c r="D2101" i="1"/>
  <c r="C2101" i="1"/>
  <c r="B2101" i="1"/>
  <c r="H2100" i="1"/>
  <c r="G2100" i="1"/>
  <c r="F2100" i="1"/>
  <c r="E2100" i="1"/>
  <c r="D2100" i="1"/>
  <c r="C2100" i="1"/>
  <c r="B2100" i="1"/>
  <c r="H2099" i="1"/>
  <c r="G2099" i="1"/>
  <c r="F2099" i="1"/>
  <c r="E2099" i="1"/>
  <c r="D2099" i="1"/>
  <c r="C2099" i="1"/>
  <c r="B2099" i="1"/>
  <c r="H2098" i="1"/>
  <c r="G2098" i="1"/>
  <c r="F2098" i="1"/>
  <c r="E2098" i="1"/>
  <c r="D2098" i="1"/>
  <c r="C2098" i="1"/>
  <c r="B2098" i="1"/>
  <c r="H2097" i="1"/>
  <c r="G2097" i="1"/>
  <c r="F2097" i="1"/>
  <c r="E2097" i="1"/>
  <c r="D2097" i="1"/>
  <c r="C2097" i="1"/>
  <c r="B2097" i="1"/>
  <c r="H2096" i="1"/>
  <c r="G2096" i="1"/>
  <c r="F2096" i="1"/>
  <c r="E2096" i="1"/>
  <c r="D2096" i="1"/>
  <c r="C2096" i="1"/>
  <c r="B2096" i="1"/>
  <c r="H2095" i="1"/>
  <c r="G2095" i="1"/>
  <c r="F2095" i="1"/>
  <c r="E2095" i="1"/>
  <c r="D2095" i="1"/>
  <c r="C2095" i="1"/>
  <c r="B2095" i="1"/>
  <c r="H2094" i="1"/>
  <c r="G2094" i="1"/>
  <c r="F2094" i="1"/>
  <c r="E2094" i="1"/>
  <c r="D2094" i="1"/>
  <c r="C2094" i="1"/>
  <c r="B2094" i="1"/>
  <c r="H2093" i="1"/>
  <c r="G2093" i="1"/>
  <c r="F2093" i="1"/>
  <c r="E2093" i="1"/>
  <c r="D2093" i="1"/>
  <c r="C2093" i="1"/>
  <c r="B2093" i="1"/>
  <c r="H2092" i="1"/>
  <c r="G2092" i="1"/>
  <c r="F2092" i="1"/>
  <c r="E2092" i="1"/>
  <c r="D2092" i="1"/>
  <c r="C2092" i="1"/>
  <c r="B2092" i="1"/>
  <c r="H2091" i="1"/>
  <c r="G2091" i="1"/>
  <c r="F2091" i="1"/>
  <c r="E2091" i="1"/>
  <c r="D2091" i="1"/>
  <c r="C2091" i="1"/>
  <c r="B2091" i="1"/>
  <c r="H2090" i="1"/>
  <c r="G2090" i="1"/>
  <c r="F2090" i="1"/>
  <c r="E2090" i="1"/>
  <c r="D2090" i="1"/>
  <c r="C2090" i="1"/>
  <c r="B2090" i="1"/>
  <c r="H2089" i="1"/>
  <c r="G2089" i="1"/>
  <c r="F2089" i="1"/>
  <c r="E2089" i="1"/>
  <c r="D2089" i="1"/>
  <c r="C2089" i="1"/>
  <c r="B2089" i="1"/>
  <c r="H2088" i="1"/>
  <c r="G2088" i="1"/>
  <c r="F2088" i="1"/>
  <c r="E2088" i="1"/>
  <c r="D2088" i="1"/>
  <c r="C2088" i="1"/>
  <c r="B2088" i="1"/>
  <c r="H2087" i="1"/>
  <c r="G2087" i="1"/>
  <c r="F2087" i="1"/>
  <c r="E2087" i="1"/>
  <c r="D2087" i="1"/>
  <c r="C2087" i="1"/>
  <c r="B2087" i="1"/>
  <c r="H2086" i="1"/>
  <c r="G2086" i="1"/>
  <c r="F2086" i="1"/>
  <c r="E2086" i="1"/>
  <c r="D2086" i="1"/>
  <c r="C2086" i="1"/>
  <c r="B2086" i="1"/>
  <c r="H2085" i="1"/>
  <c r="G2085" i="1"/>
  <c r="F2085" i="1"/>
  <c r="E2085" i="1"/>
  <c r="D2085" i="1"/>
  <c r="C2085" i="1"/>
  <c r="B2085" i="1"/>
  <c r="H2084" i="1"/>
  <c r="G2084" i="1"/>
  <c r="F2084" i="1"/>
  <c r="E2084" i="1"/>
  <c r="D2084" i="1"/>
  <c r="C2084" i="1"/>
  <c r="B2084" i="1"/>
  <c r="H2083" i="1"/>
  <c r="G2083" i="1"/>
  <c r="F2083" i="1"/>
  <c r="E2083" i="1"/>
  <c r="D2083" i="1"/>
  <c r="C2083" i="1"/>
  <c r="B2083" i="1"/>
  <c r="H2082" i="1"/>
  <c r="G2082" i="1"/>
  <c r="F2082" i="1"/>
  <c r="E2082" i="1"/>
  <c r="D2082" i="1"/>
  <c r="C2082" i="1"/>
  <c r="B2082" i="1"/>
  <c r="H2081" i="1"/>
  <c r="G2081" i="1"/>
  <c r="F2081" i="1"/>
  <c r="E2081" i="1"/>
  <c r="D2081" i="1"/>
  <c r="C2081" i="1"/>
  <c r="B2081" i="1"/>
  <c r="H2080" i="1"/>
  <c r="G2080" i="1"/>
  <c r="F2080" i="1"/>
  <c r="E2080" i="1"/>
  <c r="D2080" i="1"/>
  <c r="C2080" i="1"/>
  <c r="B2080" i="1"/>
  <c r="H2079" i="1"/>
  <c r="G2079" i="1"/>
  <c r="F2079" i="1"/>
  <c r="E2079" i="1"/>
  <c r="D2079" i="1"/>
  <c r="C2079" i="1"/>
  <c r="B2079" i="1"/>
  <c r="H2078" i="1"/>
  <c r="G2078" i="1"/>
  <c r="F2078" i="1"/>
  <c r="E2078" i="1"/>
  <c r="D2078" i="1"/>
  <c r="C2078" i="1"/>
  <c r="B2078" i="1"/>
  <c r="H2077" i="1"/>
  <c r="G2077" i="1"/>
  <c r="F2077" i="1"/>
  <c r="E2077" i="1"/>
  <c r="D2077" i="1"/>
  <c r="C2077" i="1"/>
  <c r="B2077" i="1"/>
  <c r="H2076" i="1"/>
  <c r="G2076" i="1"/>
  <c r="F2076" i="1"/>
  <c r="E2076" i="1"/>
  <c r="D2076" i="1"/>
  <c r="C2076" i="1"/>
  <c r="B2076" i="1"/>
  <c r="H2075" i="1"/>
  <c r="G2075" i="1"/>
  <c r="F2075" i="1"/>
  <c r="E2075" i="1"/>
  <c r="D2075" i="1"/>
  <c r="C2075" i="1"/>
  <c r="B2075" i="1"/>
  <c r="H2074" i="1"/>
  <c r="G2074" i="1"/>
  <c r="F2074" i="1"/>
  <c r="E2074" i="1"/>
  <c r="D2074" i="1"/>
  <c r="C2074" i="1"/>
  <c r="B2074" i="1"/>
  <c r="H2073" i="1"/>
  <c r="G2073" i="1"/>
  <c r="F2073" i="1"/>
  <c r="E2073" i="1"/>
  <c r="D2073" i="1"/>
  <c r="C2073" i="1"/>
  <c r="B2073" i="1"/>
  <c r="H2072" i="1"/>
  <c r="G2072" i="1"/>
  <c r="F2072" i="1"/>
  <c r="E2072" i="1"/>
  <c r="D2072" i="1"/>
  <c r="C2072" i="1"/>
  <c r="B2072" i="1"/>
  <c r="H2071" i="1"/>
  <c r="G2071" i="1"/>
  <c r="F2071" i="1"/>
  <c r="E2071" i="1"/>
  <c r="D2071" i="1"/>
  <c r="C2071" i="1"/>
  <c r="B2071" i="1"/>
  <c r="H2070" i="1"/>
  <c r="G2070" i="1"/>
  <c r="F2070" i="1"/>
  <c r="E2070" i="1"/>
  <c r="D2070" i="1"/>
  <c r="C2070" i="1"/>
  <c r="B2070" i="1"/>
  <c r="H2069" i="1"/>
  <c r="G2069" i="1"/>
  <c r="F2069" i="1"/>
  <c r="E2069" i="1"/>
  <c r="D2069" i="1"/>
  <c r="C2069" i="1"/>
  <c r="B2069" i="1"/>
  <c r="H2068" i="1"/>
  <c r="G2068" i="1"/>
  <c r="F2068" i="1"/>
  <c r="E2068" i="1"/>
  <c r="D2068" i="1"/>
  <c r="C2068" i="1"/>
  <c r="B2068" i="1"/>
  <c r="H2067" i="1"/>
  <c r="G2067" i="1"/>
  <c r="F2067" i="1"/>
  <c r="E2067" i="1"/>
  <c r="D2067" i="1"/>
  <c r="C2067" i="1"/>
  <c r="B2067" i="1"/>
  <c r="H2066" i="1"/>
  <c r="G2066" i="1"/>
  <c r="F2066" i="1"/>
  <c r="E2066" i="1"/>
  <c r="D2066" i="1"/>
  <c r="C2066" i="1"/>
  <c r="B2066" i="1"/>
  <c r="H2065" i="1"/>
  <c r="G2065" i="1"/>
  <c r="F2065" i="1"/>
  <c r="E2065" i="1"/>
  <c r="D2065" i="1"/>
  <c r="C2065" i="1"/>
  <c r="B2065" i="1"/>
  <c r="H2064" i="1"/>
  <c r="G2064" i="1"/>
  <c r="F2064" i="1"/>
  <c r="E2064" i="1"/>
  <c r="D2064" i="1"/>
  <c r="C2064" i="1"/>
  <c r="B2064" i="1"/>
  <c r="H2063" i="1"/>
  <c r="G2063" i="1"/>
  <c r="F2063" i="1"/>
  <c r="E2063" i="1"/>
  <c r="D2063" i="1"/>
  <c r="C2063" i="1"/>
  <c r="B2063" i="1"/>
  <c r="H2062" i="1"/>
  <c r="G2062" i="1"/>
  <c r="F2062" i="1"/>
  <c r="E2062" i="1"/>
  <c r="D2062" i="1"/>
  <c r="C2062" i="1"/>
  <c r="B2062" i="1"/>
  <c r="H2061" i="1"/>
  <c r="G2061" i="1"/>
  <c r="F2061" i="1"/>
  <c r="E2061" i="1"/>
  <c r="D2061" i="1"/>
  <c r="C2061" i="1"/>
  <c r="B2061" i="1"/>
  <c r="H2060" i="1"/>
  <c r="G2060" i="1"/>
  <c r="F2060" i="1"/>
  <c r="E2060" i="1"/>
  <c r="D2060" i="1"/>
  <c r="C2060" i="1"/>
  <c r="B2060" i="1"/>
  <c r="H2059" i="1"/>
  <c r="G2059" i="1"/>
  <c r="F2059" i="1"/>
  <c r="E2059" i="1"/>
  <c r="D2059" i="1"/>
  <c r="C2059" i="1"/>
  <c r="B2059" i="1"/>
  <c r="H2058" i="1"/>
  <c r="G2058" i="1"/>
  <c r="F2058" i="1"/>
  <c r="E2058" i="1"/>
  <c r="D2058" i="1"/>
  <c r="C2058" i="1"/>
  <c r="B2058" i="1"/>
  <c r="H2057" i="1"/>
  <c r="G2057" i="1"/>
  <c r="F2057" i="1"/>
  <c r="E2057" i="1"/>
  <c r="D2057" i="1"/>
  <c r="C2057" i="1"/>
  <c r="B2057" i="1"/>
  <c r="H2056" i="1"/>
  <c r="G2056" i="1"/>
  <c r="F2056" i="1"/>
  <c r="E2056" i="1"/>
  <c r="D2056" i="1"/>
  <c r="C2056" i="1"/>
  <c r="B2056" i="1"/>
  <c r="H2055" i="1"/>
  <c r="G2055" i="1"/>
  <c r="F2055" i="1"/>
  <c r="E2055" i="1"/>
  <c r="D2055" i="1"/>
  <c r="C2055" i="1"/>
  <c r="B2055" i="1"/>
  <c r="H2054" i="1"/>
  <c r="G2054" i="1"/>
  <c r="F2054" i="1"/>
  <c r="E2054" i="1"/>
  <c r="D2054" i="1"/>
  <c r="C2054" i="1"/>
  <c r="B2054" i="1"/>
  <c r="H2053" i="1"/>
  <c r="G2053" i="1"/>
  <c r="F2053" i="1"/>
  <c r="E2053" i="1"/>
  <c r="D2053" i="1"/>
  <c r="C2053" i="1"/>
  <c r="B2053" i="1"/>
  <c r="H2052" i="1"/>
  <c r="G2052" i="1"/>
  <c r="F2052" i="1"/>
  <c r="E2052" i="1"/>
  <c r="D2052" i="1"/>
  <c r="C2052" i="1"/>
  <c r="B2052" i="1"/>
  <c r="H2051" i="1"/>
  <c r="G2051" i="1"/>
  <c r="F2051" i="1"/>
  <c r="E2051" i="1"/>
  <c r="D2051" i="1"/>
  <c r="C2051" i="1"/>
  <c r="B2051" i="1"/>
  <c r="H2050" i="1"/>
  <c r="G2050" i="1"/>
  <c r="F2050" i="1"/>
  <c r="E2050" i="1"/>
  <c r="D2050" i="1"/>
  <c r="C2050" i="1"/>
  <c r="B2050" i="1"/>
  <c r="H2049" i="1"/>
  <c r="G2049" i="1"/>
  <c r="F2049" i="1"/>
  <c r="E2049" i="1"/>
  <c r="D2049" i="1"/>
  <c r="C2049" i="1"/>
  <c r="B2049" i="1"/>
  <c r="H2048" i="1"/>
  <c r="G2048" i="1"/>
  <c r="F2048" i="1"/>
  <c r="E2048" i="1"/>
  <c r="D2048" i="1"/>
  <c r="C2048" i="1"/>
  <c r="B2048" i="1"/>
  <c r="H2047" i="1"/>
  <c r="G2047" i="1"/>
  <c r="F2047" i="1"/>
  <c r="E2047" i="1"/>
  <c r="D2047" i="1"/>
  <c r="C2047" i="1"/>
  <c r="B2047" i="1"/>
  <c r="H2046" i="1"/>
  <c r="G2046" i="1"/>
  <c r="F2046" i="1"/>
  <c r="E2046" i="1"/>
  <c r="D2046" i="1"/>
  <c r="C2046" i="1"/>
  <c r="B2046" i="1"/>
  <c r="H2045" i="1"/>
  <c r="G2045" i="1"/>
  <c r="F2045" i="1"/>
  <c r="E2045" i="1"/>
  <c r="D2045" i="1"/>
  <c r="C2045" i="1"/>
  <c r="B2045" i="1"/>
  <c r="H2044" i="1"/>
  <c r="G2044" i="1"/>
  <c r="F2044" i="1"/>
  <c r="E2044" i="1"/>
  <c r="D2044" i="1"/>
  <c r="C2044" i="1"/>
  <c r="B2044" i="1"/>
  <c r="H2043" i="1"/>
  <c r="G2043" i="1"/>
  <c r="F2043" i="1"/>
  <c r="E2043" i="1"/>
  <c r="D2043" i="1"/>
  <c r="C2043" i="1"/>
  <c r="B2043" i="1"/>
  <c r="H2042" i="1"/>
  <c r="G2042" i="1"/>
  <c r="F2042" i="1"/>
  <c r="E2042" i="1"/>
  <c r="D2042" i="1"/>
  <c r="C2042" i="1"/>
  <c r="B2042" i="1"/>
  <c r="H2041" i="1"/>
  <c r="G2041" i="1"/>
  <c r="F2041" i="1"/>
  <c r="E2041" i="1"/>
  <c r="D2041" i="1"/>
  <c r="C2041" i="1"/>
  <c r="B2041" i="1"/>
  <c r="H2040" i="1"/>
  <c r="G2040" i="1"/>
  <c r="F2040" i="1"/>
  <c r="E2040" i="1"/>
  <c r="D2040" i="1"/>
  <c r="C2040" i="1"/>
  <c r="B2040" i="1"/>
  <c r="H2039" i="1"/>
  <c r="G2039" i="1"/>
  <c r="F2039" i="1"/>
  <c r="E2039" i="1"/>
  <c r="D2039" i="1"/>
  <c r="C2039" i="1"/>
  <c r="B2039" i="1"/>
  <c r="H2038" i="1"/>
  <c r="G2038" i="1"/>
  <c r="F2038" i="1"/>
  <c r="E2038" i="1"/>
  <c r="D2038" i="1"/>
  <c r="C2038" i="1"/>
  <c r="B2038" i="1"/>
  <c r="H2037" i="1"/>
  <c r="G2037" i="1"/>
  <c r="F2037" i="1"/>
  <c r="E2037" i="1"/>
  <c r="D2037" i="1"/>
  <c r="C2037" i="1"/>
  <c r="B2037" i="1"/>
  <c r="H2036" i="1"/>
  <c r="G2036" i="1"/>
  <c r="F2036" i="1"/>
  <c r="E2036" i="1"/>
  <c r="D2036" i="1"/>
  <c r="C2036" i="1"/>
  <c r="B2036" i="1"/>
  <c r="H2035" i="1"/>
  <c r="G2035" i="1"/>
  <c r="F2035" i="1"/>
  <c r="E2035" i="1"/>
  <c r="D2035" i="1"/>
  <c r="C2035" i="1"/>
  <c r="B2035" i="1"/>
  <c r="H2034" i="1"/>
  <c r="G2034" i="1"/>
  <c r="F2034" i="1"/>
  <c r="E2034" i="1"/>
  <c r="D2034" i="1"/>
  <c r="C2034" i="1"/>
  <c r="B2034" i="1"/>
  <c r="H2033" i="1"/>
  <c r="G2033" i="1"/>
  <c r="F2033" i="1"/>
  <c r="E2033" i="1"/>
  <c r="D2033" i="1"/>
  <c r="C2033" i="1"/>
  <c r="B2033" i="1"/>
  <c r="H2032" i="1"/>
  <c r="G2032" i="1"/>
  <c r="F2032" i="1"/>
  <c r="E2032" i="1"/>
  <c r="D2032" i="1"/>
  <c r="C2032" i="1"/>
  <c r="B2032" i="1"/>
  <c r="H2031" i="1"/>
  <c r="G2031" i="1"/>
  <c r="F2031" i="1"/>
  <c r="E2031" i="1"/>
  <c r="D2031" i="1"/>
  <c r="C2031" i="1"/>
  <c r="B2031" i="1"/>
  <c r="H2030" i="1"/>
  <c r="G2030" i="1"/>
  <c r="F2030" i="1"/>
  <c r="E2030" i="1"/>
  <c r="D2030" i="1"/>
  <c r="C2030" i="1"/>
  <c r="B2030" i="1"/>
  <c r="H2029" i="1"/>
  <c r="G2029" i="1"/>
  <c r="F2029" i="1"/>
  <c r="E2029" i="1"/>
  <c r="D2029" i="1"/>
  <c r="C2029" i="1"/>
  <c r="B2029" i="1"/>
  <c r="H2028" i="1"/>
  <c r="G2028" i="1"/>
  <c r="F2028" i="1"/>
  <c r="E2028" i="1"/>
  <c r="D2028" i="1"/>
  <c r="C2028" i="1"/>
  <c r="B2028" i="1"/>
  <c r="H2027" i="1"/>
  <c r="G2027" i="1"/>
  <c r="F2027" i="1"/>
  <c r="E2027" i="1"/>
  <c r="D2027" i="1"/>
  <c r="C2027" i="1"/>
  <c r="B2027" i="1"/>
  <c r="H2026" i="1"/>
  <c r="G2026" i="1"/>
  <c r="F2026" i="1"/>
  <c r="E2026" i="1"/>
  <c r="D2026" i="1"/>
  <c r="C2026" i="1"/>
  <c r="B2026" i="1"/>
  <c r="H2025" i="1"/>
  <c r="G2025" i="1"/>
  <c r="F2025" i="1"/>
  <c r="E2025" i="1"/>
  <c r="D2025" i="1"/>
  <c r="C2025" i="1"/>
  <c r="B2025" i="1"/>
  <c r="H2024" i="1"/>
  <c r="G2024" i="1"/>
  <c r="F2024" i="1"/>
  <c r="E2024" i="1"/>
  <c r="D2024" i="1"/>
  <c r="C2024" i="1"/>
  <c r="B2024" i="1"/>
  <c r="H2023" i="1"/>
  <c r="G2023" i="1"/>
  <c r="F2023" i="1"/>
  <c r="E2023" i="1"/>
  <c r="D2023" i="1"/>
  <c r="C2023" i="1"/>
  <c r="B2023" i="1"/>
  <c r="H2022" i="1"/>
  <c r="G2022" i="1"/>
  <c r="F2022" i="1"/>
  <c r="E2022" i="1"/>
  <c r="D2022" i="1"/>
  <c r="C2022" i="1"/>
  <c r="B2022" i="1"/>
  <c r="H2021" i="1"/>
  <c r="G2021" i="1"/>
  <c r="F2021" i="1"/>
  <c r="E2021" i="1"/>
  <c r="D2021" i="1"/>
  <c r="C2021" i="1"/>
  <c r="B2021" i="1"/>
  <c r="H2020" i="1"/>
  <c r="G2020" i="1"/>
  <c r="F2020" i="1"/>
  <c r="E2020" i="1"/>
  <c r="D2020" i="1"/>
  <c r="C2020" i="1"/>
  <c r="B2020" i="1"/>
  <c r="H2019" i="1"/>
  <c r="G2019" i="1"/>
  <c r="F2019" i="1"/>
  <c r="E2019" i="1"/>
  <c r="D2019" i="1"/>
  <c r="C2019" i="1"/>
  <c r="B2019" i="1"/>
  <c r="H2018" i="1"/>
  <c r="G2018" i="1"/>
  <c r="F2018" i="1"/>
  <c r="E2018" i="1"/>
  <c r="D2018" i="1"/>
  <c r="C2018" i="1"/>
  <c r="B2018" i="1"/>
  <c r="H2017" i="1"/>
  <c r="G2017" i="1"/>
  <c r="F2017" i="1"/>
  <c r="E2017" i="1"/>
  <c r="D2017" i="1"/>
  <c r="C2017" i="1"/>
  <c r="B2017" i="1"/>
  <c r="H2016" i="1"/>
  <c r="G2016" i="1"/>
  <c r="F2016" i="1"/>
  <c r="E2016" i="1"/>
  <c r="D2016" i="1"/>
  <c r="C2016" i="1"/>
  <c r="B2016" i="1"/>
  <c r="H2015" i="1"/>
  <c r="G2015" i="1"/>
  <c r="F2015" i="1"/>
  <c r="E2015" i="1"/>
  <c r="D2015" i="1"/>
  <c r="C2015" i="1"/>
  <c r="B2015" i="1"/>
  <c r="H2014" i="1"/>
  <c r="G2014" i="1"/>
  <c r="F2014" i="1"/>
  <c r="E2014" i="1"/>
  <c r="D2014" i="1"/>
  <c r="C2014" i="1"/>
  <c r="B2014" i="1"/>
  <c r="H2013" i="1"/>
  <c r="G2013" i="1"/>
  <c r="F2013" i="1"/>
  <c r="E2013" i="1"/>
  <c r="D2013" i="1"/>
  <c r="C2013" i="1"/>
  <c r="B2013" i="1"/>
  <c r="H2012" i="1"/>
  <c r="G2012" i="1"/>
  <c r="F2012" i="1"/>
  <c r="E2012" i="1"/>
  <c r="D2012" i="1"/>
  <c r="C2012" i="1"/>
  <c r="B2012" i="1"/>
  <c r="H2011" i="1"/>
  <c r="G2011" i="1"/>
  <c r="F2011" i="1"/>
  <c r="E2011" i="1"/>
  <c r="D2011" i="1"/>
  <c r="C2011" i="1"/>
  <c r="B2011" i="1"/>
  <c r="H2010" i="1"/>
  <c r="G2010" i="1"/>
  <c r="F2010" i="1"/>
  <c r="E2010" i="1"/>
  <c r="D2010" i="1"/>
  <c r="C2010" i="1"/>
  <c r="B2010" i="1"/>
  <c r="H2009" i="1"/>
  <c r="G2009" i="1"/>
  <c r="F2009" i="1"/>
  <c r="E2009" i="1"/>
  <c r="D2009" i="1"/>
  <c r="C2009" i="1"/>
  <c r="B2009" i="1"/>
  <c r="H2008" i="1"/>
  <c r="G2008" i="1"/>
  <c r="F2008" i="1"/>
  <c r="E2008" i="1"/>
  <c r="D2008" i="1"/>
  <c r="C2008" i="1"/>
  <c r="B2008" i="1"/>
  <c r="H2007" i="1"/>
  <c r="G2007" i="1"/>
  <c r="F2007" i="1"/>
  <c r="E2007" i="1"/>
  <c r="D2007" i="1"/>
  <c r="C2007" i="1"/>
  <c r="B2007" i="1"/>
  <c r="H2006" i="1"/>
  <c r="G2006" i="1"/>
  <c r="F2006" i="1"/>
  <c r="E2006" i="1"/>
  <c r="D2006" i="1"/>
  <c r="C2006" i="1"/>
  <c r="B2006" i="1"/>
  <c r="H2005" i="1"/>
  <c r="G2005" i="1"/>
  <c r="F2005" i="1"/>
  <c r="E2005" i="1"/>
  <c r="D2005" i="1"/>
  <c r="C2005" i="1"/>
  <c r="B2005" i="1"/>
  <c r="H2004" i="1"/>
  <c r="G2004" i="1"/>
  <c r="F2004" i="1"/>
  <c r="E2004" i="1"/>
  <c r="D2004" i="1"/>
  <c r="C2004" i="1"/>
  <c r="B2004" i="1"/>
  <c r="H2003" i="1"/>
  <c r="G2003" i="1"/>
  <c r="F2003" i="1"/>
  <c r="E2003" i="1"/>
  <c r="D2003" i="1"/>
  <c r="C2003" i="1"/>
  <c r="B2003" i="1"/>
  <c r="H2002" i="1"/>
  <c r="G2002" i="1"/>
  <c r="F2002" i="1"/>
  <c r="E2002" i="1"/>
  <c r="D2002" i="1"/>
  <c r="C2002" i="1"/>
  <c r="B2002" i="1"/>
  <c r="H2001" i="1"/>
  <c r="G2001" i="1"/>
  <c r="F2001" i="1"/>
  <c r="E2001" i="1"/>
  <c r="D2001" i="1"/>
  <c r="C2001" i="1"/>
  <c r="B2001" i="1"/>
  <c r="H2000" i="1"/>
  <c r="G2000" i="1"/>
  <c r="F2000" i="1"/>
  <c r="E2000" i="1"/>
  <c r="D2000" i="1"/>
  <c r="C2000" i="1"/>
  <c r="B2000" i="1"/>
  <c r="H1999" i="1"/>
  <c r="G1999" i="1"/>
  <c r="F1999" i="1"/>
  <c r="E1999" i="1"/>
  <c r="D1999" i="1"/>
  <c r="C1999" i="1"/>
  <c r="B1999" i="1"/>
  <c r="H1998" i="1"/>
  <c r="G1998" i="1"/>
  <c r="F1998" i="1"/>
  <c r="E1998" i="1"/>
  <c r="D1998" i="1"/>
  <c r="C1998" i="1"/>
  <c r="B1998" i="1"/>
  <c r="H1997" i="1"/>
  <c r="G1997" i="1"/>
  <c r="F1997" i="1"/>
  <c r="E1997" i="1"/>
  <c r="D1997" i="1"/>
  <c r="C1997" i="1"/>
  <c r="B1997" i="1"/>
  <c r="H1996" i="1"/>
  <c r="G1996" i="1"/>
  <c r="F1996" i="1"/>
  <c r="E1996" i="1"/>
  <c r="D1996" i="1"/>
  <c r="C1996" i="1"/>
  <c r="B1996" i="1"/>
  <c r="H1995" i="1"/>
  <c r="G1995" i="1"/>
  <c r="F1995" i="1"/>
  <c r="E1995" i="1"/>
  <c r="D1995" i="1"/>
  <c r="C1995" i="1"/>
  <c r="B1995" i="1"/>
  <c r="H1994" i="1"/>
  <c r="G1994" i="1"/>
  <c r="F1994" i="1"/>
  <c r="E1994" i="1"/>
  <c r="D1994" i="1"/>
  <c r="C1994" i="1"/>
  <c r="B1994" i="1"/>
  <c r="H1993" i="1"/>
  <c r="G1993" i="1"/>
  <c r="F1993" i="1"/>
  <c r="E1993" i="1"/>
  <c r="D1993" i="1"/>
  <c r="C1993" i="1"/>
  <c r="B1993" i="1"/>
  <c r="H1992" i="1"/>
  <c r="G1992" i="1"/>
  <c r="F1992" i="1"/>
  <c r="E1992" i="1"/>
  <c r="D1992" i="1"/>
  <c r="C1992" i="1"/>
  <c r="B1992" i="1"/>
  <c r="H1991" i="1"/>
  <c r="G1991" i="1"/>
  <c r="F1991" i="1"/>
  <c r="E1991" i="1"/>
  <c r="D1991" i="1"/>
  <c r="C1991" i="1"/>
  <c r="B1991" i="1"/>
  <c r="H1990" i="1"/>
  <c r="G1990" i="1"/>
  <c r="F1990" i="1"/>
  <c r="E1990" i="1"/>
  <c r="D1990" i="1"/>
  <c r="C1990" i="1"/>
  <c r="B1990" i="1"/>
  <c r="H1989" i="1"/>
  <c r="G1989" i="1"/>
  <c r="F1989" i="1"/>
  <c r="E1989" i="1"/>
  <c r="D1989" i="1"/>
  <c r="C1989" i="1"/>
  <c r="B1989" i="1"/>
  <c r="H1988" i="1"/>
  <c r="G1988" i="1"/>
  <c r="F1988" i="1"/>
  <c r="E1988" i="1"/>
  <c r="D1988" i="1"/>
  <c r="C1988" i="1"/>
  <c r="B1988" i="1"/>
  <c r="H1987" i="1"/>
  <c r="G1987" i="1"/>
  <c r="F1987" i="1"/>
  <c r="E1987" i="1"/>
  <c r="D1987" i="1"/>
  <c r="C1987" i="1"/>
  <c r="B1987" i="1"/>
  <c r="H1986" i="1"/>
  <c r="G1986" i="1"/>
  <c r="F1986" i="1"/>
  <c r="E1986" i="1"/>
  <c r="D1986" i="1"/>
  <c r="C1986" i="1"/>
  <c r="B1986" i="1"/>
  <c r="H1985" i="1"/>
  <c r="G1985" i="1"/>
  <c r="F1985" i="1"/>
  <c r="E1985" i="1"/>
  <c r="D1985" i="1"/>
  <c r="C1985" i="1"/>
  <c r="B1985" i="1"/>
  <c r="H1984" i="1"/>
  <c r="G1984" i="1"/>
  <c r="F1984" i="1"/>
  <c r="E1984" i="1"/>
  <c r="D1984" i="1"/>
  <c r="C1984" i="1"/>
  <c r="B1984" i="1"/>
  <c r="H1983" i="1"/>
  <c r="G1983" i="1"/>
  <c r="F1983" i="1"/>
  <c r="E1983" i="1"/>
  <c r="D1983" i="1"/>
  <c r="C1983" i="1"/>
  <c r="B1983" i="1"/>
  <c r="H1982" i="1"/>
  <c r="G1982" i="1"/>
  <c r="F1982" i="1"/>
  <c r="E1982" i="1"/>
  <c r="D1982" i="1"/>
  <c r="C1982" i="1"/>
  <c r="B1982" i="1"/>
  <c r="H1981" i="1"/>
  <c r="G1981" i="1"/>
  <c r="F1981" i="1"/>
  <c r="E1981" i="1"/>
  <c r="D1981" i="1"/>
  <c r="C1981" i="1"/>
  <c r="B1981" i="1"/>
  <c r="H1980" i="1"/>
  <c r="G1980" i="1"/>
  <c r="F1980" i="1"/>
  <c r="E1980" i="1"/>
  <c r="D1980" i="1"/>
  <c r="C1980" i="1"/>
  <c r="B1980" i="1"/>
  <c r="H1979" i="1"/>
  <c r="G1979" i="1"/>
  <c r="F1979" i="1"/>
  <c r="E1979" i="1"/>
  <c r="D1979" i="1"/>
  <c r="C1979" i="1"/>
  <c r="B1979" i="1"/>
  <c r="H1978" i="1"/>
  <c r="G1978" i="1"/>
  <c r="F1978" i="1"/>
  <c r="E1978" i="1"/>
  <c r="D1978" i="1"/>
  <c r="C1978" i="1"/>
  <c r="B1978" i="1"/>
  <c r="H1977" i="1"/>
  <c r="G1977" i="1"/>
  <c r="F1977" i="1"/>
  <c r="E1977" i="1"/>
  <c r="D1977" i="1"/>
  <c r="C1977" i="1"/>
  <c r="B1977" i="1"/>
  <c r="H1976" i="1"/>
  <c r="G1976" i="1"/>
  <c r="F1976" i="1"/>
  <c r="E1976" i="1"/>
  <c r="D1976" i="1"/>
  <c r="C1976" i="1"/>
  <c r="B1976" i="1"/>
  <c r="H1975" i="1"/>
  <c r="G1975" i="1"/>
  <c r="F1975" i="1"/>
  <c r="E1975" i="1"/>
  <c r="D1975" i="1"/>
  <c r="C1975" i="1"/>
  <c r="B1975" i="1"/>
  <c r="H1974" i="1"/>
  <c r="G1974" i="1"/>
  <c r="F1974" i="1"/>
  <c r="E1974" i="1"/>
  <c r="D1974" i="1"/>
  <c r="C1974" i="1"/>
  <c r="B1974" i="1"/>
  <c r="H1973" i="1"/>
  <c r="G1973" i="1"/>
  <c r="F1973" i="1"/>
  <c r="E1973" i="1"/>
  <c r="D1973" i="1"/>
  <c r="C1973" i="1"/>
  <c r="B1973" i="1"/>
  <c r="H1972" i="1"/>
  <c r="G1972" i="1"/>
  <c r="F1972" i="1"/>
  <c r="E1972" i="1"/>
  <c r="D1972" i="1"/>
  <c r="C1972" i="1"/>
  <c r="B1972" i="1"/>
  <c r="H1971" i="1"/>
  <c r="G1971" i="1"/>
  <c r="F1971" i="1"/>
  <c r="E1971" i="1"/>
  <c r="D1971" i="1"/>
  <c r="C1971" i="1"/>
  <c r="B1971" i="1"/>
  <c r="H1970" i="1"/>
  <c r="G1970" i="1"/>
  <c r="F1970" i="1"/>
  <c r="E1970" i="1"/>
  <c r="D1970" i="1"/>
  <c r="C1970" i="1"/>
  <c r="B1970" i="1"/>
  <c r="H1969" i="1"/>
  <c r="G1969" i="1"/>
  <c r="F1969" i="1"/>
  <c r="E1969" i="1"/>
  <c r="D1969" i="1"/>
  <c r="C1969" i="1"/>
  <c r="B1969" i="1"/>
  <c r="H1968" i="1"/>
  <c r="G1968" i="1"/>
  <c r="F1968" i="1"/>
  <c r="E1968" i="1"/>
  <c r="D1968" i="1"/>
  <c r="C1968" i="1"/>
  <c r="B1968" i="1"/>
  <c r="H1967" i="1"/>
  <c r="G1967" i="1"/>
  <c r="F1967" i="1"/>
  <c r="E1967" i="1"/>
  <c r="D1967" i="1"/>
  <c r="C1967" i="1"/>
  <c r="B1967" i="1"/>
  <c r="H1966" i="1"/>
  <c r="G1966" i="1"/>
  <c r="F1966" i="1"/>
  <c r="E1966" i="1"/>
  <c r="D1966" i="1"/>
  <c r="C1966" i="1"/>
  <c r="B1966" i="1"/>
  <c r="H1965" i="1"/>
  <c r="G1965" i="1"/>
  <c r="F1965" i="1"/>
  <c r="E1965" i="1"/>
  <c r="D1965" i="1"/>
  <c r="C1965" i="1"/>
  <c r="B1965" i="1"/>
  <c r="H1964" i="1"/>
  <c r="G1964" i="1"/>
  <c r="F1964" i="1"/>
  <c r="E1964" i="1"/>
  <c r="D1964" i="1"/>
  <c r="C1964" i="1"/>
  <c r="B1964" i="1"/>
  <c r="H1963" i="1"/>
  <c r="G1963" i="1"/>
  <c r="F1963" i="1"/>
  <c r="E1963" i="1"/>
  <c r="D1963" i="1"/>
  <c r="C1963" i="1"/>
  <c r="B1963" i="1"/>
  <c r="H1962" i="1"/>
  <c r="G1962" i="1"/>
  <c r="F1962" i="1"/>
  <c r="E1962" i="1"/>
  <c r="D1962" i="1"/>
  <c r="C1962" i="1"/>
  <c r="B1962" i="1"/>
  <c r="H1961" i="1"/>
  <c r="G1961" i="1"/>
  <c r="F1961" i="1"/>
  <c r="E1961" i="1"/>
  <c r="D1961" i="1"/>
  <c r="C1961" i="1"/>
  <c r="B1961" i="1"/>
  <c r="H1960" i="1"/>
  <c r="G1960" i="1"/>
  <c r="F1960" i="1"/>
  <c r="E1960" i="1"/>
  <c r="D1960" i="1"/>
  <c r="C1960" i="1"/>
  <c r="B1960" i="1"/>
  <c r="H1959" i="1"/>
  <c r="G1959" i="1"/>
  <c r="F1959" i="1"/>
  <c r="E1959" i="1"/>
  <c r="D1959" i="1"/>
  <c r="C1959" i="1"/>
  <c r="B1959" i="1"/>
  <c r="H1958" i="1"/>
  <c r="G1958" i="1"/>
  <c r="F1958" i="1"/>
  <c r="E1958" i="1"/>
  <c r="D1958" i="1"/>
  <c r="C1958" i="1"/>
  <c r="B1958" i="1"/>
  <c r="H1957" i="1"/>
  <c r="G1957" i="1"/>
  <c r="F1957" i="1"/>
  <c r="E1957" i="1"/>
  <c r="D1957" i="1"/>
  <c r="C1957" i="1"/>
  <c r="B1957" i="1"/>
  <c r="H1956" i="1"/>
  <c r="G1956" i="1"/>
  <c r="F1956" i="1"/>
  <c r="E1956" i="1"/>
  <c r="D1956" i="1"/>
  <c r="C1956" i="1"/>
  <c r="B1956" i="1"/>
  <c r="H1955" i="1"/>
  <c r="G1955" i="1"/>
  <c r="F1955" i="1"/>
  <c r="E1955" i="1"/>
  <c r="D1955" i="1"/>
  <c r="C1955" i="1"/>
  <c r="B1955" i="1"/>
  <c r="H1954" i="1"/>
  <c r="G1954" i="1"/>
  <c r="F1954" i="1"/>
  <c r="E1954" i="1"/>
  <c r="D1954" i="1"/>
  <c r="C1954" i="1"/>
  <c r="B1954" i="1"/>
  <c r="H1953" i="1"/>
  <c r="G1953" i="1"/>
  <c r="F1953" i="1"/>
  <c r="E1953" i="1"/>
  <c r="D1953" i="1"/>
  <c r="C1953" i="1"/>
  <c r="B1953" i="1"/>
  <c r="H1952" i="1"/>
  <c r="G1952" i="1"/>
  <c r="F1952" i="1"/>
  <c r="E1952" i="1"/>
  <c r="D1952" i="1"/>
  <c r="C1952" i="1"/>
  <c r="B1952" i="1"/>
  <c r="H1951" i="1"/>
  <c r="G1951" i="1"/>
  <c r="F1951" i="1"/>
  <c r="E1951" i="1"/>
  <c r="D1951" i="1"/>
  <c r="C1951" i="1"/>
  <c r="B1951" i="1"/>
  <c r="H1950" i="1"/>
  <c r="G1950" i="1"/>
  <c r="F1950" i="1"/>
  <c r="E1950" i="1"/>
  <c r="D1950" i="1"/>
  <c r="C1950" i="1"/>
  <c r="B1950" i="1"/>
  <c r="H1949" i="1"/>
  <c r="G1949" i="1"/>
  <c r="F1949" i="1"/>
  <c r="E1949" i="1"/>
  <c r="D1949" i="1"/>
  <c r="C1949" i="1"/>
  <c r="B1949" i="1"/>
  <c r="H1948" i="1"/>
  <c r="G1948" i="1"/>
  <c r="F1948" i="1"/>
  <c r="E1948" i="1"/>
  <c r="D1948" i="1"/>
  <c r="C1948" i="1"/>
  <c r="B1948" i="1"/>
  <c r="H1947" i="1"/>
  <c r="G1947" i="1"/>
  <c r="F1947" i="1"/>
  <c r="E1947" i="1"/>
  <c r="D1947" i="1"/>
  <c r="C1947" i="1"/>
  <c r="B1947" i="1"/>
  <c r="H1946" i="1"/>
  <c r="G1946" i="1"/>
  <c r="F1946" i="1"/>
  <c r="E1946" i="1"/>
  <c r="D1946" i="1"/>
  <c r="C1946" i="1"/>
  <c r="B1946" i="1"/>
  <c r="H1945" i="1"/>
  <c r="G1945" i="1"/>
  <c r="F1945" i="1"/>
  <c r="E1945" i="1"/>
  <c r="D1945" i="1"/>
  <c r="C1945" i="1"/>
  <c r="B1945" i="1"/>
  <c r="H1944" i="1"/>
  <c r="G1944" i="1"/>
  <c r="F1944" i="1"/>
  <c r="E1944" i="1"/>
  <c r="D1944" i="1"/>
  <c r="C1944" i="1"/>
  <c r="B1944" i="1"/>
  <c r="H1943" i="1"/>
  <c r="G1943" i="1"/>
  <c r="F1943" i="1"/>
  <c r="E1943" i="1"/>
  <c r="D1943" i="1"/>
  <c r="C1943" i="1"/>
  <c r="B1943" i="1"/>
  <c r="H1942" i="1"/>
  <c r="G1942" i="1"/>
  <c r="F1942" i="1"/>
  <c r="E1942" i="1"/>
  <c r="D1942" i="1"/>
  <c r="C1942" i="1"/>
  <c r="B1942" i="1"/>
  <c r="H1941" i="1"/>
  <c r="G1941" i="1"/>
  <c r="F1941" i="1"/>
  <c r="E1941" i="1"/>
  <c r="D1941" i="1"/>
  <c r="C1941" i="1"/>
  <c r="B1941" i="1"/>
  <c r="H1940" i="1"/>
  <c r="G1940" i="1"/>
  <c r="F1940" i="1"/>
  <c r="E1940" i="1"/>
  <c r="D1940" i="1"/>
  <c r="C1940" i="1"/>
  <c r="B1940" i="1"/>
  <c r="H1939" i="1"/>
  <c r="G1939" i="1"/>
  <c r="F1939" i="1"/>
  <c r="E1939" i="1"/>
  <c r="D1939" i="1"/>
  <c r="C1939" i="1"/>
  <c r="B1939" i="1"/>
  <c r="H1938" i="1"/>
  <c r="G1938" i="1"/>
  <c r="F1938" i="1"/>
  <c r="E1938" i="1"/>
  <c r="D1938" i="1"/>
  <c r="C1938" i="1"/>
  <c r="B1938" i="1"/>
  <c r="H1937" i="1"/>
  <c r="G1937" i="1"/>
  <c r="F1937" i="1"/>
  <c r="E1937" i="1"/>
  <c r="D1937" i="1"/>
  <c r="C1937" i="1"/>
  <c r="B1937" i="1"/>
  <c r="H1936" i="1"/>
  <c r="G1936" i="1"/>
  <c r="F1936" i="1"/>
  <c r="E1936" i="1"/>
  <c r="D1936" i="1"/>
  <c r="C1936" i="1"/>
  <c r="B1936" i="1"/>
  <c r="H1935" i="1"/>
  <c r="G1935" i="1"/>
  <c r="F1935" i="1"/>
  <c r="E1935" i="1"/>
  <c r="D1935" i="1"/>
  <c r="C1935" i="1"/>
  <c r="B1935" i="1"/>
  <c r="H1934" i="1"/>
  <c r="G1934" i="1"/>
  <c r="F1934" i="1"/>
  <c r="E1934" i="1"/>
  <c r="D1934" i="1"/>
  <c r="C1934" i="1"/>
  <c r="B1934" i="1"/>
  <c r="H1933" i="1"/>
  <c r="G1933" i="1"/>
  <c r="F1933" i="1"/>
  <c r="E1933" i="1"/>
  <c r="D1933" i="1"/>
  <c r="C1933" i="1"/>
  <c r="B1933" i="1"/>
  <c r="H1932" i="1"/>
  <c r="G1932" i="1"/>
  <c r="F1932" i="1"/>
  <c r="E1932" i="1"/>
  <c r="D1932" i="1"/>
  <c r="C1932" i="1"/>
  <c r="B1932" i="1"/>
  <c r="H1931" i="1"/>
  <c r="G1931" i="1"/>
  <c r="F1931" i="1"/>
  <c r="E1931" i="1"/>
  <c r="D1931" i="1"/>
  <c r="C1931" i="1"/>
  <c r="B1931" i="1"/>
  <c r="H1930" i="1"/>
  <c r="G1930" i="1"/>
  <c r="F1930" i="1"/>
  <c r="E1930" i="1"/>
  <c r="D1930" i="1"/>
  <c r="C1930" i="1"/>
  <c r="B1930" i="1"/>
  <c r="H1929" i="1"/>
  <c r="G1929" i="1"/>
  <c r="F1929" i="1"/>
  <c r="E1929" i="1"/>
  <c r="D1929" i="1"/>
  <c r="C1929" i="1"/>
  <c r="B1929" i="1"/>
  <c r="H1928" i="1"/>
  <c r="G1928" i="1"/>
  <c r="F1928" i="1"/>
  <c r="E1928" i="1"/>
  <c r="D1928" i="1"/>
  <c r="C1928" i="1"/>
  <c r="B1928" i="1"/>
  <c r="H1927" i="1"/>
  <c r="G1927" i="1"/>
  <c r="F1927" i="1"/>
  <c r="E1927" i="1"/>
  <c r="D1927" i="1"/>
  <c r="C1927" i="1"/>
  <c r="B1927" i="1"/>
  <c r="H1926" i="1"/>
  <c r="G1926" i="1"/>
  <c r="F1926" i="1"/>
  <c r="E1926" i="1"/>
  <c r="D1926" i="1"/>
  <c r="C1926" i="1"/>
  <c r="B1926" i="1"/>
  <c r="H1925" i="1"/>
  <c r="G1925" i="1"/>
  <c r="F1925" i="1"/>
  <c r="E1925" i="1"/>
  <c r="D1925" i="1"/>
  <c r="C1925" i="1"/>
  <c r="B1925" i="1"/>
  <c r="H1924" i="1"/>
  <c r="G1924" i="1"/>
  <c r="F1924" i="1"/>
  <c r="E1924" i="1"/>
  <c r="D1924" i="1"/>
  <c r="C1924" i="1"/>
  <c r="B1924" i="1"/>
  <c r="H1923" i="1"/>
  <c r="G1923" i="1"/>
  <c r="F1923" i="1"/>
  <c r="E1923" i="1"/>
  <c r="D1923" i="1"/>
  <c r="C1923" i="1"/>
  <c r="B1923" i="1"/>
  <c r="H1922" i="1"/>
  <c r="G1922" i="1"/>
  <c r="F1922" i="1"/>
  <c r="E1922" i="1"/>
  <c r="D1922" i="1"/>
  <c r="C1922" i="1"/>
  <c r="B1922" i="1"/>
  <c r="H1921" i="1"/>
  <c r="G1921" i="1"/>
  <c r="F1921" i="1"/>
  <c r="E1921" i="1"/>
  <c r="D1921" i="1"/>
  <c r="C1921" i="1"/>
  <c r="B1921" i="1"/>
  <c r="H1920" i="1"/>
  <c r="G1920" i="1"/>
  <c r="F1920" i="1"/>
  <c r="E1920" i="1"/>
  <c r="D1920" i="1"/>
  <c r="C1920" i="1"/>
  <c r="B1920" i="1"/>
  <c r="H1919" i="1"/>
  <c r="G1919" i="1"/>
  <c r="F1919" i="1"/>
  <c r="E1919" i="1"/>
  <c r="D1919" i="1"/>
  <c r="C1919" i="1"/>
  <c r="B1919" i="1"/>
  <c r="H1918" i="1"/>
  <c r="G1918" i="1"/>
  <c r="F1918" i="1"/>
  <c r="E1918" i="1"/>
  <c r="D1918" i="1"/>
  <c r="C1918" i="1"/>
  <c r="B1918" i="1"/>
  <c r="H1917" i="1"/>
  <c r="G1917" i="1"/>
  <c r="F1917" i="1"/>
  <c r="E1917" i="1"/>
  <c r="D1917" i="1"/>
  <c r="C1917" i="1"/>
  <c r="B1917" i="1"/>
  <c r="H1916" i="1"/>
  <c r="G1916" i="1"/>
  <c r="F1916" i="1"/>
  <c r="E1916" i="1"/>
  <c r="D1916" i="1"/>
  <c r="C1916" i="1"/>
  <c r="B1916" i="1"/>
  <c r="H1915" i="1"/>
  <c r="G1915" i="1"/>
  <c r="F1915" i="1"/>
  <c r="E1915" i="1"/>
  <c r="D1915" i="1"/>
  <c r="C1915" i="1"/>
  <c r="B1915" i="1"/>
  <c r="H1914" i="1"/>
  <c r="G1914" i="1"/>
  <c r="F1914" i="1"/>
  <c r="E1914" i="1"/>
  <c r="D1914" i="1"/>
  <c r="C1914" i="1"/>
  <c r="B1914" i="1"/>
  <c r="H1913" i="1"/>
  <c r="G1913" i="1"/>
  <c r="F1913" i="1"/>
  <c r="E1913" i="1"/>
  <c r="D1913" i="1"/>
  <c r="C1913" i="1"/>
  <c r="B1913" i="1"/>
  <c r="H1912" i="1"/>
  <c r="G1912" i="1"/>
  <c r="F1912" i="1"/>
  <c r="E1912" i="1"/>
  <c r="D1912" i="1"/>
  <c r="C1912" i="1"/>
  <c r="B1912" i="1"/>
  <c r="H1911" i="1"/>
  <c r="G1911" i="1"/>
  <c r="F1911" i="1"/>
  <c r="E1911" i="1"/>
  <c r="D1911" i="1"/>
  <c r="C1911" i="1"/>
  <c r="B1911" i="1"/>
  <c r="H1910" i="1"/>
  <c r="G1910" i="1"/>
  <c r="F1910" i="1"/>
  <c r="E1910" i="1"/>
  <c r="D1910" i="1"/>
  <c r="C1910" i="1"/>
  <c r="B1910" i="1"/>
  <c r="H1909" i="1"/>
  <c r="G1909" i="1"/>
  <c r="F1909" i="1"/>
  <c r="E1909" i="1"/>
  <c r="D1909" i="1"/>
  <c r="C1909" i="1"/>
  <c r="B1909" i="1"/>
  <c r="H1908" i="1"/>
  <c r="G1908" i="1"/>
  <c r="F1908" i="1"/>
  <c r="E1908" i="1"/>
  <c r="D1908" i="1"/>
  <c r="C1908" i="1"/>
  <c r="B1908" i="1"/>
  <c r="H1907" i="1"/>
  <c r="G1907" i="1"/>
  <c r="F1907" i="1"/>
  <c r="E1907" i="1"/>
  <c r="D1907" i="1"/>
  <c r="C1907" i="1"/>
  <c r="B1907" i="1"/>
  <c r="H1906" i="1"/>
  <c r="G1906" i="1"/>
  <c r="F1906" i="1"/>
  <c r="E1906" i="1"/>
  <c r="D1906" i="1"/>
  <c r="C1906" i="1"/>
  <c r="B1906" i="1"/>
  <c r="H1905" i="1"/>
  <c r="G1905" i="1"/>
  <c r="F1905" i="1"/>
  <c r="E1905" i="1"/>
  <c r="D1905" i="1"/>
  <c r="C1905" i="1"/>
  <c r="B1905" i="1"/>
  <c r="H1904" i="1"/>
  <c r="G1904" i="1"/>
  <c r="F1904" i="1"/>
  <c r="E1904" i="1"/>
  <c r="D1904" i="1"/>
  <c r="C1904" i="1"/>
  <c r="B1904" i="1"/>
  <c r="H1903" i="1"/>
  <c r="G1903" i="1"/>
  <c r="F1903" i="1"/>
  <c r="E1903" i="1"/>
  <c r="D1903" i="1"/>
  <c r="C1903" i="1"/>
  <c r="B1903" i="1"/>
  <c r="H1902" i="1"/>
  <c r="G1902" i="1"/>
  <c r="F1902" i="1"/>
  <c r="E1902" i="1"/>
  <c r="D1902" i="1"/>
  <c r="C1902" i="1"/>
  <c r="B1902" i="1"/>
  <c r="H1901" i="1"/>
  <c r="G1901" i="1"/>
  <c r="F1901" i="1"/>
  <c r="E1901" i="1"/>
  <c r="D1901" i="1"/>
  <c r="C1901" i="1"/>
  <c r="B1901" i="1"/>
  <c r="H1900" i="1"/>
  <c r="G1900" i="1"/>
  <c r="F1900" i="1"/>
  <c r="E1900" i="1"/>
  <c r="D1900" i="1"/>
  <c r="C1900" i="1"/>
  <c r="B1900" i="1"/>
  <c r="H1899" i="1"/>
  <c r="G1899" i="1"/>
  <c r="F1899" i="1"/>
  <c r="E1899" i="1"/>
  <c r="D1899" i="1"/>
  <c r="C1899" i="1"/>
  <c r="B1899" i="1"/>
  <c r="H1898" i="1"/>
  <c r="G1898" i="1"/>
  <c r="F1898" i="1"/>
  <c r="E1898" i="1"/>
  <c r="D1898" i="1"/>
  <c r="C1898" i="1"/>
  <c r="B1898" i="1"/>
  <c r="H1897" i="1"/>
  <c r="G1897" i="1"/>
  <c r="F1897" i="1"/>
  <c r="E1897" i="1"/>
  <c r="D1897" i="1"/>
  <c r="C1897" i="1"/>
  <c r="B1897" i="1"/>
  <c r="H1896" i="1"/>
  <c r="G1896" i="1"/>
  <c r="F1896" i="1"/>
  <c r="E1896" i="1"/>
  <c r="D1896" i="1"/>
  <c r="C1896" i="1"/>
  <c r="B1896" i="1"/>
  <c r="H1895" i="1"/>
  <c r="G1895" i="1"/>
  <c r="F1895" i="1"/>
  <c r="E1895" i="1"/>
  <c r="D1895" i="1"/>
  <c r="C1895" i="1"/>
  <c r="B1895" i="1"/>
  <c r="H1894" i="1"/>
  <c r="G1894" i="1"/>
  <c r="F1894" i="1"/>
  <c r="E1894" i="1"/>
  <c r="D1894" i="1"/>
  <c r="C1894" i="1"/>
  <c r="B1894" i="1"/>
  <c r="H1893" i="1"/>
  <c r="G1893" i="1"/>
  <c r="F1893" i="1"/>
  <c r="E1893" i="1"/>
  <c r="D1893" i="1"/>
  <c r="C1893" i="1"/>
  <c r="B1893" i="1"/>
  <c r="H1892" i="1"/>
  <c r="G1892" i="1"/>
  <c r="F1892" i="1"/>
  <c r="E1892" i="1"/>
  <c r="D1892" i="1"/>
  <c r="C1892" i="1"/>
  <c r="B1892" i="1"/>
  <c r="H1891" i="1"/>
  <c r="G1891" i="1"/>
  <c r="F1891" i="1"/>
  <c r="E1891" i="1"/>
  <c r="D1891" i="1"/>
  <c r="C1891" i="1"/>
  <c r="B1891" i="1"/>
  <c r="H1890" i="1"/>
  <c r="G1890" i="1"/>
  <c r="F1890" i="1"/>
  <c r="E1890" i="1"/>
  <c r="D1890" i="1"/>
  <c r="C1890" i="1"/>
  <c r="B1890" i="1"/>
  <c r="H1889" i="1"/>
  <c r="G1889" i="1"/>
  <c r="F1889" i="1"/>
  <c r="E1889" i="1"/>
  <c r="D1889" i="1"/>
  <c r="C1889" i="1"/>
  <c r="B1889" i="1"/>
  <c r="H1888" i="1"/>
  <c r="G1888" i="1"/>
  <c r="F1888" i="1"/>
  <c r="E1888" i="1"/>
  <c r="D1888" i="1"/>
  <c r="C1888" i="1"/>
  <c r="B1888" i="1"/>
  <c r="H1887" i="1"/>
  <c r="G1887" i="1"/>
  <c r="F1887" i="1"/>
  <c r="E1887" i="1"/>
  <c r="D1887" i="1"/>
  <c r="C1887" i="1"/>
  <c r="B1887" i="1"/>
  <c r="H1886" i="1"/>
  <c r="G1886" i="1"/>
  <c r="F1886" i="1"/>
  <c r="E1886" i="1"/>
  <c r="D1886" i="1"/>
  <c r="C1886" i="1"/>
  <c r="B1886" i="1"/>
  <c r="H1885" i="1"/>
  <c r="G1885" i="1"/>
  <c r="F1885" i="1"/>
  <c r="E1885" i="1"/>
  <c r="D1885" i="1"/>
  <c r="C1885" i="1"/>
  <c r="B1885" i="1"/>
  <c r="H1884" i="1"/>
  <c r="G1884" i="1"/>
  <c r="F1884" i="1"/>
  <c r="E1884" i="1"/>
  <c r="D1884" i="1"/>
  <c r="C1884" i="1"/>
  <c r="B1884" i="1"/>
  <c r="H1883" i="1"/>
  <c r="G1883" i="1"/>
  <c r="F1883" i="1"/>
  <c r="E1883" i="1"/>
  <c r="D1883" i="1"/>
  <c r="C1883" i="1"/>
  <c r="B1883" i="1"/>
  <c r="H1882" i="1"/>
  <c r="G1882" i="1"/>
  <c r="F1882" i="1"/>
  <c r="E1882" i="1"/>
  <c r="D1882" i="1"/>
  <c r="C1882" i="1"/>
  <c r="B1882" i="1"/>
  <c r="H1881" i="1"/>
  <c r="G1881" i="1"/>
  <c r="F1881" i="1"/>
  <c r="E1881" i="1"/>
  <c r="D1881" i="1"/>
  <c r="C1881" i="1"/>
  <c r="B1881" i="1"/>
  <c r="H1880" i="1"/>
  <c r="G1880" i="1"/>
  <c r="F1880" i="1"/>
  <c r="E1880" i="1"/>
  <c r="D1880" i="1"/>
  <c r="C1880" i="1"/>
  <c r="B1880" i="1"/>
  <c r="H1879" i="1"/>
  <c r="G1879" i="1"/>
  <c r="F1879" i="1"/>
  <c r="E1879" i="1"/>
  <c r="D1879" i="1"/>
  <c r="C1879" i="1"/>
  <c r="B1879" i="1"/>
  <c r="H1878" i="1"/>
  <c r="G1878" i="1"/>
  <c r="F1878" i="1"/>
  <c r="E1878" i="1"/>
  <c r="D1878" i="1"/>
  <c r="C1878" i="1"/>
  <c r="B1878" i="1"/>
  <c r="H1877" i="1"/>
  <c r="G1877" i="1"/>
  <c r="F1877" i="1"/>
  <c r="E1877" i="1"/>
  <c r="D1877" i="1"/>
  <c r="C1877" i="1"/>
  <c r="B1877" i="1"/>
  <c r="H1876" i="1"/>
  <c r="G1876" i="1"/>
  <c r="F1876" i="1"/>
  <c r="E1876" i="1"/>
  <c r="D1876" i="1"/>
  <c r="C1876" i="1"/>
  <c r="B1876" i="1"/>
  <c r="H1875" i="1"/>
  <c r="G1875" i="1"/>
  <c r="F1875" i="1"/>
  <c r="E1875" i="1"/>
  <c r="D1875" i="1"/>
  <c r="C1875" i="1"/>
  <c r="B1875" i="1"/>
  <c r="H1874" i="1"/>
  <c r="G1874" i="1"/>
  <c r="F1874" i="1"/>
  <c r="E1874" i="1"/>
  <c r="D1874" i="1"/>
  <c r="C1874" i="1"/>
  <c r="B1874" i="1"/>
  <c r="H1873" i="1"/>
  <c r="G1873" i="1"/>
  <c r="F1873" i="1"/>
  <c r="E1873" i="1"/>
  <c r="D1873" i="1"/>
  <c r="C1873" i="1"/>
  <c r="B1873" i="1"/>
  <c r="H1872" i="1"/>
  <c r="G1872" i="1"/>
  <c r="F1872" i="1"/>
  <c r="E1872" i="1"/>
  <c r="D1872" i="1"/>
  <c r="C1872" i="1"/>
  <c r="B1872" i="1"/>
  <c r="H1871" i="1"/>
  <c r="G1871" i="1"/>
  <c r="F1871" i="1"/>
  <c r="E1871" i="1"/>
  <c r="D1871" i="1"/>
  <c r="C1871" i="1"/>
  <c r="B1871" i="1"/>
  <c r="H1870" i="1"/>
  <c r="G1870" i="1"/>
  <c r="F1870" i="1"/>
  <c r="E1870" i="1"/>
  <c r="D1870" i="1"/>
  <c r="C1870" i="1"/>
  <c r="B1870" i="1"/>
  <c r="H1869" i="1"/>
  <c r="G1869" i="1"/>
  <c r="F1869" i="1"/>
  <c r="E1869" i="1"/>
  <c r="D1869" i="1"/>
  <c r="C1869" i="1"/>
  <c r="B1869" i="1"/>
  <c r="H1868" i="1"/>
  <c r="G1868" i="1"/>
  <c r="F1868" i="1"/>
  <c r="E1868" i="1"/>
  <c r="D1868" i="1"/>
  <c r="C1868" i="1"/>
  <c r="B1868" i="1"/>
  <c r="H1867" i="1"/>
  <c r="G1867" i="1"/>
  <c r="F1867" i="1"/>
  <c r="E1867" i="1"/>
  <c r="D1867" i="1"/>
  <c r="C1867" i="1"/>
  <c r="B1867" i="1"/>
  <c r="H1866" i="1"/>
  <c r="G1866" i="1"/>
  <c r="F1866" i="1"/>
  <c r="E1866" i="1"/>
  <c r="D1866" i="1"/>
  <c r="C1866" i="1"/>
  <c r="B1866" i="1"/>
  <c r="H1865" i="1"/>
  <c r="G1865" i="1"/>
  <c r="F1865" i="1"/>
  <c r="E1865" i="1"/>
  <c r="D1865" i="1"/>
  <c r="C1865" i="1"/>
  <c r="B1865" i="1"/>
  <c r="H1864" i="1"/>
  <c r="G1864" i="1"/>
  <c r="F1864" i="1"/>
  <c r="E1864" i="1"/>
  <c r="D1864" i="1"/>
  <c r="C1864" i="1"/>
  <c r="B1864" i="1"/>
  <c r="H1863" i="1"/>
  <c r="G1863" i="1"/>
  <c r="F1863" i="1"/>
  <c r="E1863" i="1"/>
  <c r="D1863" i="1"/>
  <c r="C1863" i="1"/>
  <c r="B1863" i="1"/>
  <c r="H1862" i="1"/>
  <c r="G1862" i="1"/>
  <c r="F1862" i="1"/>
  <c r="E1862" i="1"/>
  <c r="D1862" i="1"/>
  <c r="C1862" i="1"/>
  <c r="B1862" i="1"/>
  <c r="H1861" i="1"/>
  <c r="G1861" i="1"/>
  <c r="F1861" i="1"/>
  <c r="E1861" i="1"/>
  <c r="D1861" i="1"/>
  <c r="C1861" i="1"/>
  <c r="B1861" i="1"/>
  <c r="H1860" i="1"/>
  <c r="G1860" i="1"/>
  <c r="F1860" i="1"/>
  <c r="E1860" i="1"/>
  <c r="D1860" i="1"/>
  <c r="C1860" i="1"/>
  <c r="B1860" i="1"/>
  <c r="H1859" i="1"/>
  <c r="G1859" i="1"/>
  <c r="F1859" i="1"/>
  <c r="E1859" i="1"/>
  <c r="D1859" i="1"/>
  <c r="C1859" i="1"/>
  <c r="B1859" i="1"/>
  <c r="H1858" i="1"/>
  <c r="G1858" i="1"/>
  <c r="F1858" i="1"/>
  <c r="E1858" i="1"/>
  <c r="D1858" i="1"/>
  <c r="C1858" i="1"/>
  <c r="B1858" i="1"/>
  <c r="H1857" i="1"/>
  <c r="G1857" i="1"/>
  <c r="F1857" i="1"/>
  <c r="E1857" i="1"/>
  <c r="D1857" i="1"/>
  <c r="C1857" i="1"/>
  <c r="B1857" i="1"/>
  <c r="H1856" i="1"/>
  <c r="G1856" i="1"/>
  <c r="F1856" i="1"/>
  <c r="E1856" i="1"/>
  <c r="D1856" i="1"/>
  <c r="C1856" i="1"/>
  <c r="B1856" i="1"/>
  <c r="H1855" i="1"/>
  <c r="G1855" i="1"/>
  <c r="F1855" i="1"/>
  <c r="E1855" i="1"/>
  <c r="D1855" i="1"/>
  <c r="C1855" i="1"/>
  <c r="B1855" i="1"/>
  <c r="H1854" i="1"/>
  <c r="G1854" i="1"/>
  <c r="F1854" i="1"/>
  <c r="E1854" i="1"/>
  <c r="D1854" i="1"/>
  <c r="C1854" i="1"/>
  <c r="B1854" i="1"/>
  <c r="H1853" i="1"/>
  <c r="G1853" i="1"/>
  <c r="F1853" i="1"/>
  <c r="E1853" i="1"/>
  <c r="D1853" i="1"/>
  <c r="C1853" i="1"/>
  <c r="B1853" i="1"/>
  <c r="H1852" i="1"/>
  <c r="G1852" i="1"/>
  <c r="F1852" i="1"/>
  <c r="E1852" i="1"/>
  <c r="D1852" i="1"/>
  <c r="C1852" i="1"/>
  <c r="B1852" i="1"/>
  <c r="H1851" i="1"/>
  <c r="G1851" i="1"/>
  <c r="F1851" i="1"/>
  <c r="E1851" i="1"/>
  <c r="D1851" i="1"/>
  <c r="C1851" i="1"/>
  <c r="B1851" i="1"/>
  <c r="H1850" i="1"/>
  <c r="G1850" i="1"/>
  <c r="F1850" i="1"/>
  <c r="E1850" i="1"/>
  <c r="D1850" i="1"/>
  <c r="C1850" i="1"/>
  <c r="B1850" i="1"/>
  <c r="H1849" i="1"/>
  <c r="G1849" i="1"/>
  <c r="F1849" i="1"/>
  <c r="E1849" i="1"/>
  <c r="D1849" i="1"/>
  <c r="C1849" i="1"/>
  <c r="B1849" i="1"/>
  <c r="H1848" i="1"/>
  <c r="G1848" i="1"/>
  <c r="F1848" i="1"/>
  <c r="E1848" i="1"/>
  <c r="D1848" i="1"/>
  <c r="C1848" i="1"/>
  <c r="B1848" i="1"/>
  <c r="H1847" i="1"/>
  <c r="G1847" i="1"/>
  <c r="F1847" i="1"/>
  <c r="E1847" i="1"/>
  <c r="D1847" i="1"/>
  <c r="C1847" i="1"/>
  <c r="B1847" i="1"/>
  <c r="H1846" i="1"/>
  <c r="G1846" i="1"/>
  <c r="F1846" i="1"/>
  <c r="E1846" i="1"/>
  <c r="D1846" i="1"/>
  <c r="C1846" i="1"/>
  <c r="B1846" i="1"/>
  <c r="H1845" i="1"/>
  <c r="G1845" i="1"/>
  <c r="F1845" i="1"/>
  <c r="E1845" i="1"/>
  <c r="D1845" i="1"/>
  <c r="C1845" i="1"/>
  <c r="B1845" i="1"/>
  <c r="H1844" i="1"/>
  <c r="G1844" i="1"/>
  <c r="F1844" i="1"/>
  <c r="E1844" i="1"/>
  <c r="D1844" i="1"/>
  <c r="C1844" i="1"/>
  <c r="B1844" i="1"/>
  <c r="H1843" i="1"/>
  <c r="G1843" i="1"/>
  <c r="F1843" i="1"/>
  <c r="E1843" i="1"/>
  <c r="D1843" i="1"/>
  <c r="C1843" i="1"/>
  <c r="B1843" i="1"/>
  <c r="H1842" i="1"/>
  <c r="G1842" i="1"/>
  <c r="F1842" i="1"/>
  <c r="E1842" i="1"/>
  <c r="D1842" i="1"/>
  <c r="C1842" i="1"/>
  <c r="B1842" i="1"/>
  <c r="H1841" i="1"/>
  <c r="G1841" i="1"/>
  <c r="F1841" i="1"/>
  <c r="E1841" i="1"/>
  <c r="D1841" i="1"/>
  <c r="C1841" i="1"/>
  <c r="B1841" i="1"/>
  <c r="H1840" i="1"/>
  <c r="G1840" i="1"/>
  <c r="F1840" i="1"/>
  <c r="E1840" i="1"/>
  <c r="D1840" i="1"/>
  <c r="C1840" i="1"/>
  <c r="B1840" i="1"/>
  <c r="H1839" i="1"/>
  <c r="G1839" i="1"/>
  <c r="F1839" i="1"/>
  <c r="E1839" i="1"/>
  <c r="D1839" i="1"/>
  <c r="C1839" i="1"/>
  <c r="B1839" i="1"/>
  <c r="H1838" i="1"/>
  <c r="G1838" i="1"/>
  <c r="F1838" i="1"/>
  <c r="E1838" i="1"/>
  <c r="D1838" i="1"/>
  <c r="C1838" i="1"/>
  <c r="B1838" i="1"/>
  <c r="H1837" i="1"/>
  <c r="G1837" i="1"/>
  <c r="F1837" i="1"/>
  <c r="E1837" i="1"/>
  <c r="D1837" i="1"/>
  <c r="C1837" i="1"/>
  <c r="B1837" i="1"/>
  <c r="H1836" i="1"/>
  <c r="G1836" i="1"/>
  <c r="F1836" i="1"/>
  <c r="E1836" i="1"/>
  <c r="D1836" i="1"/>
  <c r="C1836" i="1"/>
  <c r="B1836" i="1"/>
  <c r="H1835" i="1"/>
  <c r="G1835" i="1"/>
  <c r="F1835" i="1"/>
  <c r="E1835" i="1"/>
  <c r="D1835" i="1"/>
  <c r="C1835" i="1"/>
  <c r="B1835" i="1"/>
  <c r="H1834" i="1"/>
  <c r="G1834" i="1"/>
  <c r="F1834" i="1"/>
  <c r="E1834" i="1"/>
  <c r="D1834" i="1"/>
  <c r="C1834" i="1"/>
  <c r="B1834" i="1"/>
  <c r="H1833" i="1"/>
  <c r="G1833" i="1"/>
  <c r="F1833" i="1"/>
  <c r="E1833" i="1"/>
  <c r="D1833" i="1"/>
  <c r="C1833" i="1"/>
  <c r="B1833" i="1"/>
  <c r="H1832" i="1"/>
  <c r="G1832" i="1"/>
  <c r="F1832" i="1"/>
  <c r="E1832" i="1"/>
  <c r="D1832" i="1"/>
  <c r="C1832" i="1"/>
  <c r="B1832" i="1"/>
  <c r="H1831" i="1"/>
  <c r="G1831" i="1"/>
  <c r="F1831" i="1"/>
  <c r="E1831" i="1"/>
  <c r="D1831" i="1"/>
  <c r="C1831" i="1"/>
  <c r="B1831" i="1"/>
  <c r="H1830" i="1"/>
  <c r="G1830" i="1"/>
  <c r="F1830" i="1"/>
  <c r="E1830" i="1"/>
  <c r="D1830" i="1"/>
  <c r="C1830" i="1"/>
  <c r="B1830" i="1"/>
  <c r="H1829" i="1"/>
  <c r="G1829" i="1"/>
  <c r="F1829" i="1"/>
  <c r="E1829" i="1"/>
  <c r="D1829" i="1"/>
  <c r="C1829" i="1"/>
  <c r="B1829" i="1"/>
  <c r="H1828" i="1"/>
  <c r="G1828" i="1"/>
  <c r="F1828" i="1"/>
  <c r="E1828" i="1"/>
  <c r="D1828" i="1"/>
  <c r="C1828" i="1"/>
  <c r="B1828" i="1"/>
  <c r="H1827" i="1"/>
  <c r="G1827" i="1"/>
  <c r="F1827" i="1"/>
  <c r="E1827" i="1"/>
  <c r="D1827" i="1"/>
  <c r="C1827" i="1"/>
  <c r="B1827" i="1"/>
  <c r="H1826" i="1"/>
  <c r="G1826" i="1"/>
  <c r="F1826" i="1"/>
  <c r="E1826" i="1"/>
  <c r="D1826" i="1"/>
  <c r="C1826" i="1"/>
  <c r="B1826" i="1"/>
  <c r="H1825" i="1"/>
  <c r="G1825" i="1"/>
  <c r="F1825" i="1"/>
  <c r="E1825" i="1"/>
  <c r="D1825" i="1"/>
  <c r="C1825" i="1"/>
  <c r="B1825" i="1"/>
  <c r="H1824" i="1"/>
  <c r="G1824" i="1"/>
  <c r="F1824" i="1"/>
  <c r="E1824" i="1"/>
  <c r="D1824" i="1"/>
  <c r="C1824" i="1"/>
  <c r="B1824" i="1"/>
  <c r="H1823" i="1"/>
  <c r="G1823" i="1"/>
  <c r="F1823" i="1"/>
  <c r="E1823" i="1"/>
  <c r="D1823" i="1"/>
  <c r="C1823" i="1"/>
  <c r="B1823" i="1"/>
  <c r="H1822" i="1"/>
  <c r="G1822" i="1"/>
  <c r="F1822" i="1"/>
  <c r="E1822" i="1"/>
  <c r="D1822" i="1"/>
  <c r="C1822" i="1"/>
  <c r="B1822" i="1"/>
  <c r="H1821" i="1"/>
  <c r="G1821" i="1"/>
  <c r="F1821" i="1"/>
  <c r="E1821" i="1"/>
  <c r="D1821" i="1"/>
  <c r="C1821" i="1"/>
  <c r="B1821" i="1"/>
  <c r="H1820" i="1"/>
  <c r="G1820" i="1"/>
  <c r="F1820" i="1"/>
  <c r="E1820" i="1"/>
  <c r="D1820" i="1"/>
  <c r="C1820" i="1"/>
  <c r="B1820" i="1"/>
  <c r="H1819" i="1"/>
  <c r="G1819" i="1"/>
  <c r="F1819" i="1"/>
  <c r="E1819" i="1"/>
  <c r="D1819" i="1"/>
  <c r="C1819" i="1"/>
  <c r="B1819" i="1"/>
  <c r="H1818" i="1"/>
  <c r="G1818" i="1"/>
  <c r="F1818" i="1"/>
  <c r="E1818" i="1"/>
  <c r="D1818" i="1"/>
  <c r="C1818" i="1"/>
  <c r="B1818" i="1"/>
  <c r="H1817" i="1"/>
  <c r="G1817" i="1"/>
  <c r="F1817" i="1"/>
  <c r="E1817" i="1"/>
  <c r="D1817" i="1"/>
  <c r="C1817" i="1"/>
  <c r="B1817" i="1"/>
  <c r="H1816" i="1"/>
  <c r="G1816" i="1"/>
  <c r="F1816" i="1"/>
  <c r="E1816" i="1"/>
  <c r="D1816" i="1"/>
  <c r="C1816" i="1"/>
  <c r="B1816" i="1"/>
  <c r="H1815" i="1"/>
  <c r="G1815" i="1"/>
  <c r="F1815" i="1"/>
  <c r="E1815" i="1"/>
  <c r="D1815" i="1"/>
  <c r="C1815" i="1"/>
  <c r="B1815" i="1"/>
  <c r="H1814" i="1"/>
  <c r="G1814" i="1"/>
  <c r="F1814" i="1"/>
  <c r="E1814" i="1"/>
  <c r="D1814" i="1"/>
  <c r="C1814" i="1"/>
  <c r="B1814" i="1"/>
  <c r="H1813" i="1"/>
  <c r="G1813" i="1"/>
  <c r="F1813" i="1"/>
  <c r="E1813" i="1"/>
  <c r="D1813" i="1"/>
  <c r="C1813" i="1"/>
  <c r="B1813" i="1"/>
  <c r="H1812" i="1"/>
  <c r="G1812" i="1"/>
  <c r="F1812" i="1"/>
  <c r="E1812" i="1"/>
  <c r="D1812" i="1"/>
  <c r="C1812" i="1"/>
  <c r="B1812" i="1"/>
  <c r="H1811" i="1"/>
  <c r="G1811" i="1"/>
  <c r="F1811" i="1"/>
  <c r="E1811" i="1"/>
  <c r="D1811" i="1"/>
  <c r="C1811" i="1"/>
  <c r="B1811" i="1"/>
  <c r="H1810" i="1"/>
  <c r="G1810" i="1"/>
  <c r="F1810" i="1"/>
  <c r="E1810" i="1"/>
  <c r="D1810" i="1"/>
  <c r="C1810" i="1"/>
  <c r="B1810" i="1"/>
  <c r="H1809" i="1"/>
  <c r="G1809" i="1"/>
  <c r="F1809" i="1"/>
  <c r="E1809" i="1"/>
  <c r="D1809" i="1"/>
  <c r="C1809" i="1"/>
  <c r="B1809" i="1"/>
  <c r="H1808" i="1"/>
  <c r="G1808" i="1"/>
  <c r="F1808" i="1"/>
  <c r="E1808" i="1"/>
  <c r="D1808" i="1"/>
  <c r="C1808" i="1"/>
  <c r="B1808" i="1"/>
  <c r="H1807" i="1"/>
  <c r="G1807" i="1"/>
  <c r="F1807" i="1"/>
  <c r="E1807" i="1"/>
  <c r="D1807" i="1"/>
  <c r="C1807" i="1"/>
  <c r="B1807" i="1"/>
  <c r="H1806" i="1"/>
  <c r="G1806" i="1"/>
  <c r="F1806" i="1"/>
  <c r="E1806" i="1"/>
  <c r="D1806" i="1"/>
  <c r="C1806" i="1"/>
  <c r="B1806" i="1"/>
  <c r="H1805" i="1"/>
  <c r="G1805" i="1"/>
  <c r="F1805" i="1"/>
  <c r="E1805" i="1"/>
  <c r="D1805" i="1"/>
  <c r="C1805" i="1"/>
  <c r="B1805" i="1"/>
  <c r="H1804" i="1"/>
  <c r="G1804" i="1"/>
  <c r="F1804" i="1"/>
  <c r="E1804" i="1"/>
  <c r="D1804" i="1"/>
  <c r="C1804" i="1"/>
  <c r="B1804" i="1"/>
  <c r="H1803" i="1"/>
  <c r="G1803" i="1"/>
  <c r="F1803" i="1"/>
  <c r="E1803" i="1"/>
  <c r="D1803" i="1"/>
  <c r="C1803" i="1"/>
  <c r="B1803" i="1"/>
  <c r="H1802" i="1"/>
  <c r="G1802" i="1"/>
  <c r="F1802" i="1"/>
  <c r="E1802" i="1"/>
  <c r="D1802" i="1"/>
  <c r="C1802" i="1"/>
  <c r="B1802" i="1"/>
  <c r="H1801" i="1"/>
  <c r="G1801" i="1"/>
  <c r="F1801" i="1"/>
  <c r="E1801" i="1"/>
  <c r="D1801" i="1"/>
  <c r="C1801" i="1"/>
  <c r="B1801" i="1"/>
  <c r="H1800" i="1"/>
  <c r="G1800" i="1"/>
  <c r="F1800" i="1"/>
  <c r="E1800" i="1"/>
  <c r="D1800" i="1"/>
  <c r="C1800" i="1"/>
  <c r="B1800" i="1"/>
  <c r="H1799" i="1"/>
  <c r="G1799" i="1"/>
  <c r="F1799" i="1"/>
  <c r="E1799" i="1"/>
  <c r="D1799" i="1"/>
  <c r="C1799" i="1"/>
  <c r="B1799" i="1"/>
  <c r="H1798" i="1"/>
  <c r="G1798" i="1"/>
  <c r="F1798" i="1"/>
  <c r="E1798" i="1"/>
  <c r="D1798" i="1"/>
  <c r="C1798" i="1"/>
  <c r="B1798" i="1"/>
  <c r="H1797" i="1"/>
  <c r="G1797" i="1"/>
  <c r="F1797" i="1"/>
  <c r="E1797" i="1"/>
  <c r="D1797" i="1"/>
  <c r="C1797" i="1"/>
  <c r="B1797" i="1"/>
  <c r="H1796" i="1"/>
  <c r="G1796" i="1"/>
  <c r="F1796" i="1"/>
  <c r="E1796" i="1"/>
  <c r="D1796" i="1"/>
  <c r="C1796" i="1"/>
  <c r="B1796" i="1"/>
  <c r="H1795" i="1"/>
  <c r="G1795" i="1"/>
  <c r="F1795" i="1"/>
  <c r="E1795" i="1"/>
  <c r="D1795" i="1"/>
  <c r="C1795" i="1"/>
  <c r="B1795" i="1"/>
  <c r="H1794" i="1"/>
  <c r="G1794" i="1"/>
  <c r="F1794" i="1"/>
  <c r="E1794" i="1"/>
  <c r="D1794" i="1"/>
  <c r="C1794" i="1"/>
  <c r="B1794" i="1"/>
  <c r="H1793" i="1"/>
  <c r="G1793" i="1"/>
  <c r="F1793" i="1"/>
  <c r="E1793" i="1"/>
  <c r="D1793" i="1"/>
  <c r="C1793" i="1"/>
  <c r="B1793" i="1"/>
  <c r="H1792" i="1"/>
  <c r="G1792" i="1"/>
  <c r="F1792" i="1"/>
  <c r="E1792" i="1"/>
  <c r="D1792" i="1"/>
  <c r="C1792" i="1"/>
  <c r="B1792" i="1"/>
  <c r="H1791" i="1"/>
  <c r="G1791" i="1"/>
  <c r="F1791" i="1"/>
  <c r="E1791" i="1"/>
  <c r="D1791" i="1"/>
  <c r="C1791" i="1"/>
  <c r="B1791" i="1"/>
  <c r="H1790" i="1"/>
  <c r="G1790" i="1"/>
  <c r="F1790" i="1"/>
  <c r="E1790" i="1"/>
  <c r="D1790" i="1"/>
  <c r="C1790" i="1"/>
  <c r="B1790" i="1"/>
  <c r="H1789" i="1"/>
  <c r="G1789" i="1"/>
  <c r="F1789" i="1"/>
  <c r="E1789" i="1"/>
  <c r="D1789" i="1"/>
  <c r="C1789" i="1"/>
  <c r="B1789" i="1"/>
  <c r="H1788" i="1"/>
  <c r="G1788" i="1"/>
  <c r="F1788" i="1"/>
  <c r="E1788" i="1"/>
  <c r="D1788" i="1"/>
  <c r="C1788" i="1"/>
  <c r="B1788" i="1"/>
  <c r="H1787" i="1"/>
  <c r="G1787" i="1"/>
  <c r="F1787" i="1"/>
  <c r="E1787" i="1"/>
  <c r="D1787" i="1"/>
  <c r="C1787" i="1"/>
  <c r="B1787" i="1"/>
  <c r="H1786" i="1"/>
  <c r="G1786" i="1"/>
  <c r="F1786" i="1"/>
  <c r="E1786" i="1"/>
  <c r="D1786" i="1"/>
  <c r="C1786" i="1"/>
  <c r="B1786" i="1"/>
  <c r="H1785" i="1"/>
  <c r="G1785" i="1"/>
  <c r="F1785" i="1"/>
  <c r="E1785" i="1"/>
  <c r="D1785" i="1"/>
  <c r="C1785" i="1"/>
  <c r="B1785" i="1"/>
  <c r="H1784" i="1"/>
  <c r="G1784" i="1"/>
  <c r="F1784" i="1"/>
  <c r="E1784" i="1"/>
  <c r="D1784" i="1"/>
  <c r="C1784" i="1"/>
  <c r="B1784" i="1"/>
  <c r="H1783" i="1"/>
  <c r="G1783" i="1"/>
  <c r="F1783" i="1"/>
  <c r="E1783" i="1"/>
  <c r="D1783" i="1"/>
  <c r="C1783" i="1"/>
  <c r="B1783" i="1"/>
  <c r="H1782" i="1"/>
  <c r="G1782" i="1"/>
  <c r="F1782" i="1"/>
  <c r="E1782" i="1"/>
  <c r="D1782" i="1"/>
  <c r="C1782" i="1"/>
  <c r="B1782" i="1"/>
  <c r="H1781" i="1"/>
  <c r="G1781" i="1"/>
  <c r="F1781" i="1"/>
  <c r="E1781" i="1"/>
  <c r="D1781" i="1"/>
  <c r="C1781" i="1"/>
  <c r="B1781" i="1"/>
  <c r="H1780" i="1"/>
  <c r="G1780" i="1"/>
  <c r="F1780" i="1"/>
  <c r="E1780" i="1"/>
  <c r="D1780" i="1"/>
  <c r="C1780" i="1"/>
  <c r="B1780" i="1"/>
  <c r="H1779" i="1"/>
  <c r="G1779" i="1"/>
  <c r="F1779" i="1"/>
  <c r="E1779" i="1"/>
  <c r="D1779" i="1"/>
  <c r="C1779" i="1"/>
  <c r="B1779" i="1"/>
  <c r="H1778" i="1"/>
  <c r="G1778" i="1"/>
  <c r="F1778" i="1"/>
  <c r="E1778" i="1"/>
  <c r="D1778" i="1"/>
  <c r="C1778" i="1"/>
  <c r="B1778" i="1"/>
  <c r="H1777" i="1"/>
  <c r="G1777" i="1"/>
  <c r="F1777" i="1"/>
  <c r="E1777" i="1"/>
  <c r="D1777" i="1"/>
  <c r="C1777" i="1"/>
  <c r="B1777" i="1"/>
  <c r="H1776" i="1"/>
  <c r="G1776" i="1"/>
  <c r="F1776" i="1"/>
  <c r="E1776" i="1"/>
  <c r="D1776" i="1"/>
  <c r="C1776" i="1"/>
  <c r="B1776" i="1"/>
  <c r="H1775" i="1"/>
  <c r="G1775" i="1"/>
  <c r="F1775" i="1"/>
  <c r="E1775" i="1"/>
  <c r="D1775" i="1"/>
  <c r="C1775" i="1"/>
  <c r="B1775" i="1"/>
  <c r="H1774" i="1"/>
  <c r="G1774" i="1"/>
  <c r="F1774" i="1"/>
  <c r="E1774" i="1"/>
  <c r="D1774" i="1"/>
  <c r="C1774" i="1"/>
  <c r="B1774" i="1"/>
  <c r="H1773" i="1"/>
  <c r="G1773" i="1"/>
  <c r="F1773" i="1"/>
  <c r="E1773" i="1"/>
  <c r="D1773" i="1"/>
  <c r="C1773" i="1"/>
  <c r="B1773" i="1"/>
  <c r="H1772" i="1"/>
  <c r="G1772" i="1"/>
  <c r="F1772" i="1"/>
  <c r="E1772" i="1"/>
  <c r="D1772" i="1"/>
  <c r="C1772" i="1"/>
  <c r="B1772" i="1"/>
  <c r="H1771" i="1"/>
  <c r="G1771" i="1"/>
  <c r="F1771" i="1"/>
  <c r="E1771" i="1"/>
  <c r="D1771" i="1"/>
  <c r="C1771" i="1"/>
  <c r="B1771" i="1"/>
  <c r="H1770" i="1"/>
  <c r="G1770" i="1"/>
  <c r="F1770" i="1"/>
  <c r="E1770" i="1"/>
  <c r="D1770" i="1"/>
  <c r="C1770" i="1"/>
  <c r="B1770" i="1"/>
  <c r="H1769" i="1"/>
  <c r="G1769" i="1"/>
  <c r="F1769" i="1"/>
  <c r="E1769" i="1"/>
  <c r="D1769" i="1"/>
  <c r="C1769" i="1"/>
  <c r="B1769" i="1"/>
  <c r="H1768" i="1"/>
  <c r="G1768" i="1"/>
  <c r="F1768" i="1"/>
  <c r="E1768" i="1"/>
  <c r="D1768" i="1"/>
  <c r="C1768" i="1"/>
  <c r="B1768" i="1"/>
  <c r="H1767" i="1"/>
  <c r="G1767" i="1"/>
  <c r="F1767" i="1"/>
  <c r="E1767" i="1"/>
  <c r="D1767" i="1"/>
  <c r="C1767" i="1"/>
  <c r="B1767" i="1"/>
  <c r="H1766" i="1"/>
  <c r="G1766" i="1"/>
  <c r="F1766" i="1"/>
  <c r="E1766" i="1"/>
  <c r="D1766" i="1"/>
  <c r="C1766" i="1"/>
  <c r="B1766" i="1"/>
  <c r="H1765" i="1"/>
  <c r="G1765" i="1"/>
  <c r="F1765" i="1"/>
  <c r="E1765" i="1"/>
  <c r="D1765" i="1"/>
  <c r="C1765" i="1"/>
  <c r="B1765" i="1"/>
  <c r="H1764" i="1"/>
  <c r="G1764" i="1"/>
  <c r="F1764" i="1"/>
  <c r="E1764" i="1"/>
  <c r="D1764" i="1"/>
  <c r="C1764" i="1"/>
  <c r="B1764" i="1"/>
  <c r="H1763" i="1"/>
  <c r="G1763" i="1"/>
  <c r="F1763" i="1"/>
  <c r="E1763" i="1"/>
  <c r="D1763" i="1"/>
  <c r="C1763" i="1"/>
  <c r="B1763" i="1"/>
  <c r="H1762" i="1"/>
  <c r="G1762" i="1"/>
  <c r="F1762" i="1"/>
  <c r="E1762" i="1"/>
  <c r="D1762" i="1"/>
  <c r="C1762" i="1"/>
  <c r="B1762" i="1"/>
  <c r="H1761" i="1"/>
  <c r="G1761" i="1"/>
  <c r="F1761" i="1"/>
  <c r="E1761" i="1"/>
  <c r="D1761" i="1"/>
  <c r="C1761" i="1"/>
  <c r="B1761" i="1"/>
  <c r="H1760" i="1"/>
  <c r="G1760" i="1"/>
  <c r="F1760" i="1"/>
  <c r="E1760" i="1"/>
  <c r="D1760" i="1"/>
  <c r="C1760" i="1"/>
  <c r="B1760" i="1"/>
  <c r="H1759" i="1"/>
  <c r="G1759" i="1"/>
  <c r="F1759" i="1"/>
  <c r="E1759" i="1"/>
  <c r="D1759" i="1"/>
  <c r="C1759" i="1"/>
  <c r="B1759" i="1"/>
  <c r="H1758" i="1"/>
  <c r="G1758" i="1"/>
  <c r="F1758" i="1"/>
  <c r="E1758" i="1"/>
  <c r="D1758" i="1"/>
  <c r="C1758" i="1"/>
  <c r="B1758" i="1"/>
  <c r="H1757" i="1"/>
  <c r="G1757" i="1"/>
  <c r="F1757" i="1"/>
  <c r="E1757" i="1"/>
  <c r="D1757" i="1"/>
  <c r="C1757" i="1"/>
  <c r="B1757" i="1"/>
  <c r="H1756" i="1"/>
  <c r="G1756" i="1"/>
  <c r="F1756" i="1"/>
  <c r="E1756" i="1"/>
  <c r="D1756" i="1"/>
  <c r="C1756" i="1"/>
  <c r="B1756" i="1"/>
  <c r="H1755" i="1"/>
  <c r="G1755" i="1"/>
  <c r="F1755" i="1"/>
  <c r="E1755" i="1"/>
  <c r="D1755" i="1"/>
  <c r="C1755" i="1"/>
  <c r="B1755" i="1"/>
  <c r="H1754" i="1"/>
  <c r="G1754" i="1"/>
  <c r="F1754" i="1"/>
  <c r="E1754" i="1"/>
  <c r="D1754" i="1"/>
  <c r="C1754" i="1"/>
  <c r="B1754" i="1"/>
  <c r="H1753" i="1"/>
  <c r="G1753" i="1"/>
  <c r="F1753" i="1"/>
  <c r="E1753" i="1"/>
  <c r="D1753" i="1"/>
  <c r="C1753" i="1"/>
  <c r="B1753" i="1"/>
  <c r="H1752" i="1"/>
  <c r="G1752" i="1"/>
  <c r="F1752" i="1"/>
  <c r="E1752" i="1"/>
  <c r="D1752" i="1"/>
  <c r="C1752" i="1"/>
  <c r="B1752" i="1"/>
  <c r="H1751" i="1"/>
  <c r="G1751" i="1"/>
  <c r="F1751" i="1"/>
  <c r="E1751" i="1"/>
  <c r="D1751" i="1"/>
  <c r="C1751" i="1"/>
  <c r="B1751" i="1"/>
  <c r="H1750" i="1"/>
  <c r="G1750" i="1"/>
  <c r="F1750" i="1"/>
  <c r="E1750" i="1"/>
  <c r="D1750" i="1"/>
  <c r="C1750" i="1"/>
  <c r="B1750" i="1"/>
  <c r="H1749" i="1"/>
  <c r="G1749" i="1"/>
  <c r="F1749" i="1"/>
  <c r="E1749" i="1"/>
  <c r="D1749" i="1"/>
  <c r="C1749" i="1"/>
  <c r="B1749" i="1"/>
  <c r="H1748" i="1"/>
  <c r="G1748" i="1"/>
  <c r="F1748" i="1"/>
  <c r="E1748" i="1"/>
  <c r="D1748" i="1"/>
  <c r="C1748" i="1"/>
  <c r="B1748" i="1"/>
  <c r="H1747" i="1"/>
  <c r="G1747" i="1"/>
  <c r="F1747" i="1"/>
  <c r="E1747" i="1"/>
  <c r="D1747" i="1"/>
  <c r="C1747" i="1"/>
  <c r="B1747" i="1"/>
  <c r="H1746" i="1"/>
  <c r="G1746" i="1"/>
  <c r="F1746" i="1"/>
  <c r="E1746" i="1"/>
  <c r="D1746" i="1"/>
  <c r="C1746" i="1"/>
  <c r="B1746" i="1"/>
  <c r="H1745" i="1"/>
  <c r="G1745" i="1"/>
  <c r="F1745" i="1"/>
  <c r="E1745" i="1"/>
  <c r="D1745" i="1"/>
  <c r="C1745" i="1"/>
  <c r="B1745" i="1"/>
  <c r="H1744" i="1"/>
  <c r="G1744" i="1"/>
  <c r="F1744" i="1"/>
  <c r="E1744" i="1"/>
  <c r="D1744" i="1"/>
  <c r="C1744" i="1"/>
  <c r="B1744" i="1"/>
  <c r="H1743" i="1"/>
  <c r="G1743" i="1"/>
  <c r="F1743" i="1"/>
  <c r="E1743" i="1"/>
  <c r="D1743" i="1"/>
  <c r="C1743" i="1"/>
  <c r="B1743" i="1"/>
  <c r="H1742" i="1"/>
  <c r="G1742" i="1"/>
  <c r="F1742" i="1"/>
  <c r="E1742" i="1"/>
  <c r="D1742" i="1"/>
  <c r="C1742" i="1"/>
  <c r="B1742" i="1"/>
  <c r="H1741" i="1"/>
  <c r="G1741" i="1"/>
  <c r="F1741" i="1"/>
  <c r="E1741" i="1"/>
  <c r="D1741" i="1"/>
  <c r="C1741" i="1"/>
  <c r="B1741" i="1"/>
  <c r="H1740" i="1"/>
  <c r="G1740" i="1"/>
  <c r="F1740" i="1"/>
  <c r="E1740" i="1"/>
  <c r="D1740" i="1"/>
  <c r="C1740" i="1"/>
  <c r="B1740" i="1"/>
  <c r="H1739" i="1"/>
  <c r="G1739" i="1"/>
  <c r="F1739" i="1"/>
  <c r="E1739" i="1"/>
  <c r="D1739" i="1"/>
  <c r="C1739" i="1"/>
  <c r="B1739" i="1"/>
  <c r="H1738" i="1"/>
  <c r="G1738" i="1"/>
  <c r="F1738" i="1"/>
  <c r="E1738" i="1"/>
  <c r="D1738" i="1"/>
  <c r="C1738" i="1"/>
  <c r="B1738" i="1"/>
  <c r="H1737" i="1"/>
  <c r="G1737" i="1"/>
  <c r="F1737" i="1"/>
  <c r="E1737" i="1"/>
  <c r="D1737" i="1"/>
  <c r="C1737" i="1"/>
  <c r="B1737" i="1"/>
  <c r="H1736" i="1"/>
  <c r="G1736" i="1"/>
  <c r="F1736" i="1"/>
  <c r="E1736" i="1"/>
  <c r="D1736" i="1"/>
  <c r="C1736" i="1"/>
  <c r="B1736" i="1"/>
  <c r="H1735" i="1"/>
  <c r="G1735" i="1"/>
  <c r="F1735" i="1"/>
  <c r="E1735" i="1"/>
  <c r="D1735" i="1"/>
  <c r="C1735" i="1"/>
  <c r="B1735" i="1"/>
  <c r="H1734" i="1"/>
  <c r="G1734" i="1"/>
  <c r="F1734" i="1"/>
  <c r="E1734" i="1"/>
  <c r="D1734" i="1"/>
  <c r="C1734" i="1"/>
  <c r="B1734" i="1"/>
  <c r="H1733" i="1"/>
  <c r="G1733" i="1"/>
  <c r="F1733" i="1"/>
  <c r="E1733" i="1"/>
  <c r="D1733" i="1"/>
  <c r="C1733" i="1"/>
  <c r="B1733" i="1"/>
  <c r="H1732" i="1"/>
  <c r="G1732" i="1"/>
  <c r="F1732" i="1"/>
  <c r="E1732" i="1"/>
  <c r="D1732" i="1"/>
  <c r="C1732" i="1"/>
  <c r="B1732" i="1"/>
  <c r="H1731" i="1"/>
  <c r="G1731" i="1"/>
  <c r="F1731" i="1"/>
  <c r="E1731" i="1"/>
  <c r="D1731" i="1"/>
  <c r="C1731" i="1"/>
  <c r="B1731" i="1"/>
  <c r="H1730" i="1"/>
  <c r="G1730" i="1"/>
  <c r="F1730" i="1"/>
  <c r="E1730" i="1"/>
  <c r="D1730" i="1"/>
  <c r="C1730" i="1"/>
  <c r="B1730" i="1"/>
  <c r="H1729" i="1"/>
  <c r="G1729" i="1"/>
  <c r="F1729" i="1"/>
  <c r="E1729" i="1"/>
  <c r="D1729" i="1"/>
  <c r="C1729" i="1"/>
  <c r="B1729" i="1"/>
  <c r="H1728" i="1"/>
  <c r="G1728" i="1"/>
  <c r="F1728" i="1"/>
  <c r="E1728" i="1"/>
  <c r="D1728" i="1"/>
  <c r="C1728" i="1"/>
  <c r="B1728" i="1"/>
  <c r="H1727" i="1"/>
  <c r="G1727" i="1"/>
  <c r="F1727" i="1"/>
  <c r="E1727" i="1"/>
  <c r="D1727" i="1"/>
  <c r="C1727" i="1"/>
  <c r="B1727" i="1"/>
  <c r="H1726" i="1"/>
  <c r="G1726" i="1"/>
  <c r="F1726" i="1"/>
  <c r="E1726" i="1"/>
  <c r="D1726" i="1"/>
  <c r="C1726" i="1"/>
  <c r="B1726" i="1"/>
  <c r="H1725" i="1"/>
  <c r="G1725" i="1"/>
  <c r="F1725" i="1"/>
  <c r="E1725" i="1"/>
  <c r="D1725" i="1"/>
  <c r="C1725" i="1"/>
  <c r="B1725" i="1"/>
  <c r="H1724" i="1"/>
  <c r="G1724" i="1"/>
  <c r="F1724" i="1"/>
  <c r="E1724" i="1"/>
  <c r="D1724" i="1"/>
  <c r="C1724" i="1"/>
  <c r="B1724" i="1"/>
  <c r="H1723" i="1"/>
  <c r="G1723" i="1"/>
  <c r="F1723" i="1"/>
  <c r="E1723" i="1"/>
  <c r="D1723" i="1"/>
  <c r="C1723" i="1"/>
  <c r="B1723" i="1"/>
  <c r="H1722" i="1"/>
  <c r="G1722" i="1"/>
  <c r="F1722" i="1"/>
  <c r="E1722" i="1"/>
  <c r="D1722" i="1"/>
  <c r="C1722" i="1"/>
  <c r="B1722" i="1"/>
  <c r="H1721" i="1"/>
  <c r="G1721" i="1"/>
  <c r="F1721" i="1"/>
  <c r="E1721" i="1"/>
  <c r="D1721" i="1"/>
  <c r="C1721" i="1"/>
  <c r="B1721" i="1"/>
  <c r="H1720" i="1"/>
  <c r="G1720" i="1"/>
  <c r="F1720" i="1"/>
  <c r="E1720" i="1"/>
  <c r="D1720" i="1"/>
  <c r="C1720" i="1"/>
  <c r="B1720" i="1"/>
  <c r="H1719" i="1"/>
  <c r="G1719" i="1"/>
  <c r="F1719" i="1"/>
  <c r="E1719" i="1"/>
  <c r="D1719" i="1"/>
  <c r="C1719" i="1"/>
  <c r="B1719" i="1"/>
  <c r="H1718" i="1"/>
  <c r="G1718" i="1"/>
  <c r="F1718" i="1"/>
  <c r="E1718" i="1"/>
  <c r="D1718" i="1"/>
  <c r="C1718" i="1"/>
  <c r="B1718" i="1"/>
  <c r="H1717" i="1"/>
  <c r="G1717" i="1"/>
  <c r="F1717" i="1"/>
  <c r="E1717" i="1"/>
  <c r="D1717" i="1"/>
  <c r="C1717" i="1"/>
  <c r="B1717" i="1"/>
  <c r="H1716" i="1"/>
  <c r="G1716" i="1"/>
  <c r="F1716" i="1"/>
  <c r="E1716" i="1"/>
  <c r="D1716" i="1"/>
  <c r="C1716" i="1"/>
  <c r="B1716" i="1"/>
  <c r="H1715" i="1"/>
  <c r="G1715" i="1"/>
  <c r="F1715" i="1"/>
  <c r="E1715" i="1"/>
  <c r="D1715" i="1"/>
  <c r="C1715" i="1"/>
  <c r="B1715" i="1"/>
  <c r="H1714" i="1"/>
  <c r="G1714" i="1"/>
  <c r="F1714" i="1"/>
  <c r="E1714" i="1"/>
  <c r="D1714" i="1"/>
  <c r="C1714" i="1"/>
  <c r="B1714" i="1"/>
  <c r="H1713" i="1"/>
  <c r="G1713" i="1"/>
  <c r="F1713" i="1"/>
  <c r="E1713" i="1"/>
  <c r="D1713" i="1"/>
  <c r="C1713" i="1"/>
  <c r="B1713" i="1"/>
  <c r="H1712" i="1"/>
  <c r="G1712" i="1"/>
  <c r="F1712" i="1"/>
  <c r="E1712" i="1"/>
  <c r="D1712" i="1"/>
  <c r="C1712" i="1"/>
  <c r="B1712" i="1"/>
  <c r="H1711" i="1"/>
  <c r="G1711" i="1"/>
  <c r="F1711" i="1"/>
  <c r="E1711" i="1"/>
  <c r="D1711" i="1"/>
  <c r="C1711" i="1"/>
  <c r="B1711" i="1"/>
  <c r="H1710" i="1"/>
  <c r="G1710" i="1"/>
  <c r="F1710" i="1"/>
  <c r="E1710" i="1"/>
  <c r="D1710" i="1"/>
  <c r="C1710" i="1"/>
  <c r="B1710" i="1"/>
  <c r="H1709" i="1"/>
  <c r="G1709" i="1"/>
  <c r="F1709" i="1"/>
  <c r="E1709" i="1"/>
  <c r="D1709" i="1"/>
  <c r="C1709" i="1"/>
  <c r="B1709" i="1"/>
  <c r="H1708" i="1"/>
  <c r="G1708" i="1"/>
  <c r="F1708" i="1"/>
  <c r="E1708" i="1"/>
  <c r="D1708" i="1"/>
  <c r="C1708" i="1"/>
  <c r="B1708" i="1"/>
  <c r="H1707" i="1"/>
  <c r="G1707" i="1"/>
  <c r="F1707" i="1"/>
  <c r="E1707" i="1"/>
  <c r="D1707" i="1"/>
  <c r="C1707" i="1"/>
  <c r="B1707" i="1"/>
  <c r="H1706" i="1"/>
  <c r="G1706" i="1"/>
  <c r="F1706" i="1"/>
  <c r="E1706" i="1"/>
  <c r="D1706" i="1"/>
  <c r="C1706" i="1"/>
  <c r="B1706" i="1"/>
  <c r="H1705" i="1"/>
  <c r="G1705" i="1"/>
  <c r="F1705" i="1"/>
  <c r="E1705" i="1"/>
  <c r="D1705" i="1"/>
  <c r="C1705" i="1"/>
  <c r="B1705" i="1"/>
  <c r="H1704" i="1"/>
  <c r="G1704" i="1"/>
  <c r="F1704" i="1"/>
  <c r="E1704" i="1"/>
  <c r="D1704" i="1"/>
  <c r="C1704" i="1"/>
  <c r="B1704" i="1"/>
  <c r="H1703" i="1"/>
  <c r="G1703" i="1"/>
  <c r="F1703" i="1"/>
  <c r="E1703" i="1"/>
  <c r="D1703" i="1"/>
  <c r="C1703" i="1"/>
  <c r="B1703" i="1"/>
  <c r="H1702" i="1"/>
  <c r="G1702" i="1"/>
  <c r="F1702" i="1"/>
  <c r="E1702" i="1"/>
  <c r="D1702" i="1"/>
  <c r="C1702" i="1"/>
  <c r="B1702" i="1"/>
  <c r="H1701" i="1"/>
  <c r="G1701" i="1"/>
  <c r="F1701" i="1"/>
  <c r="E1701" i="1"/>
  <c r="D1701" i="1"/>
  <c r="C1701" i="1"/>
  <c r="B1701" i="1"/>
  <c r="H1700" i="1"/>
  <c r="G1700" i="1"/>
  <c r="F1700" i="1"/>
  <c r="E1700" i="1"/>
  <c r="D1700" i="1"/>
  <c r="C1700" i="1"/>
  <c r="B1700" i="1"/>
  <c r="H1699" i="1"/>
  <c r="G1699" i="1"/>
  <c r="F1699" i="1"/>
  <c r="E1699" i="1"/>
  <c r="D1699" i="1"/>
  <c r="C1699" i="1"/>
  <c r="B1699" i="1"/>
  <c r="H1698" i="1"/>
  <c r="G1698" i="1"/>
  <c r="F1698" i="1"/>
  <c r="E1698" i="1"/>
  <c r="D1698" i="1"/>
  <c r="C1698" i="1"/>
  <c r="B1698" i="1"/>
  <c r="H1697" i="1"/>
  <c r="G1697" i="1"/>
  <c r="F1697" i="1"/>
  <c r="E1697" i="1"/>
  <c r="D1697" i="1"/>
  <c r="C1697" i="1"/>
  <c r="B1697" i="1"/>
  <c r="H1696" i="1"/>
  <c r="G1696" i="1"/>
  <c r="F1696" i="1"/>
  <c r="E1696" i="1"/>
  <c r="D1696" i="1"/>
  <c r="C1696" i="1"/>
  <c r="B1696" i="1"/>
  <c r="H1695" i="1"/>
  <c r="G1695" i="1"/>
  <c r="F1695" i="1"/>
  <c r="E1695" i="1"/>
  <c r="D1695" i="1"/>
  <c r="C1695" i="1"/>
  <c r="B1695" i="1"/>
  <c r="H1694" i="1"/>
  <c r="G1694" i="1"/>
  <c r="F1694" i="1"/>
  <c r="E1694" i="1"/>
  <c r="D1694" i="1"/>
  <c r="C1694" i="1"/>
  <c r="B1694" i="1"/>
  <c r="H1693" i="1"/>
  <c r="G1693" i="1"/>
  <c r="F1693" i="1"/>
  <c r="E1693" i="1"/>
  <c r="D1693" i="1"/>
  <c r="C1693" i="1"/>
  <c r="B1693" i="1"/>
  <c r="H1692" i="1"/>
  <c r="G1692" i="1"/>
  <c r="F1692" i="1"/>
  <c r="E1692" i="1"/>
  <c r="D1692" i="1"/>
  <c r="C1692" i="1"/>
  <c r="B1692" i="1"/>
  <c r="H1691" i="1"/>
  <c r="G1691" i="1"/>
  <c r="F1691" i="1"/>
  <c r="E1691" i="1"/>
  <c r="D1691" i="1"/>
  <c r="C1691" i="1"/>
  <c r="B1691" i="1"/>
  <c r="H1690" i="1"/>
  <c r="G1690" i="1"/>
  <c r="F1690" i="1"/>
  <c r="E1690" i="1"/>
  <c r="D1690" i="1"/>
  <c r="C1690" i="1"/>
  <c r="B1690" i="1"/>
  <c r="H1689" i="1"/>
  <c r="G1689" i="1"/>
  <c r="F1689" i="1"/>
  <c r="E1689" i="1"/>
  <c r="D1689" i="1"/>
  <c r="C1689" i="1"/>
  <c r="B1689" i="1"/>
  <c r="H1688" i="1"/>
  <c r="G1688" i="1"/>
  <c r="F1688" i="1"/>
  <c r="E1688" i="1"/>
  <c r="D1688" i="1"/>
  <c r="C1688" i="1"/>
  <c r="B1688" i="1"/>
  <c r="H1687" i="1"/>
  <c r="G1687" i="1"/>
  <c r="F1687" i="1"/>
  <c r="E1687" i="1"/>
  <c r="D1687" i="1"/>
  <c r="C1687" i="1"/>
  <c r="B1687" i="1"/>
  <c r="H1686" i="1"/>
  <c r="G1686" i="1"/>
  <c r="F1686" i="1"/>
  <c r="E1686" i="1"/>
  <c r="D1686" i="1"/>
  <c r="C1686" i="1"/>
  <c r="B1686" i="1"/>
  <c r="H1685" i="1"/>
  <c r="G1685" i="1"/>
  <c r="F1685" i="1"/>
  <c r="E1685" i="1"/>
  <c r="D1685" i="1"/>
  <c r="C1685" i="1"/>
  <c r="B1685" i="1"/>
  <c r="H1684" i="1"/>
  <c r="G1684" i="1"/>
  <c r="F1684" i="1"/>
  <c r="E1684" i="1"/>
  <c r="D1684" i="1"/>
  <c r="C1684" i="1"/>
  <c r="B1684" i="1"/>
  <c r="H1683" i="1"/>
  <c r="G1683" i="1"/>
  <c r="F1683" i="1"/>
  <c r="E1683" i="1"/>
  <c r="D1683" i="1"/>
  <c r="C1683" i="1"/>
  <c r="B1683" i="1"/>
  <c r="H1682" i="1"/>
  <c r="G1682" i="1"/>
  <c r="F1682" i="1"/>
  <c r="E1682" i="1"/>
  <c r="D1682" i="1"/>
  <c r="C1682" i="1"/>
  <c r="B1682" i="1"/>
  <c r="H1681" i="1"/>
  <c r="G1681" i="1"/>
  <c r="F1681" i="1"/>
  <c r="E1681" i="1"/>
  <c r="D1681" i="1"/>
  <c r="C1681" i="1"/>
  <c r="B1681" i="1"/>
  <c r="H1680" i="1"/>
  <c r="G1680" i="1"/>
  <c r="F1680" i="1"/>
  <c r="E1680" i="1"/>
  <c r="D1680" i="1"/>
  <c r="C1680" i="1"/>
  <c r="B1680" i="1"/>
  <c r="H1679" i="1"/>
  <c r="G1679" i="1"/>
  <c r="F1679" i="1"/>
  <c r="E1679" i="1"/>
  <c r="D1679" i="1"/>
  <c r="C1679" i="1"/>
  <c r="B1679" i="1"/>
  <c r="H1678" i="1"/>
  <c r="G1678" i="1"/>
  <c r="F1678" i="1"/>
  <c r="E1678" i="1"/>
  <c r="D1678" i="1"/>
  <c r="C1678" i="1"/>
  <c r="B1678" i="1"/>
  <c r="H1677" i="1"/>
  <c r="G1677" i="1"/>
  <c r="F1677" i="1"/>
  <c r="E1677" i="1"/>
  <c r="D1677" i="1"/>
  <c r="C1677" i="1"/>
  <c r="B1677" i="1"/>
  <c r="H1676" i="1"/>
  <c r="G1676" i="1"/>
  <c r="F1676" i="1"/>
  <c r="E1676" i="1"/>
  <c r="D1676" i="1"/>
  <c r="C1676" i="1"/>
  <c r="B1676" i="1"/>
  <c r="H1675" i="1"/>
  <c r="G1675" i="1"/>
  <c r="F1675" i="1"/>
  <c r="E1675" i="1"/>
  <c r="D1675" i="1"/>
  <c r="C1675" i="1"/>
  <c r="B1675" i="1"/>
  <c r="H1674" i="1"/>
  <c r="G1674" i="1"/>
  <c r="F1674" i="1"/>
  <c r="E1674" i="1"/>
  <c r="D1674" i="1"/>
  <c r="C1674" i="1"/>
  <c r="B1674" i="1"/>
  <c r="H1673" i="1"/>
  <c r="G1673" i="1"/>
  <c r="F1673" i="1"/>
  <c r="E1673" i="1"/>
  <c r="D1673" i="1"/>
  <c r="C1673" i="1"/>
  <c r="B1673" i="1"/>
  <c r="H1672" i="1"/>
  <c r="G1672" i="1"/>
  <c r="F1672" i="1"/>
  <c r="E1672" i="1"/>
  <c r="D1672" i="1"/>
  <c r="C1672" i="1"/>
  <c r="B1672" i="1"/>
  <c r="H1671" i="1"/>
  <c r="G1671" i="1"/>
  <c r="F1671" i="1"/>
  <c r="E1671" i="1"/>
  <c r="D1671" i="1"/>
  <c r="C1671" i="1"/>
  <c r="B1671" i="1"/>
  <c r="H1670" i="1"/>
  <c r="G1670" i="1"/>
  <c r="F1670" i="1"/>
  <c r="E1670" i="1"/>
  <c r="D1670" i="1"/>
  <c r="C1670" i="1"/>
  <c r="B1670" i="1"/>
  <c r="H1669" i="1"/>
  <c r="G1669" i="1"/>
  <c r="F1669" i="1"/>
  <c r="E1669" i="1"/>
  <c r="D1669" i="1"/>
  <c r="C1669" i="1"/>
  <c r="B1669" i="1"/>
  <c r="H1668" i="1"/>
  <c r="G1668" i="1"/>
  <c r="F1668" i="1"/>
  <c r="E1668" i="1"/>
  <c r="D1668" i="1"/>
  <c r="C1668" i="1"/>
  <c r="B1668" i="1"/>
  <c r="H1667" i="1"/>
  <c r="G1667" i="1"/>
  <c r="F1667" i="1"/>
  <c r="E1667" i="1"/>
  <c r="D1667" i="1"/>
  <c r="C1667" i="1"/>
  <c r="B1667" i="1"/>
  <c r="H1666" i="1"/>
  <c r="G1666" i="1"/>
  <c r="F1666" i="1"/>
  <c r="E1666" i="1"/>
  <c r="D1666" i="1"/>
  <c r="C1666" i="1"/>
  <c r="B1666" i="1"/>
  <c r="H1665" i="1"/>
  <c r="G1665" i="1"/>
  <c r="F1665" i="1"/>
  <c r="E1665" i="1"/>
  <c r="D1665" i="1"/>
  <c r="C1665" i="1"/>
  <c r="B1665" i="1"/>
  <c r="H1664" i="1"/>
  <c r="G1664" i="1"/>
  <c r="F1664" i="1"/>
  <c r="E1664" i="1"/>
  <c r="D1664" i="1"/>
  <c r="C1664" i="1"/>
  <c r="B1664" i="1"/>
  <c r="H1663" i="1"/>
  <c r="G1663" i="1"/>
  <c r="F1663" i="1"/>
  <c r="E1663" i="1"/>
  <c r="D1663" i="1"/>
  <c r="C1663" i="1"/>
  <c r="B1663" i="1"/>
  <c r="H1662" i="1"/>
  <c r="G1662" i="1"/>
  <c r="F1662" i="1"/>
  <c r="E1662" i="1"/>
  <c r="D1662" i="1"/>
  <c r="C1662" i="1"/>
  <c r="B1662" i="1"/>
  <c r="H1661" i="1"/>
  <c r="G1661" i="1"/>
  <c r="F1661" i="1"/>
  <c r="E1661" i="1"/>
  <c r="D1661" i="1"/>
  <c r="C1661" i="1"/>
  <c r="B1661" i="1"/>
  <c r="H1660" i="1"/>
  <c r="G1660" i="1"/>
  <c r="F1660" i="1"/>
  <c r="E1660" i="1"/>
  <c r="D1660" i="1"/>
  <c r="C1660" i="1"/>
  <c r="B1660" i="1"/>
  <c r="H1659" i="1"/>
  <c r="G1659" i="1"/>
  <c r="F1659" i="1"/>
  <c r="E1659" i="1"/>
  <c r="D1659" i="1"/>
  <c r="C1659" i="1"/>
  <c r="B1659" i="1"/>
  <c r="H1658" i="1"/>
  <c r="G1658" i="1"/>
  <c r="F1658" i="1"/>
  <c r="E1658" i="1"/>
  <c r="D1658" i="1"/>
  <c r="C1658" i="1"/>
  <c r="B1658" i="1"/>
  <c r="H1657" i="1"/>
  <c r="G1657" i="1"/>
  <c r="F1657" i="1"/>
  <c r="E1657" i="1"/>
  <c r="D1657" i="1"/>
  <c r="C1657" i="1"/>
  <c r="B1657" i="1"/>
  <c r="H1656" i="1"/>
  <c r="G1656" i="1"/>
  <c r="F1656" i="1"/>
  <c r="E1656" i="1"/>
  <c r="D1656" i="1"/>
  <c r="C1656" i="1"/>
  <c r="B1656" i="1"/>
  <c r="H1655" i="1"/>
  <c r="G1655" i="1"/>
  <c r="F1655" i="1"/>
  <c r="E1655" i="1"/>
  <c r="D1655" i="1"/>
  <c r="C1655" i="1"/>
  <c r="B1655" i="1"/>
  <c r="H1654" i="1"/>
  <c r="G1654" i="1"/>
  <c r="F1654" i="1"/>
  <c r="E1654" i="1"/>
  <c r="D1654" i="1"/>
  <c r="C1654" i="1"/>
  <c r="B1654" i="1"/>
  <c r="H1653" i="1"/>
  <c r="G1653" i="1"/>
  <c r="F1653" i="1"/>
  <c r="E1653" i="1"/>
  <c r="D1653" i="1"/>
  <c r="C1653" i="1"/>
  <c r="B1653" i="1"/>
  <c r="H1652" i="1"/>
  <c r="G1652" i="1"/>
  <c r="F1652" i="1"/>
  <c r="E1652" i="1"/>
  <c r="D1652" i="1"/>
  <c r="C1652" i="1"/>
  <c r="B1652" i="1"/>
  <c r="H1651" i="1"/>
  <c r="G1651" i="1"/>
  <c r="F1651" i="1"/>
  <c r="E1651" i="1"/>
  <c r="D1651" i="1"/>
  <c r="C1651" i="1"/>
  <c r="B1651" i="1"/>
  <c r="H1650" i="1"/>
  <c r="G1650" i="1"/>
  <c r="F1650" i="1"/>
  <c r="E1650" i="1"/>
  <c r="D1650" i="1"/>
  <c r="C1650" i="1"/>
  <c r="B1650" i="1"/>
  <c r="H1649" i="1"/>
  <c r="G1649" i="1"/>
  <c r="F1649" i="1"/>
  <c r="E1649" i="1"/>
  <c r="D1649" i="1"/>
  <c r="C1649" i="1"/>
  <c r="B1649" i="1"/>
  <c r="H1648" i="1"/>
  <c r="G1648" i="1"/>
  <c r="F1648" i="1"/>
  <c r="E1648" i="1"/>
  <c r="D1648" i="1"/>
  <c r="C1648" i="1"/>
  <c r="B1648" i="1"/>
  <c r="H1647" i="1"/>
  <c r="G1647" i="1"/>
  <c r="F1647" i="1"/>
  <c r="E1647" i="1"/>
  <c r="D1647" i="1"/>
  <c r="C1647" i="1"/>
  <c r="B1647" i="1"/>
  <c r="H1646" i="1"/>
  <c r="G1646" i="1"/>
  <c r="F1646" i="1"/>
  <c r="E1646" i="1"/>
  <c r="D1646" i="1"/>
  <c r="C1646" i="1"/>
  <c r="B1646" i="1"/>
  <c r="H1645" i="1"/>
  <c r="G1645" i="1"/>
  <c r="F1645" i="1"/>
  <c r="E1645" i="1"/>
  <c r="D1645" i="1"/>
  <c r="C1645" i="1"/>
  <c r="B1645" i="1"/>
  <c r="H1644" i="1"/>
  <c r="G1644" i="1"/>
  <c r="F1644" i="1"/>
  <c r="E1644" i="1"/>
  <c r="D1644" i="1"/>
  <c r="C1644" i="1"/>
  <c r="B1644" i="1"/>
  <c r="H1643" i="1"/>
  <c r="G1643" i="1"/>
  <c r="F1643" i="1"/>
  <c r="E1643" i="1"/>
  <c r="D1643" i="1"/>
  <c r="C1643" i="1"/>
  <c r="B1643" i="1"/>
  <c r="H1642" i="1"/>
  <c r="G1642" i="1"/>
  <c r="F1642" i="1"/>
  <c r="E1642" i="1"/>
  <c r="D1642" i="1"/>
  <c r="C1642" i="1"/>
  <c r="B1642" i="1"/>
  <c r="H1641" i="1"/>
  <c r="G1641" i="1"/>
  <c r="F1641" i="1"/>
  <c r="E1641" i="1"/>
  <c r="D1641" i="1"/>
  <c r="C1641" i="1"/>
  <c r="B1641" i="1"/>
  <c r="H1640" i="1"/>
  <c r="G1640" i="1"/>
  <c r="F1640" i="1"/>
  <c r="E1640" i="1"/>
  <c r="D1640" i="1"/>
  <c r="C1640" i="1"/>
  <c r="B1640" i="1"/>
  <c r="H1639" i="1"/>
  <c r="G1639" i="1"/>
  <c r="F1639" i="1"/>
  <c r="E1639" i="1"/>
  <c r="D1639" i="1"/>
  <c r="C1639" i="1"/>
  <c r="B1639" i="1"/>
  <c r="H1638" i="1"/>
  <c r="G1638" i="1"/>
  <c r="F1638" i="1"/>
  <c r="E1638" i="1"/>
  <c r="D1638" i="1"/>
  <c r="C1638" i="1"/>
  <c r="B1638" i="1"/>
  <c r="H1637" i="1"/>
  <c r="G1637" i="1"/>
  <c r="F1637" i="1"/>
  <c r="E1637" i="1"/>
  <c r="D1637" i="1"/>
  <c r="C1637" i="1"/>
  <c r="B1637" i="1"/>
  <c r="H1636" i="1"/>
  <c r="G1636" i="1"/>
  <c r="F1636" i="1"/>
  <c r="E1636" i="1"/>
  <c r="D1636" i="1"/>
  <c r="C1636" i="1"/>
  <c r="B1636" i="1"/>
  <c r="H1635" i="1"/>
  <c r="G1635" i="1"/>
  <c r="F1635" i="1"/>
  <c r="E1635" i="1"/>
  <c r="D1635" i="1"/>
  <c r="C1635" i="1"/>
  <c r="B1635" i="1"/>
  <c r="H1634" i="1"/>
  <c r="G1634" i="1"/>
  <c r="F1634" i="1"/>
  <c r="E1634" i="1"/>
  <c r="D1634" i="1"/>
  <c r="C1634" i="1"/>
  <c r="B1634" i="1"/>
  <c r="H1633" i="1"/>
  <c r="G1633" i="1"/>
  <c r="F1633" i="1"/>
  <c r="E1633" i="1"/>
  <c r="D1633" i="1"/>
  <c r="C1633" i="1"/>
  <c r="B1633" i="1"/>
  <c r="H1632" i="1"/>
  <c r="G1632" i="1"/>
  <c r="F1632" i="1"/>
  <c r="E1632" i="1"/>
  <c r="D1632" i="1"/>
  <c r="C1632" i="1"/>
  <c r="B1632" i="1"/>
  <c r="H1631" i="1"/>
  <c r="G1631" i="1"/>
  <c r="F1631" i="1"/>
  <c r="E1631" i="1"/>
  <c r="D1631" i="1"/>
  <c r="C1631" i="1"/>
  <c r="B1631" i="1"/>
  <c r="H1630" i="1"/>
  <c r="G1630" i="1"/>
  <c r="F1630" i="1"/>
  <c r="E1630" i="1"/>
  <c r="D1630" i="1"/>
  <c r="C1630" i="1"/>
  <c r="B1630" i="1"/>
  <c r="H1629" i="1"/>
  <c r="G1629" i="1"/>
  <c r="F1629" i="1"/>
  <c r="E1629" i="1"/>
  <c r="D1629" i="1"/>
  <c r="C1629" i="1"/>
  <c r="B1629" i="1"/>
  <c r="H1628" i="1"/>
  <c r="G1628" i="1"/>
  <c r="F1628" i="1"/>
  <c r="E1628" i="1"/>
  <c r="D1628" i="1"/>
  <c r="C1628" i="1"/>
  <c r="B1628" i="1"/>
  <c r="H1627" i="1"/>
  <c r="G1627" i="1"/>
  <c r="F1627" i="1"/>
  <c r="E1627" i="1"/>
  <c r="D1627" i="1"/>
  <c r="C1627" i="1"/>
  <c r="B1627" i="1"/>
  <c r="H1626" i="1"/>
  <c r="G1626" i="1"/>
  <c r="F1626" i="1"/>
  <c r="E1626" i="1"/>
  <c r="D1626" i="1"/>
  <c r="C1626" i="1"/>
  <c r="B1626" i="1"/>
  <c r="H1625" i="1"/>
  <c r="G1625" i="1"/>
  <c r="F1625" i="1"/>
  <c r="E1625" i="1"/>
  <c r="D1625" i="1"/>
  <c r="C1625" i="1"/>
  <c r="B1625" i="1"/>
  <c r="H1624" i="1"/>
  <c r="G1624" i="1"/>
  <c r="F1624" i="1"/>
  <c r="E1624" i="1"/>
  <c r="D1624" i="1"/>
  <c r="C1624" i="1"/>
  <c r="B1624" i="1"/>
  <c r="H1623" i="1"/>
  <c r="G1623" i="1"/>
  <c r="F1623" i="1"/>
  <c r="E1623" i="1"/>
  <c r="D1623" i="1"/>
  <c r="C1623" i="1"/>
  <c r="B1623" i="1"/>
  <c r="H1622" i="1"/>
  <c r="G1622" i="1"/>
  <c r="F1622" i="1"/>
  <c r="E1622" i="1"/>
  <c r="D1622" i="1"/>
  <c r="C1622" i="1"/>
  <c r="B1622" i="1"/>
  <c r="H1621" i="1"/>
  <c r="G1621" i="1"/>
  <c r="F1621" i="1"/>
  <c r="E1621" i="1"/>
  <c r="D1621" i="1"/>
  <c r="C1621" i="1"/>
  <c r="B1621" i="1"/>
  <c r="H1620" i="1"/>
  <c r="G1620" i="1"/>
  <c r="F1620" i="1"/>
  <c r="E1620" i="1"/>
  <c r="D1620" i="1"/>
  <c r="C1620" i="1"/>
  <c r="B1620" i="1"/>
  <c r="H1619" i="1"/>
  <c r="G1619" i="1"/>
  <c r="F1619" i="1"/>
  <c r="E1619" i="1"/>
  <c r="D1619" i="1"/>
  <c r="C1619" i="1"/>
  <c r="B1619" i="1"/>
  <c r="H1618" i="1"/>
  <c r="G1618" i="1"/>
  <c r="F1618" i="1"/>
  <c r="E1618" i="1"/>
  <c r="D1618" i="1"/>
  <c r="C1618" i="1"/>
  <c r="B1618" i="1"/>
  <c r="H1617" i="1"/>
  <c r="G1617" i="1"/>
  <c r="F1617" i="1"/>
  <c r="E1617" i="1"/>
  <c r="D1617" i="1"/>
  <c r="C1617" i="1"/>
  <c r="B1617" i="1"/>
  <c r="H1616" i="1"/>
  <c r="G1616" i="1"/>
  <c r="F1616" i="1"/>
  <c r="E1616" i="1"/>
  <c r="D1616" i="1"/>
  <c r="C1616" i="1"/>
  <c r="B1616" i="1"/>
  <c r="H1615" i="1"/>
  <c r="G1615" i="1"/>
  <c r="F1615" i="1"/>
  <c r="E1615" i="1"/>
  <c r="D1615" i="1"/>
  <c r="C1615" i="1"/>
  <c r="B1615" i="1"/>
  <c r="H1614" i="1"/>
  <c r="G1614" i="1"/>
  <c r="F1614" i="1"/>
  <c r="E1614" i="1"/>
  <c r="D1614" i="1"/>
  <c r="C1614" i="1"/>
  <c r="B1614" i="1"/>
  <c r="H1613" i="1"/>
  <c r="G1613" i="1"/>
  <c r="F1613" i="1"/>
  <c r="E1613" i="1"/>
  <c r="D1613" i="1"/>
  <c r="C1613" i="1"/>
  <c r="B1613" i="1"/>
  <c r="H1612" i="1"/>
  <c r="G1612" i="1"/>
  <c r="F1612" i="1"/>
  <c r="E1612" i="1"/>
  <c r="D1612" i="1"/>
  <c r="C1612" i="1"/>
  <c r="B1612" i="1"/>
  <c r="H1611" i="1"/>
  <c r="G1611" i="1"/>
  <c r="F1611" i="1"/>
  <c r="E1611" i="1"/>
  <c r="D1611" i="1"/>
  <c r="C1611" i="1"/>
  <c r="B1611" i="1"/>
  <c r="H1610" i="1"/>
  <c r="G1610" i="1"/>
  <c r="F1610" i="1"/>
  <c r="E1610" i="1"/>
  <c r="D1610" i="1"/>
  <c r="C1610" i="1"/>
  <c r="B1610" i="1"/>
  <c r="H1609" i="1"/>
  <c r="G1609" i="1"/>
  <c r="F1609" i="1"/>
  <c r="E1609" i="1"/>
  <c r="D1609" i="1"/>
  <c r="C1609" i="1"/>
  <c r="B1609" i="1"/>
  <c r="H1608" i="1"/>
  <c r="G1608" i="1"/>
  <c r="F1608" i="1"/>
  <c r="E1608" i="1"/>
  <c r="D1608" i="1"/>
  <c r="C1608" i="1"/>
  <c r="B1608" i="1"/>
  <c r="H1607" i="1"/>
  <c r="G1607" i="1"/>
  <c r="F1607" i="1"/>
  <c r="E1607" i="1"/>
  <c r="D1607" i="1"/>
  <c r="C1607" i="1"/>
  <c r="B1607" i="1"/>
  <c r="H1606" i="1"/>
  <c r="G1606" i="1"/>
  <c r="F1606" i="1"/>
  <c r="E1606" i="1"/>
  <c r="D1606" i="1"/>
  <c r="C1606" i="1"/>
  <c r="B1606" i="1"/>
  <c r="H1605" i="1"/>
  <c r="G1605" i="1"/>
  <c r="F1605" i="1"/>
  <c r="E1605" i="1"/>
  <c r="D1605" i="1"/>
  <c r="C1605" i="1"/>
  <c r="B1605" i="1"/>
  <c r="H1604" i="1"/>
  <c r="G1604" i="1"/>
  <c r="F1604" i="1"/>
  <c r="E1604" i="1"/>
  <c r="D1604" i="1"/>
  <c r="C1604" i="1"/>
  <c r="B1604" i="1"/>
  <c r="H1603" i="1"/>
  <c r="G1603" i="1"/>
  <c r="F1603" i="1"/>
  <c r="E1603" i="1"/>
  <c r="D1603" i="1"/>
  <c r="C1603" i="1"/>
  <c r="B1603" i="1"/>
  <c r="H1602" i="1"/>
  <c r="G1602" i="1"/>
  <c r="F1602" i="1"/>
  <c r="E1602" i="1"/>
  <c r="D1602" i="1"/>
  <c r="C1602" i="1"/>
  <c r="B1602" i="1"/>
  <c r="H1601" i="1"/>
  <c r="G1601" i="1"/>
  <c r="F1601" i="1"/>
  <c r="E1601" i="1"/>
  <c r="D1601" i="1"/>
  <c r="C1601" i="1"/>
  <c r="B1601" i="1"/>
  <c r="H1600" i="1"/>
  <c r="G1600" i="1"/>
  <c r="F1600" i="1"/>
  <c r="E1600" i="1"/>
  <c r="D1600" i="1"/>
  <c r="C1600" i="1"/>
  <c r="B1600" i="1"/>
  <c r="H1599" i="1"/>
  <c r="G1599" i="1"/>
  <c r="F1599" i="1"/>
  <c r="E1599" i="1"/>
  <c r="D1599" i="1"/>
  <c r="C1599" i="1"/>
  <c r="B1599" i="1"/>
  <c r="H1598" i="1"/>
  <c r="G1598" i="1"/>
  <c r="F1598" i="1"/>
  <c r="E1598" i="1"/>
  <c r="D1598" i="1"/>
  <c r="C1598" i="1"/>
  <c r="B1598" i="1"/>
  <c r="H1597" i="1"/>
  <c r="G1597" i="1"/>
  <c r="F1597" i="1"/>
  <c r="E1597" i="1"/>
  <c r="D1597" i="1"/>
  <c r="C1597" i="1"/>
  <c r="B1597" i="1"/>
  <c r="H1596" i="1"/>
  <c r="G1596" i="1"/>
  <c r="F1596" i="1"/>
  <c r="E1596" i="1"/>
  <c r="D1596" i="1"/>
  <c r="C1596" i="1"/>
  <c r="B1596" i="1"/>
  <c r="H1595" i="1"/>
  <c r="G1595" i="1"/>
  <c r="F1595" i="1"/>
  <c r="E1595" i="1"/>
  <c r="D1595" i="1"/>
  <c r="C1595" i="1"/>
  <c r="B1595" i="1"/>
  <c r="H1594" i="1"/>
  <c r="G1594" i="1"/>
  <c r="F1594" i="1"/>
  <c r="E1594" i="1"/>
  <c r="D1594" i="1"/>
  <c r="C1594" i="1"/>
  <c r="B1594" i="1"/>
  <c r="H1593" i="1"/>
  <c r="G1593" i="1"/>
  <c r="F1593" i="1"/>
  <c r="E1593" i="1"/>
  <c r="D1593" i="1"/>
  <c r="C1593" i="1"/>
  <c r="B1593" i="1"/>
  <c r="H1592" i="1"/>
  <c r="G1592" i="1"/>
  <c r="F1592" i="1"/>
  <c r="E1592" i="1"/>
  <c r="D1592" i="1"/>
  <c r="C1592" i="1"/>
  <c r="B1592" i="1"/>
  <c r="H1591" i="1"/>
  <c r="G1591" i="1"/>
  <c r="F1591" i="1"/>
  <c r="E1591" i="1"/>
  <c r="D1591" i="1"/>
  <c r="C1591" i="1"/>
  <c r="B1591" i="1"/>
  <c r="H1590" i="1"/>
  <c r="G1590" i="1"/>
  <c r="F1590" i="1"/>
  <c r="E1590" i="1"/>
  <c r="D1590" i="1"/>
  <c r="C1590" i="1"/>
  <c r="B1590" i="1"/>
  <c r="H1589" i="1"/>
  <c r="G1589" i="1"/>
  <c r="F1589" i="1"/>
  <c r="E1589" i="1"/>
  <c r="D1589" i="1"/>
  <c r="C1589" i="1"/>
  <c r="B1589" i="1"/>
  <c r="H1588" i="1"/>
  <c r="G1588" i="1"/>
  <c r="F1588" i="1"/>
  <c r="E1588" i="1"/>
  <c r="D1588" i="1"/>
  <c r="C1588" i="1"/>
  <c r="B1588" i="1"/>
  <c r="H1587" i="1"/>
  <c r="G1587" i="1"/>
  <c r="F1587" i="1"/>
  <c r="E1587" i="1"/>
  <c r="D1587" i="1"/>
  <c r="C1587" i="1"/>
  <c r="B1587" i="1"/>
  <c r="H1586" i="1"/>
  <c r="G1586" i="1"/>
  <c r="F1586" i="1"/>
  <c r="E1586" i="1"/>
  <c r="D1586" i="1"/>
  <c r="C1586" i="1"/>
  <c r="B1586" i="1"/>
  <c r="H1585" i="1"/>
  <c r="G1585" i="1"/>
  <c r="F1585" i="1"/>
  <c r="E1585" i="1"/>
  <c r="D1585" i="1"/>
  <c r="C1585" i="1"/>
  <c r="B1585" i="1"/>
  <c r="H1584" i="1"/>
  <c r="G1584" i="1"/>
  <c r="F1584" i="1"/>
  <c r="E1584" i="1"/>
  <c r="D1584" i="1"/>
  <c r="C1584" i="1"/>
  <c r="B1584" i="1"/>
  <c r="H1583" i="1"/>
  <c r="G1583" i="1"/>
  <c r="F1583" i="1"/>
  <c r="E1583" i="1"/>
  <c r="D1583" i="1"/>
  <c r="C1583" i="1"/>
  <c r="B1583" i="1"/>
  <c r="H1582" i="1"/>
  <c r="G1582" i="1"/>
  <c r="F1582" i="1"/>
  <c r="E1582" i="1"/>
  <c r="D1582" i="1"/>
  <c r="C1582" i="1"/>
  <c r="B1582" i="1"/>
  <c r="H1581" i="1"/>
  <c r="G1581" i="1"/>
  <c r="F1581" i="1"/>
  <c r="E1581" i="1"/>
  <c r="D1581" i="1"/>
  <c r="C1581" i="1"/>
  <c r="B1581" i="1"/>
  <c r="H1580" i="1"/>
  <c r="G1580" i="1"/>
  <c r="F1580" i="1"/>
  <c r="E1580" i="1"/>
  <c r="D1580" i="1"/>
  <c r="C1580" i="1"/>
  <c r="B1580" i="1"/>
  <c r="H1579" i="1"/>
  <c r="G1579" i="1"/>
  <c r="F1579" i="1"/>
  <c r="E1579" i="1"/>
  <c r="D1579" i="1"/>
  <c r="C1579" i="1"/>
  <c r="B1579" i="1"/>
  <c r="H1578" i="1"/>
  <c r="G1578" i="1"/>
  <c r="F1578" i="1"/>
  <c r="E1578" i="1"/>
  <c r="D1578" i="1"/>
  <c r="C1578" i="1"/>
  <c r="B1578" i="1"/>
  <c r="H1577" i="1"/>
  <c r="G1577" i="1"/>
  <c r="F1577" i="1"/>
  <c r="E1577" i="1"/>
  <c r="D1577" i="1"/>
  <c r="C1577" i="1"/>
  <c r="B1577" i="1"/>
  <c r="H1576" i="1"/>
  <c r="G1576" i="1"/>
  <c r="F1576" i="1"/>
  <c r="E1576" i="1"/>
  <c r="D1576" i="1"/>
  <c r="C1576" i="1"/>
  <c r="B1576" i="1"/>
  <c r="H1575" i="1"/>
  <c r="G1575" i="1"/>
  <c r="F1575" i="1"/>
  <c r="E1575" i="1"/>
  <c r="D1575" i="1"/>
  <c r="C1575" i="1"/>
  <c r="B1575" i="1"/>
  <c r="H1574" i="1"/>
  <c r="G1574" i="1"/>
  <c r="F1574" i="1"/>
  <c r="E1574" i="1"/>
  <c r="D1574" i="1"/>
  <c r="C1574" i="1"/>
  <c r="B1574" i="1"/>
  <c r="H1573" i="1"/>
  <c r="G1573" i="1"/>
  <c r="F1573" i="1"/>
  <c r="E1573" i="1"/>
  <c r="D1573" i="1"/>
  <c r="C1573" i="1"/>
  <c r="B1573" i="1"/>
  <c r="H1572" i="1"/>
  <c r="G1572" i="1"/>
  <c r="F1572" i="1"/>
  <c r="E1572" i="1"/>
  <c r="D1572" i="1"/>
  <c r="C1572" i="1"/>
  <c r="B1572" i="1"/>
  <c r="H1571" i="1"/>
  <c r="G1571" i="1"/>
  <c r="F1571" i="1"/>
  <c r="E1571" i="1"/>
  <c r="D1571" i="1"/>
  <c r="C1571" i="1"/>
  <c r="B1571" i="1"/>
  <c r="H1570" i="1"/>
  <c r="G1570" i="1"/>
  <c r="F1570" i="1"/>
  <c r="E1570" i="1"/>
  <c r="D1570" i="1"/>
  <c r="C1570" i="1"/>
  <c r="B1570" i="1"/>
  <c r="H1569" i="1"/>
  <c r="G1569" i="1"/>
  <c r="F1569" i="1"/>
  <c r="E1569" i="1"/>
  <c r="D1569" i="1"/>
  <c r="C1569" i="1"/>
  <c r="B1569" i="1"/>
  <c r="H1568" i="1"/>
  <c r="G1568" i="1"/>
  <c r="F1568" i="1"/>
  <c r="E1568" i="1"/>
  <c r="D1568" i="1"/>
  <c r="C1568" i="1"/>
  <c r="B1568" i="1"/>
  <c r="H1567" i="1"/>
  <c r="G1567" i="1"/>
  <c r="F1567" i="1"/>
  <c r="E1567" i="1"/>
  <c r="D1567" i="1"/>
  <c r="C1567" i="1"/>
  <c r="B1567" i="1"/>
  <c r="H1566" i="1"/>
  <c r="G1566" i="1"/>
  <c r="F1566" i="1"/>
  <c r="E1566" i="1"/>
  <c r="D1566" i="1"/>
  <c r="C1566" i="1"/>
  <c r="B1566" i="1"/>
  <c r="H1565" i="1"/>
  <c r="G1565" i="1"/>
  <c r="F1565" i="1"/>
  <c r="E1565" i="1"/>
  <c r="D1565" i="1"/>
  <c r="C1565" i="1"/>
  <c r="B1565" i="1"/>
  <c r="H1564" i="1"/>
  <c r="G1564" i="1"/>
  <c r="F1564" i="1"/>
  <c r="E1564" i="1"/>
  <c r="D1564" i="1"/>
  <c r="C1564" i="1"/>
  <c r="B1564" i="1"/>
  <c r="H1563" i="1"/>
  <c r="G1563" i="1"/>
  <c r="F1563" i="1"/>
  <c r="E1563" i="1"/>
  <c r="D1563" i="1"/>
  <c r="C1563" i="1"/>
  <c r="B1563" i="1"/>
  <c r="H1562" i="1"/>
  <c r="G1562" i="1"/>
  <c r="F1562" i="1"/>
  <c r="E1562" i="1"/>
  <c r="D1562" i="1"/>
  <c r="C1562" i="1"/>
  <c r="B1562" i="1"/>
  <c r="H1561" i="1"/>
  <c r="G1561" i="1"/>
  <c r="F1561" i="1"/>
  <c r="E1561" i="1"/>
  <c r="D1561" i="1"/>
  <c r="C1561" i="1"/>
  <c r="B1561" i="1"/>
  <c r="H1560" i="1"/>
  <c r="G1560" i="1"/>
  <c r="F1560" i="1"/>
  <c r="E1560" i="1"/>
  <c r="D1560" i="1"/>
  <c r="C1560" i="1"/>
  <c r="B1560" i="1"/>
  <c r="H1559" i="1"/>
  <c r="G1559" i="1"/>
  <c r="F1559" i="1"/>
  <c r="E1559" i="1"/>
  <c r="D1559" i="1"/>
  <c r="C1559" i="1"/>
  <c r="B1559" i="1"/>
  <c r="H1558" i="1"/>
  <c r="G1558" i="1"/>
  <c r="F1558" i="1"/>
  <c r="E1558" i="1"/>
  <c r="D1558" i="1"/>
  <c r="C1558" i="1"/>
  <c r="B1558" i="1"/>
  <c r="H1557" i="1"/>
  <c r="G1557" i="1"/>
  <c r="F1557" i="1"/>
  <c r="E1557" i="1"/>
  <c r="D1557" i="1"/>
  <c r="C1557" i="1"/>
  <c r="B1557" i="1"/>
  <c r="H1556" i="1"/>
  <c r="G1556" i="1"/>
  <c r="F1556" i="1"/>
  <c r="E1556" i="1"/>
  <c r="D1556" i="1"/>
  <c r="C1556" i="1"/>
  <c r="B1556" i="1"/>
  <c r="H1555" i="1"/>
  <c r="G1555" i="1"/>
  <c r="F1555" i="1"/>
  <c r="E1555" i="1"/>
  <c r="D1555" i="1"/>
  <c r="C1555" i="1"/>
  <c r="B1555" i="1"/>
  <c r="H1554" i="1"/>
  <c r="G1554" i="1"/>
  <c r="F1554" i="1"/>
  <c r="E1554" i="1"/>
  <c r="D1554" i="1"/>
  <c r="C1554" i="1"/>
  <c r="B1554" i="1"/>
  <c r="H1553" i="1"/>
  <c r="G1553" i="1"/>
  <c r="F1553" i="1"/>
  <c r="E1553" i="1"/>
  <c r="D1553" i="1"/>
  <c r="C1553" i="1"/>
  <c r="B1553" i="1"/>
  <c r="H1552" i="1"/>
  <c r="G1552" i="1"/>
  <c r="F1552" i="1"/>
  <c r="E1552" i="1"/>
  <c r="D1552" i="1"/>
  <c r="C1552" i="1"/>
  <c r="B1552" i="1"/>
  <c r="H1551" i="1"/>
  <c r="G1551" i="1"/>
  <c r="F1551" i="1"/>
  <c r="E1551" i="1"/>
  <c r="D1551" i="1"/>
  <c r="C1551" i="1"/>
  <c r="B1551" i="1"/>
  <c r="H1550" i="1"/>
  <c r="G1550" i="1"/>
  <c r="F1550" i="1"/>
  <c r="E1550" i="1"/>
  <c r="D1550" i="1"/>
  <c r="C1550" i="1"/>
  <c r="B1550" i="1"/>
  <c r="H1549" i="1"/>
  <c r="G1549" i="1"/>
  <c r="F1549" i="1"/>
  <c r="E1549" i="1"/>
  <c r="D1549" i="1"/>
  <c r="C1549" i="1"/>
  <c r="B1549" i="1"/>
  <c r="H1548" i="1"/>
  <c r="G1548" i="1"/>
  <c r="F1548" i="1"/>
  <c r="E1548" i="1"/>
  <c r="D1548" i="1"/>
  <c r="C1548" i="1"/>
  <c r="B1548" i="1"/>
  <c r="H1547" i="1"/>
  <c r="G1547" i="1"/>
  <c r="F1547" i="1"/>
  <c r="E1547" i="1"/>
  <c r="D1547" i="1"/>
  <c r="C1547" i="1"/>
  <c r="B1547" i="1"/>
  <c r="H1546" i="1"/>
  <c r="G1546" i="1"/>
  <c r="F1546" i="1"/>
  <c r="E1546" i="1"/>
  <c r="D1546" i="1"/>
  <c r="C1546" i="1"/>
  <c r="B1546" i="1"/>
  <c r="H1545" i="1"/>
  <c r="G1545" i="1"/>
  <c r="F1545" i="1"/>
  <c r="E1545" i="1"/>
  <c r="D1545" i="1"/>
  <c r="C1545" i="1"/>
  <c r="B1545" i="1"/>
  <c r="H1544" i="1"/>
  <c r="G1544" i="1"/>
  <c r="F1544" i="1"/>
  <c r="E1544" i="1"/>
  <c r="D1544" i="1"/>
  <c r="C1544" i="1"/>
  <c r="B1544" i="1"/>
  <c r="H1543" i="1"/>
  <c r="G1543" i="1"/>
  <c r="F1543" i="1"/>
  <c r="E1543" i="1"/>
  <c r="D1543" i="1"/>
  <c r="C1543" i="1"/>
  <c r="B1543" i="1"/>
  <c r="H1542" i="1"/>
  <c r="G1542" i="1"/>
  <c r="F1542" i="1"/>
  <c r="E1542" i="1"/>
  <c r="D1542" i="1"/>
  <c r="C1542" i="1"/>
  <c r="B1542" i="1"/>
  <c r="H1541" i="1"/>
  <c r="G1541" i="1"/>
  <c r="F1541" i="1"/>
  <c r="E1541" i="1"/>
  <c r="D1541" i="1"/>
  <c r="C1541" i="1"/>
  <c r="B1541" i="1"/>
  <c r="H1540" i="1"/>
  <c r="G1540" i="1"/>
  <c r="F1540" i="1"/>
  <c r="E1540" i="1"/>
  <c r="D1540" i="1"/>
  <c r="C1540" i="1"/>
  <c r="B1540" i="1"/>
  <c r="H1539" i="1"/>
  <c r="G1539" i="1"/>
  <c r="F1539" i="1"/>
  <c r="E1539" i="1"/>
  <c r="D1539" i="1"/>
  <c r="C1539" i="1"/>
  <c r="B1539" i="1"/>
  <c r="H1538" i="1"/>
  <c r="G1538" i="1"/>
  <c r="F1538" i="1"/>
  <c r="E1538" i="1"/>
  <c r="D1538" i="1"/>
  <c r="C1538" i="1"/>
  <c r="B1538" i="1"/>
  <c r="H1537" i="1"/>
  <c r="G1537" i="1"/>
  <c r="F1537" i="1"/>
  <c r="E1537" i="1"/>
  <c r="D1537" i="1"/>
  <c r="C1537" i="1"/>
  <c r="B1537" i="1"/>
  <c r="H1536" i="1"/>
  <c r="G1536" i="1"/>
  <c r="F1536" i="1"/>
  <c r="E1536" i="1"/>
  <c r="D1536" i="1"/>
  <c r="C1536" i="1"/>
  <c r="B1536" i="1"/>
  <c r="H1535" i="1"/>
  <c r="G1535" i="1"/>
  <c r="F1535" i="1"/>
  <c r="E1535" i="1"/>
  <c r="D1535" i="1"/>
  <c r="C1535" i="1"/>
  <c r="B1535" i="1"/>
  <c r="H1534" i="1"/>
  <c r="G1534" i="1"/>
  <c r="F1534" i="1"/>
  <c r="E1534" i="1"/>
  <c r="D1534" i="1"/>
  <c r="C1534" i="1"/>
  <c r="B1534" i="1"/>
  <c r="H1533" i="1"/>
  <c r="G1533" i="1"/>
  <c r="F1533" i="1"/>
  <c r="E1533" i="1"/>
  <c r="D1533" i="1"/>
  <c r="C1533" i="1"/>
  <c r="B1533" i="1"/>
  <c r="H1532" i="1"/>
  <c r="G1532" i="1"/>
  <c r="F1532" i="1"/>
  <c r="E1532" i="1"/>
  <c r="D1532" i="1"/>
  <c r="C1532" i="1"/>
  <c r="B1532" i="1"/>
  <c r="H1531" i="1"/>
  <c r="G1531" i="1"/>
  <c r="F1531" i="1"/>
  <c r="E1531" i="1"/>
  <c r="D1531" i="1"/>
  <c r="C1531" i="1"/>
  <c r="B1531" i="1"/>
  <c r="H1530" i="1"/>
  <c r="G1530" i="1"/>
  <c r="F1530" i="1"/>
  <c r="E1530" i="1"/>
  <c r="D1530" i="1"/>
  <c r="C1530" i="1"/>
  <c r="B1530" i="1"/>
  <c r="H1529" i="1"/>
  <c r="G1529" i="1"/>
  <c r="F1529" i="1"/>
  <c r="E1529" i="1"/>
  <c r="D1529" i="1"/>
  <c r="C1529" i="1"/>
  <c r="B1529" i="1"/>
  <c r="H1528" i="1"/>
  <c r="G1528" i="1"/>
  <c r="F1528" i="1"/>
  <c r="E1528" i="1"/>
  <c r="D1528" i="1"/>
  <c r="C1528" i="1"/>
  <c r="B1528" i="1"/>
  <c r="H1527" i="1"/>
  <c r="G1527" i="1"/>
  <c r="F1527" i="1"/>
  <c r="E1527" i="1"/>
  <c r="D1527" i="1"/>
  <c r="C1527" i="1"/>
  <c r="B1527" i="1"/>
  <c r="H1526" i="1"/>
  <c r="G1526" i="1"/>
  <c r="F1526" i="1"/>
  <c r="E1526" i="1"/>
  <c r="D1526" i="1"/>
  <c r="C1526" i="1"/>
  <c r="B1526" i="1"/>
  <c r="H1525" i="1"/>
  <c r="G1525" i="1"/>
  <c r="F1525" i="1"/>
  <c r="E1525" i="1"/>
  <c r="D1525" i="1"/>
  <c r="C1525" i="1"/>
  <c r="B1525" i="1"/>
  <c r="H1524" i="1"/>
  <c r="G1524" i="1"/>
  <c r="F1524" i="1"/>
  <c r="E1524" i="1"/>
  <c r="D1524" i="1"/>
  <c r="C1524" i="1"/>
  <c r="B1524" i="1"/>
  <c r="H1523" i="1"/>
  <c r="G1523" i="1"/>
  <c r="F1523" i="1"/>
  <c r="E1523" i="1"/>
  <c r="D1523" i="1"/>
  <c r="C1523" i="1"/>
  <c r="B1523" i="1"/>
  <c r="H1522" i="1"/>
  <c r="G1522" i="1"/>
  <c r="F1522" i="1"/>
  <c r="E1522" i="1"/>
  <c r="D1522" i="1"/>
  <c r="C1522" i="1"/>
  <c r="B1522" i="1"/>
  <c r="H1521" i="1"/>
  <c r="G1521" i="1"/>
  <c r="F1521" i="1"/>
  <c r="E1521" i="1"/>
  <c r="D1521" i="1"/>
  <c r="C1521" i="1"/>
  <c r="B1521" i="1"/>
  <c r="H1520" i="1"/>
  <c r="G1520" i="1"/>
  <c r="F1520" i="1"/>
  <c r="E1520" i="1"/>
  <c r="D1520" i="1"/>
  <c r="C1520" i="1"/>
  <c r="B1520" i="1"/>
  <c r="H1519" i="1"/>
  <c r="G1519" i="1"/>
  <c r="F1519" i="1"/>
  <c r="E1519" i="1"/>
  <c r="D1519" i="1"/>
  <c r="C1519" i="1"/>
  <c r="B1519" i="1"/>
  <c r="H1518" i="1"/>
  <c r="G1518" i="1"/>
  <c r="F1518" i="1"/>
  <c r="E1518" i="1"/>
  <c r="D1518" i="1"/>
  <c r="C1518" i="1"/>
  <c r="B1518" i="1"/>
  <c r="H1517" i="1"/>
  <c r="G1517" i="1"/>
  <c r="F1517" i="1"/>
  <c r="E1517" i="1"/>
  <c r="D1517" i="1"/>
  <c r="C1517" i="1"/>
  <c r="B1517" i="1"/>
  <c r="H1516" i="1"/>
  <c r="G1516" i="1"/>
  <c r="F1516" i="1"/>
  <c r="E1516" i="1"/>
  <c r="D1516" i="1"/>
  <c r="C1516" i="1"/>
  <c r="B1516" i="1"/>
  <c r="H1515" i="1"/>
  <c r="G1515" i="1"/>
  <c r="F1515" i="1"/>
  <c r="E1515" i="1"/>
  <c r="D1515" i="1"/>
  <c r="C1515" i="1"/>
  <c r="B1515" i="1"/>
  <c r="H1514" i="1"/>
  <c r="G1514" i="1"/>
  <c r="F1514" i="1"/>
  <c r="E1514" i="1"/>
  <c r="D1514" i="1"/>
  <c r="C1514" i="1"/>
  <c r="B1514" i="1"/>
  <c r="H1513" i="1"/>
  <c r="G1513" i="1"/>
  <c r="F1513" i="1"/>
  <c r="E1513" i="1"/>
  <c r="D1513" i="1"/>
  <c r="C1513" i="1"/>
  <c r="B1513" i="1"/>
  <c r="H1512" i="1"/>
  <c r="G1512" i="1"/>
  <c r="F1512" i="1"/>
  <c r="E1512" i="1"/>
  <c r="D1512" i="1"/>
  <c r="C1512" i="1"/>
  <c r="B1512" i="1"/>
  <c r="H1511" i="1"/>
  <c r="G1511" i="1"/>
  <c r="F1511" i="1"/>
  <c r="E1511" i="1"/>
  <c r="D1511" i="1"/>
  <c r="C1511" i="1"/>
  <c r="B1511" i="1"/>
  <c r="H1510" i="1"/>
  <c r="G1510" i="1"/>
  <c r="F1510" i="1"/>
  <c r="E1510" i="1"/>
  <c r="D1510" i="1"/>
  <c r="C1510" i="1"/>
  <c r="B1510" i="1"/>
  <c r="H1509" i="1"/>
  <c r="G1509" i="1"/>
  <c r="F1509" i="1"/>
  <c r="E1509" i="1"/>
  <c r="D1509" i="1"/>
  <c r="C1509" i="1"/>
  <c r="B1509" i="1"/>
  <c r="H1508" i="1"/>
  <c r="G1508" i="1"/>
  <c r="F1508" i="1"/>
  <c r="E1508" i="1"/>
  <c r="D1508" i="1"/>
  <c r="C1508" i="1"/>
  <c r="B1508" i="1"/>
  <c r="H1507" i="1"/>
  <c r="G1507" i="1"/>
  <c r="F1507" i="1"/>
  <c r="E1507" i="1"/>
  <c r="D1507" i="1"/>
  <c r="C1507" i="1"/>
  <c r="B1507" i="1"/>
  <c r="H1506" i="1"/>
  <c r="G1506" i="1"/>
  <c r="F1506" i="1"/>
  <c r="E1506" i="1"/>
  <c r="D1506" i="1"/>
  <c r="C1506" i="1"/>
  <c r="B1506" i="1"/>
  <c r="H1505" i="1"/>
  <c r="G1505" i="1"/>
  <c r="F1505" i="1"/>
  <c r="E1505" i="1"/>
  <c r="D1505" i="1"/>
  <c r="C1505" i="1"/>
  <c r="B1505" i="1"/>
  <c r="H1504" i="1"/>
  <c r="G1504" i="1"/>
  <c r="F1504" i="1"/>
  <c r="E1504" i="1"/>
  <c r="D1504" i="1"/>
  <c r="C1504" i="1"/>
  <c r="B1504" i="1"/>
  <c r="H1503" i="1"/>
  <c r="G1503" i="1"/>
  <c r="F1503" i="1"/>
  <c r="E1503" i="1"/>
  <c r="D1503" i="1"/>
  <c r="C1503" i="1"/>
  <c r="B1503" i="1"/>
  <c r="H1502" i="1"/>
  <c r="G1502" i="1"/>
  <c r="F1502" i="1"/>
  <c r="E1502" i="1"/>
  <c r="D1502" i="1"/>
  <c r="C1502" i="1"/>
  <c r="B1502" i="1"/>
  <c r="H1501" i="1"/>
  <c r="G1501" i="1"/>
  <c r="F1501" i="1"/>
  <c r="E1501" i="1"/>
  <c r="D1501" i="1"/>
  <c r="C1501" i="1"/>
  <c r="B1501" i="1"/>
  <c r="H1500" i="1"/>
  <c r="G1500" i="1"/>
  <c r="F1500" i="1"/>
  <c r="E1500" i="1"/>
  <c r="D1500" i="1"/>
  <c r="C1500" i="1"/>
  <c r="B1500" i="1"/>
  <c r="H1499" i="1"/>
  <c r="G1499" i="1"/>
  <c r="F1499" i="1"/>
  <c r="E1499" i="1"/>
  <c r="D1499" i="1"/>
  <c r="C1499" i="1"/>
  <c r="B1499" i="1"/>
  <c r="H1498" i="1"/>
  <c r="G1498" i="1"/>
  <c r="F1498" i="1"/>
  <c r="E1498" i="1"/>
  <c r="D1498" i="1"/>
  <c r="C1498" i="1"/>
  <c r="B1498" i="1"/>
  <c r="H1497" i="1"/>
  <c r="G1497" i="1"/>
  <c r="F1497" i="1"/>
  <c r="E1497" i="1"/>
  <c r="D1497" i="1"/>
  <c r="C1497" i="1"/>
  <c r="B1497" i="1"/>
  <c r="H1496" i="1"/>
  <c r="G1496" i="1"/>
  <c r="F1496" i="1"/>
  <c r="E1496" i="1"/>
  <c r="D1496" i="1"/>
  <c r="C1496" i="1"/>
  <c r="B1496" i="1"/>
  <c r="H1495" i="1"/>
  <c r="G1495" i="1"/>
  <c r="F1495" i="1"/>
  <c r="E1495" i="1"/>
  <c r="D1495" i="1"/>
  <c r="C1495" i="1"/>
  <c r="B1495" i="1"/>
  <c r="H1494" i="1"/>
  <c r="G1494" i="1"/>
  <c r="F1494" i="1"/>
  <c r="E1494" i="1"/>
  <c r="D1494" i="1"/>
  <c r="C1494" i="1"/>
  <c r="B1494" i="1"/>
  <c r="H1493" i="1"/>
  <c r="G1493" i="1"/>
  <c r="F1493" i="1"/>
  <c r="E1493" i="1"/>
  <c r="D1493" i="1"/>
  <c r="C1493" i="1"/>
  <c r="B1493" i="1"/>
  <c r="H1492" i="1"/>
  <c r="G1492" i="1"/>
  <c r="F1492" i="1"/>
  <c r="E1492" i="1"/>
  <c r="D1492" i="1"/>
  <c r="C1492" i="1"/>
  <c r="B1492" i="1"/>
  <c r="H1491" i="1"/>
  <c r="G1491" i="1"/>
  <c r="F1491" i="1"/>
  <c r="E1491" i="1"/>
  <c r="D1491" i="1"/>
  <c r="C1491" i="1"/>
  <c r="B1491" i="1"/>
  <c r="H1490" i="1"/>
  <c r="G1490" i="1"/>
  <c r="F1490" i="1"/>
  <c r="E1490" i="1"/>
  <c r="D1490" i="1"/>
  <c r="C1490" i="1"/>
  <c r="B1490" i="1"/>
  <c r="H1489" i="1"/>
  <c r="G1489" i="1"/>
  <c r="F1489" i="1"/>
  <c r="E1489" i="1"/>
  <c r="D1489" i="1"/>
  <c r="C1489" i="1"/>
  <c r="B1489" i="1"/>
  <c r="H1488" i="1"/>
  <c r="G1488" i="1"/>
  <c r="F1488" i="1"/>
  <c r="E1488" i="1"/>
  <c r="D1488" i="1"/>
  <c r="C1488" i="1"/>
  <c r="B1488" i="1"/>
  <c r="H1487" i="1"/>
  <c r="G1487" i="1"/>
  <c r="F1487" i="1"/>
  <c r="E1487" i="1"/>
  <c r="D1487" i="1"/>
  <c r="C1487" i="1"/>
  <c r="B1487" i="1"/>
  <c r="H1486" i="1"/>
  <c r="G1486" i="1"/>
  <c r="F1486" i="1"/>
  <c r="E1486" i="1"/>
  <c r="D1486" i="1"/>
  <c r="C1486" i="1"/>
  <c r="B1486" i="1"/>
  <c r="H1485" i="1"/>
  <c r="G1485" i="1"/>
  <c r="F1485" i="1"/>
  <c r="E1485" i="1"/>
  <c r="D1485" i="1"/>
  <c r="C1485" i="1"/>
  <c r="B1485" i="1"/>
  <c r="H1484" i="1"/>
  <c r="G1484" i="1"/>
  <c r="F1484" i="1"/>
  <c r="E1484" i="1"/>
  <c r="D1484" i="1"/>
  <c r="C1484" i="1"/>
  <c r="B1484" i="1"/>
  <c r="H1483" i="1"/>
  <c r="G1483" i="1"/>
  <c r="F1483" i="1"/>
  <c r="E1483" i="1"/>
  <c r="D1483" i="1"/>
  <c r="C1483" i="1"/>
  <c r="B1483" i="1"/>
  <c r="H1482" i="1"/>
  <c r="G1482" i="1"/>
  <c r="F1482" i="1"/>
  <c r="E1482" i="1"/>
  <c r="D1482" i="1"/>
  <c r="C1482" i="1"/>
  <c r="B1482" i="1"/>
  <c r="H1481" i="1"/>
  <c r="G1481" i="1"/>
  <c r="F1481" i="1"/>
  <c r="E1481" i="1"/>
  <c r="D1481" i="1"/>
  <c r="C1481" i="1"/>
  <c r="B1481" i="1"/>
  <c r="H1480" i="1"/>
  <c r="G1480" i="1"/>
  <c r="F1480" i="1"/>
  <c r="E1480" i="1"/>
  <c r="D1480" i="1"/>
  <c r="C1480" i="1"/>
  <c r="B1480" i="1"/>
  <c r="H1479" i="1"/>
  <c r="G1479" i="1"/>
  <c r="F1479" i="1"/>
  <c r="E1479" i="1"/>
  <c r="D1479" i="1"/>
  <c r="C1479" i="1"/>
  <c r="B1479" i="1"/>
  <c r="H1478" i="1"/>
  <c r="G1478" i="1"/>
  <c r="F1478" i="1"/>
  <c r="E1478" i="1"/>
  <c r="D1478" i="1"/>
  <c r="C1478" i="1"/>
  <c r="B1478" i="1"/>
  <c r="H1477" i="1"/>
  <c r="G1477" i="1"/>
  <c r="F1477" i="1"/>
  <c r="E1477" i="1"/>
  <c r="D1477" i="1"/>
  <c r="C1477" i="1"/>
  <c r="B1477" i="1"/>
  <c r="H1476" i="1"/>
  <c r="G1476" i="1"/>
  <c r="F1476" i="1"/>
  <c r="E1476" i="1"/>
  <c r="D1476" i="1"/>
  <c r="C1476" i="1"/>
  <c r="B1476" i="1"/>
  <c r="H1475" i="1"/>
  <c r="G1475" i="1"/>
  <c r="F1475" i="1"/>
  <c r="E1475" i="1"/>
  <c r="D1475" i="1"/>
  <c r="C1475" i="1"/>
  <c r="B1475" i="1"/>
  <c r="H1474" i="1"/>
  <c r="G1474" i="1"/>
  <c r="F1474" i="1"/>
  <c r="E1474" i="1"/>
  <c r="D1474" i="1"/>
  <c r="C1474" i="1"/>
  <c r="B1474" i="1"/>
  <c r="H1473" i="1"/>
  <c r="G1473" i="1"/>
  <c r="F1473" i="1"/>
  <c r="E1473" i="1"/>
  <c r="D1473" i="1"/>
  <c r="C1473" i="1"/>
  <c r="B1473" i="1"/>
  <c r="H1472" i="1"/>
  <c r="G1472" i="1"/>
  <c r="F1472" i="1"/>
  <c r="E1472" i="1"/>
  <c r="D1472" i="1"/>
  <c r="C1472" i="1"/>
  <c r="B1472" i="1"/>
  <c r="H1471" i="1"/>
  <c r="G1471" i="1"/>
  <c r="F1471" i="1"/>
  <c r="E1471" i="1"/>
  <c r="D1471" i="1"/>
  <c r="C1471" i="1"/>
  <c r="B1471" i="1"/>
  <c r="H1470" i="1"/>
  <c r="G1470" i="1"/>
  <c r="F1470" i="1"/>
  <c r="E1470" i="1"/>
  <c r="D1470" i="1"/>
  <c r="C1470" i="1"/>
  <c r="B1470" i="1"/>
  <c r="H1469" i="1"/>
  <c r="G1469" i="1"/>
  <c r="F1469" i="1"/>
  <c r="E1469" i="1"/>
  <c r="D1469" i="1"/>
  <c r="C1469" i="1"/>
  <c r="B1469" i="1"/>
  <c r="H1468" i="1"/>
  <c r="G1468" i="1"/>
  <c r="F1468" i="1"/>
  <c r="E1468" i="1"/>
  <c r="D1468" i="1"/>
  <c r="C1468" i="1"/>
  <c r="B1468" i="1"/>
  <c r="H1467" i="1"/>
  <c r="G1467" i="1"/>
  <c r="F1467" i="1"/>
  <c r="E1467" i="1"/>
  <c r="D1467" i="1"/>
  <c r="C1467" i="1"/>
  <c r="B1467" i="1"/>
  <c r="H1466" i="1"/>
  <c r="G1466" i="1"/>
  <c r="F1466" i="1"/>
  <c r="E1466" i="1"/>
  <c r="D1466" i="1"/>
  <c r="C1466" i="1"/>
  <c r="B1466" i="1"/>
  <c r="H1465" i="1"/>
  <c r="G1465" i="1"/>
  <c r="F1465" i="1"/>
  <c r="E1465" i="1"/>
  <c r="D1465" i="1"/>
  <c r="C1465" i="1"/>
  <c r="B1465" i="1"/>
  <c r="H1464" i="1"/>
  <c r="G1464" i="1"/>
  <c r="F1464" i="1"/>
  <c r="E1464" i="1"/>
  <c r="D1464" i="1"/>
  <c r="C1464" i="1"/>
  <c r="B1464" i="1"/>
  <c r="H1463" i="1"/>
  <c r="G1463" i="1"/>
  <c r="F1463" i="1"/>
  <c r="E1463" i="1"/>
  <c r="D1463" i="1"/>
  <c r="C1463" i="1"/>
  <c r="B1463" i="1"/>
  <c r="H1462" i="1"/>
  <c r="G1462" i="1"/>
  <c r="F1462" i="1"/>
  <c r="E1462" i="1"/>
  <c r="D1462" i="1"/>
  <c r="C1462" i="1"/>
  <c r="B1462" i="1"/>
  <c r="H1461" i="1"/>
  <c r="G1461" i="1"/>
  <c r="F1461" i="1"/>
  <c r="E1461" i="1"/>
  <c r="D1461" i="1"/>
  <c r="C1461" i="1"/>
  <c r="B1461" i="1"/>
  <c r="H1460" i="1"/>
  <c r="G1460" i="1"/>
  <c r="F1460" i="1"/>
  <c r="E1460" i="1"/>
  <c r="D1460" i="1"/>
  <c r="C1460" i="1"/>
  <c r="B1460" i="1"/>
  <c r="H1459" i="1"/>
  <c r="G1459" i="1"/>
  <c r="F1459" i="1"/>
  <c r="E1459" i="1"/>
  <c r="D1459" i="1"/>
  <c r="C1459" i="1"/>
  <c r="B1459" i="1"/>
  <c r="H1458" i="1"/>
  <c r="G1458" i="1"/>
  <c r="F1458" i="1"/>
  <c r="E1458" i="1"/>
  <c r="D1458" i="1"/>
  <c r="C1458" i="1"/>
  <c r="B1458" i="1"/>
  <c r="H1457" i="1"/>
  <c r="G1457" i="1"/>
  <c r="F1457" i="1"/>
  <c r="E1457" i="1"/>
  <c r="D1457" i="1"/>
  <c r="C1457" i="1"/>
  <c r="B1457" i="1"/>
  <c r="H1456" i="1"/>
  <c r="G1456" i="1"/>
  <c r="F1456" i="1"/>
  <c r="E1456" i="1"/>
  <c r="D1456" i="1"/>
  <c r="C1456" i="1"/>
  <c r="B1456" i="1"/>
  <c r="H1455" i="1"/>
  <c r="G1455" i="1"/>
  <c r="F1455" i="1"/>
  <c r="E1455" i="1"/>
  <c r="D1455" i="1"/>
  <c r="C1455" i="1"/>
  <c r="B1455" i="1"/>
  <c r="H1454" i="1"/>
  <c r="G1454" i="1"/>
  <c r="F1454" i="1"/>
  <c r="E1454" i="1"/>
  <c r="D1454" i="1"/>
  <c r="C1454" i="1"/>
  <c r="B1454" i="1"/>
  <c r="H1453" i="1"/>
  <c r="G1453" i="1"/>
  <c r="F1453" i="1"/>
  <c r="E1453" i="1"/>
  <c r="D1453" i="1"/>
  <c r="C1453" i="1"/>
  <c r="B1453" i="1"/>
  <c r="H1452" i="1"/>
  <c r="G1452" i="1"/>
  <c r="F1452" i="1"/>
  <c r="E1452" i="1"/>
  <c r="D1452" i="1"/>
  <c r="C1452" i="1"/>
  <c r="B1452" i="1"/>
  <c r="H1451" i="1"/>
  <c r="G1451" i="1"/>
  <c r="F1451" i="1"/>
  <c r="E1451" i="1"/>
  <c r="D1451" i="1"/>
  <c r="C1451" i="1"/>
  <c r="B1451" i="1"/>
  <c r="H1450" i="1"/>
  <c r="G1450" i="1"/>
  <c r="F1450" i="1"/>
  <c r="E1450" i="1"/>
  <c r="D1450" i="1"/>
  <c r="C1450" i="1"/>
  <c r="B1450" i="1"/>
  <c r="H1449" i="1"/>
  <c r="G1449" i="1"/>
  <c r="F1449" i="1"/>
  <c r="E1449" i="1"/>
  <c r="D1449" i="1"/>
  <c r="C1449" i="1"/>
  <c r="B1449" i="1"/>
  <c r="H1448" i="1"/>
  <c r="G1448" i="1"/>
  <c r="F1448" i="1"/>
  <c r="E1448" i="1"/>
  <c r="D1448" i="1"/>
  <c r="C1448" i="1"/>
  <c r="B1448" i="1"/>
  <c r="H1447" i="1"/>
  <c r="G1447" i="1"/>
  <c r="F1447" i="1"/>
  <c r="E1447" i="1"/>
  <c r="D1447" i="1"/>
  <c r="C1447" i="1"/>
  <c r="B1447" i="1"/>
  <c r="H1446" i="1"/>
  <c r="G1446" i="1"/>
  <c r="F1446" i="1"/>
  <c r="E1446" i="1"/>
  <c r="D1446" i="1"/>
  <c r="C1446" i="1"/>
  <c r="B1446" i="1"/>
  <c r="H1445" i="1"/>
  <c r="G1445" i="1"/>
  <c r="F1445" i="1"/>
  <c r="E1445" i="1"/>
  <c r="D1445" i="1"/>
  <c r="C1445" i="1"/>
  <c r="B1445" i="1"/>
  <c r="H1444" i="1"/>
  <c r="G1444" i="1"/>
  <c r="F1444" i="1"/>
  <c r="E1444" i="1"/>
  <c r="D1444" i="1"/>
  <c r="C1444" i="1"/>
  <c r="B1444" i="1"/>
  <c r="H1443" i="1"/>
  <c r="G1443" i="1"/>
  <c r="F1443" i="1"/>
  <c r="E1443" i="1"/>
  <c r="D1443" i="1"/>
  <c r="C1443" i="1"/>
  <c r="B1443" i="1"/>
  <c r="H1442" i="1"/>
  <c r="G1442" i="1"/>
  <c r="F1442" i="1"/>
  <c r="E1442" i="1"/>
  <c r="D1442" i="1"/>
  <c r="C1442" i="1"/>
  <c r="B1442" i="1"/>
  <c r="H1441" i="1"/>
  <c r="G1441" i="1"/>
  <c r="F1441" i="1"/>
  <c r="E1441" i="1"/>
  <c r="D1441" i="1"/>
  <c r="C1441" i="1"/>
  <c r="B1441" i="1"/>
  <c r="H1440" i="1"/>
  <c r="G1440" i="1"/>
  <c r="F1440" i="1"/>
  <c r="E1440" i="1"/>
  <c r="D1440" i="1"/>
  <c r="C1440" i="1"/>
  <c r="B1440" i="1"/>
  <c r="H1439" i="1"/>
  <c r="G1439" i="1"/>
  <c r="F1439" i="1"/>
  <c r="E1439" i="1"/>
  <c r="D1439" i="1"/>
  <c r="C1439" i="1"/>
  <c r="B1439" i="1"/>
  <c r="H1438" i="1"/>
  <c r="G1438" i="1"/>
  <c r="F1438" i="1"/>
  <c r="E1438" i="1"/>
  <c r="D1438" i="1"/>
  <c r="C1438" i="1"/>
  <c r="B1438" i="1"/>
  <c r="H1437" i="1"/>
  <c r="G1437" i="1"/>
  <c r="F1437" i="1"/>
  <c r="E1437" i="1"/>
  <c r="D1437" i="1"/>
  <c r="C1437" i="1"/>
  <c r="B1437" i="1"/>
  <c r="H1436" i="1"/>
  <c r="G1436" i="1"/>
  <c r="F1436" i="1"/>
  <c r="E1436" i="1"/>
  <c r="D1436" i="1"/>
  <c r="C1436" i="1"/>
  <c r="B1436" i="1"/>
  <c r="H1435" i="1"/>
  <c r="G1435" i="1"/>
  <c r="F1435" i="1"/>
  <c r="E1435" i="1"/>
  <c r="D1435" i="1"/>
  <c r="C1435" i="1"/>
  <c r="B1435" i="1"/>
  <c r="H1434" i="1"/>
  <c r="G1434" i="1"/>
  <c r="F1434" i="1"/>
  <c r="E1434" i="1"/>
  <c r="D1434" i="1"/>
  <c r="C1434" i="1"/>
  <c r="B1434" i="1"/>
  <c r="H1433" i="1"/>
  <c r="G1433" i="1"/>
  <c r="F1433" i="1"/>
  <c r="E1433" i="1"/>
  <c r="D1433" i="1"/>
  <c r="C1433" i="1"/>
  <c r="B1433" i="1"/>
  <c r="H1432" i="1"/>
  <c r="G1432" i="1"/>
  <c r="F1432" i="1"/>
  <c r="E1432" i="1"/>
  <c r="D1432" i="1"/>
  <c r="C1432" i="1"/>
  <c r="B1432" i="1"/>
  <c r="H1431" i="1"/>
  <c r="G1431" i="1"/>
  <c r="F1431" i="1"/>
  <c r="E1431" i="1"/>
  <c r="D1431" i="1"/>
  <c r="C1431" i="1"/>
  <c r="B1431" i="1"/>
  <c r="H1430" i="1"/>
  <c r="G1430" i="1"/>
  <c r="F1430" i="1"/>
  <c r="E1430" i="1"/>
  <c r="D1430" i="1"/>
  <c r="C1430" i="1"/>
  <c r="B1430" i="1"/>
  <c r="H1429" i="1"/>
  <c r="G1429" i="1"/>
  <c r="F1429" i="1"/>
  <c r="E1429" i="1"/>
  <c r="D1429" i="1"/>
  <c r="C1429" i="1"/>
  <c r="B1429" i="1"/>
  <c r="H1428" i="1"/>
  <c r="G1428" i="1"/>
  <c r="F1428" i="1"/>
  <c r="E1428" i="1"/>
  <c r="D1428" i="1"/>
  <c r="C1428" i="1"/>
  <c r="B1428" i="1"/>
  <c r="H1427" i="1"/>
  <c r="G1427" i="1"/>
  <c r="F1427" i="1"/>
  <c r="E1427" i="1"/>
  <c r="D1427" i="1"/>
  <c r="C1427" i="1"/>
  <c r="B1427" i="1"/>
  <c r="H1426" i="1"/>
  <c r="G1426" i="1"/>
  <c r="F1426" i="1"/>
  <c r="E1426" i="1"/>
  <c r="D1426" i="1"/>
  <c r="C1426" i="1"/>
  <c r="B1426" i="1"/>
  <c r="H1425" i="1"/>
  <c r="G1425" i="1"/>
  <c r="F1425" i="1"/>
  <c r="E1425" i="1"/>
  <c r="D1425" i="1"/>
  <c r="C1425" i="1"/>
  <c r="B1425" i="1"/>
  <c r="H1424" i="1"/>
  <c r="G1424" i="1"/>
  <c r="F1424" i="1"/>
  <c r="E1424" i="1"/>
  <c r="D1424" i="1"/>
  <c r="C1424" i="1"/>
  <c r="B1424" i="1"/>
  <c r="H1423" i="1"/>
  <c r="G1423" i="1"/>
  <c r="F1423" i="1"/>
  <c r="E1423" i="1"/>
  <c r="D1423" i="1"/>
  <c r="C1423" i="1"/>
  <c r="B1423" i="1"/>
  <c r="H1422" i="1"/>
  <c r="G1422" i="1"/>
  <c r="F1422" i="1"/>
  <c r="E1422" i="1"/>
  <c r="D1422" i="1"/>
  <c r="C1422" i="1"/>
  <c r="B1422" i="1"/>
  <c r="H1421" i="1"/>
  <c r="G1421" i="1"/>
  <c r="F1421" i="1"/>
  <c r="E1421" i="1"/>
  <c r="D1421" i="1"/>
  <c r="C1421" i="1"/>
  <c r="B1421" i="1"/>
  <c r="H1420" i="1"/>
  <c r="G1420" i="1"/>
  <c r="F1420" i="1"/>
  <c r="E1420" i="1"/>
  <c r="D1420" i="1"/>
  <c r="C1420" i="1"/>
  <c r="B1420" i="1"/>
  <c r="H1419" i="1"/>
  <c r="G1419" i="1"/>
  <c r="F1419" i="1"/>
  <c r="E1419" i="1"/>
  <c r="D1419" i="1"/>
  <c r="C1419" i="1"/>
  <c r="B1419" i="1"/>
  <c r="H1418" i="1"/>
  <c r="G1418" i="1"/>
  <c r="F1418" i="1"/>
  <c r="E1418" i="1"/>
  <c r="D1418" i="1"/>
  <c r="C1418" i="1"/>
  <c r="B1418" i="1"/>
  <c r="H1417" i="1"/>
  <c r="G1417" i="1"/>
  <c r="F1417" i="1"/>
  <c r="E1417" i="1"/>
  <c r="D1417" i="1"/>
  <c r="C1417" i="1"/>
  <c r="B1417" i="1"/>
  <c r="H1416" i="1"/>
  <c r="G1416" i="1"/>
  <c r="F1416" i="1"/>
  <c r="E1416" i="1"/>
  <c r="D1416" i="1"/>
  <c r="C1416" i="1"/>
  <c r="B1416" i="1"/>
  <c r="H1415" i="1"/>
  <c r="G1415" i="1"/>
  <c r="F1415" i="1"/>
  <c r="E1415" i="1"/>
  <c r="D1415" i="1"/>
  <c r="C1415" i="1"/>
  <c r="B1415" i="1"/>
  <c r="H1414" i="1"/>
  <c r="G1414" i="1"/>
  <c r="F1414" i="1"/>
  <c r="E1414" i="1"/>
  <c r="D1414" i="1"/>
  <c r="C1414" i="1"/>
  <c r="B1414" i="1"/>
  <c r="H1413" i="1"/>
  <c r="G1413" i="1"/>
  <c r="F1413" i="1"/>
  <c r="E1413" i="1"/>
  <c r="D1413" i="1"/>
  <c r="C1413" i="1"/>
  <c r="B1413" i="1"/>
  <c r="H1412" i="1"/>
  <c r="G1412" i="1"/>
  <c r="F1412" i="1"/>
  <c r="E1412" i="1"/>
  <c r="D1412" i="1"/>
  <c r="C1412" i="1"/>
  <c r="B1412" i="1"/>
  <c r="H1411" i="1"/>
  <c r="G1411" i="1"/>
  <c r="F1411" i="1"/>
  <c r="E1411" i="1"/>
  <c r="D1411" i="1"/>
  <c r="C1411" i="1"/>
  <c r="B1411" i="1"/>
  <c r="H1410" i="1"/>
  <c r="G1410" i="1"/>
  <c r="F1410" i="1"/>
  <c r="E1410" i="1"/>
  <c r="D1410" i="1"/>
  <c r="C1410" i="1"/>
  <c r="B1410" i="1"/>
  <c r="H1409" i="1"/>
  <c r="G1409" i="1"/>
  <c r="F1409" i="1"/>
  <c r="E1409" i="1"/>
  <c r="D1409" i="1"/>
  <c r="C1409" i="1"/>
  <c r="B1409" i="1"/>
  <c r="H1408" i="1"/>
  <c r="G1408" i="1"/>
  <c r="F1408" i="1"/>
  <c r="E1408" i="1"/>
  <c r="D1408" i="1"/>
  <c r="C1408" i="1"/>
  <c r="B1408" i="1"/>
  <c r="H1407" i="1"/>
  <c r="G1407" i="1"/>
  <c r="F1407" i="1"/>
  <c r="E1407" i="1"/>
  <c r="D1407" i="1"/>
  <c r="C1407" i="1"/>
  <c r="B1407" i="1"/>
  <c r="H1406" i="1"/>
  <c r="G1406" i="1"/>
  <c r="F1406" i="1"/>
  <c r="E1406" i="1"/>
  <c r="D1406" i="1"/>
  <c r="C1406" i="1"/>
  <c r="B1406" i="1"/>
  <c r="H1405" i="1"/>
  <c r="G1405" i="1"/>
  <c r="F1405" i="1"/>
  <c r="E1405" i="1"/>
  <c r="D1405" i="1"/>
  <c r="C1405" i="1"/>
  <c r="B1405" i="1"/>
  <c r="H1404" i="1"/>
  <c r="G1404" i="1"/>
  <c r="F1404" i="1"/>
  <c r="E1404" i="1"/>
  <c r="D1404" i="1"/>
  <c r="C1404" i="1"/>
  <c r="B1404" i="1"/>
  <c r="H1403" i="1"/>
  <c r="G1403" i="1"/>
  <c r="F1403" i="1"/>
  <c r="E1403" i="1"/>
  <c r="D1403" i="1"/>
  <c r="C1403" i="1"/>
  <c r="B1403" i="1"/>
  <c r="H1402" i="1"/>
  <c r="G1402" i="1"/>
  <c r="F1402" i="1"/>
  <c r="E1402" i="1"/>
  <c r="D1402" i="1"/>
  <c r="C1402" i="1"/>
  <c r="B1402" i="1"/>
  <c r="H1401" i="1"/>
  <c r="G1401" i="1"/>
  <c r="F1401" i="1"/>
  <c r="E1401" i="1"/>
  <c r="D1401" i="1"/>
  <c r="C1401" i="1"/>
  <c r="B1401" i="1"/>
  <c r="H1400" i="1"/>
  <c r="G1400" i="1"/>
  <c r="F1400" i="1"/>
  <c r="E1400" i="1"/>
  <c r="D1400" i="1"/>
  <c r="C1400" i="1"/>
  <c r="B1400" i="1"/>
  <c r="H1399" i="1"/>
  <c r="G1399" i="1"/>
  <c r="F1399" i="1"/>
  <c r="E1399" i="1"/>
  <c r="D1399" i="1"/>
  <c r="C1399" i="1"/>
  <c r="B1399" i="1"/>
  <c r="H1398" i="1"/>
  <c r="G1398" i="1"/>
  <c r="F1398" i="1"/>
  <c r="E1398" i="1"/>
  <c r="D1398" i="1"/>
  <c r="C1398" i="1"/>
  <c r="B1398" i="1"/>
  <c r="H1397" i="1"/>
  <c r="G1397" i="1"/>
  <c r="F1397" i="1"/>
  <c r="E1397" i="1"/>
  <c r="D1397" i="1"/>
  <c r="C1397" i="1"/>
  <c r="B1397" i="1"/>
  <c r="H1396" i="1"/>
  <c r="G1396" i="1"/>
  <c r="F1396" i="1"/>
  <c r="E1396" i="1"/>
  <c r="D1396" i="1"/>
  <c r="C1396" i="1"/>
  <c r="B1396" i="1"/>
  <c r="H1395" i="1"/>
  <c r="G1395" i="1"/>
  <c r="F1395" i="1"/>
  <c r="E1395" i="1"/>
  <c r="D1395" i="1"/>
  <c r="C1395" i="1"/>
  <c r="B1395" i="1"/>
  <c r="H1394" i="1"/>
  <c r="G1394" i="1"/>
  <c r="F1394" i="1"/>
  <c r="E1394" i="1"/>
  <c r="D1394" i="1"/>
  <c r="C1394" i="1"/>
  <c r="B1394" i="1"/>
  <c r="H1393" i="1"/>
  <c r="G1393" i="1"/>
  <c r="F1393" i="1"/>
  <c r="E1393" i="1"/>
  <c r="D1393" i="1"/>
  <c r="C1393" i="1"/>
  <c r="B1393" i="1"/>
  <c r="H1392" i="1"/>
  <c r="G1392" i="1"/>
  <c r="F1392" i="1"/>
  <c r="E1392" i="1"/>
  <c r="D1392" i="1"/>
  <c r="C1392" i="1"/>
  <c r="B1392" i="1"/>
  <c r="H1391" i="1"/>
  <c r="G1391" i="1"/>
  <c r="F1391" i="1"/>
  <c r="E1391" i="1"/>
  <c r="D1391" i="1"/>
  <c r="C1391" i="1"/>
  <c r="B1391" i="1"/>
  <c r="H1390" i="1"/>
  <c r="G1390" i="1"/>
  <c r="F1390" i="1"/>
  <c r="E1390" i="1"/>
  <c r="D1390" i="1"/>
  <c r="C1390" i="1"/>
  <c r="B1390" i="1"/>
  <c r="H1389" i="1"/>
  <c r="G1389" i="1"/>
  <c r="F1389" i="1"/>
  <c r="E1389" i="1"/>
  <c r="D1389" i="1"/>
  <c r="C1389" i="1"/>
  <c r="B1389" i="1"/>
  <c r="H1388" i="1"/>
  <c r="G1388" i="1"/>
  <c r="F1388" i="1"/>
  <c r="E1388" i="1"/>
  <c r="D1388" i="1"/>
  <c r="C1388" i="1"/>
  <c r="B1388" i="1"/>
  <c r="H1387" i="1"/>
  <c r="G1387" i="1"/>
  <c r="F1387" i="1"/>
  <c r="E1387" i="1"/>
  <c r="D1387" i="1"/>
  <c r="C1387" i="1"/>
  <c r="B1387" i="1"/>
  <c r="H1386" i="1"/>
  <c r="G1386" i="1"/>
  <c r="F1386" i="1"/>
  <c r="E1386" i="1"/>
  <c r="D1386" i="1"/>
  <c r="C1386" i="1"/>
  <c r="B1386" i="1"/>
  <c r="H1385" i="1"/>
  <c r="G1385" i="1"/>
  <c r="F1385" i="1"/>
  <c r="E1385" i="1"/>
  <c r="D1385" i="1"/>
  <c r="C1385" i="1"/>
  <c r="B1385" i="1"/>
  <c r="H1384" i="1"/>
  <c r="G1384" i="1"/>
  <c r="F1384" i="1"/>
  <c r="E1384" i="1"/>
  <c r="D1384" i="1"/>
  <c r="C1384" i="1"/>
  <c r="B1384" i="1"/>
  <c r="H1383" i="1"/>
  <c r="G1383" i="1"/>
  <c r="F1383" i="1"/>
  <c r="E1383" i="1"/>
  <c r="D1383" i="1"/>
  <c r="C1383" i="1"/>
  <c r="B1383" i="1"/>
  <c r="H1382" i="1"/>
  <c r="G1382" i="1"/>
  <c r="F1382" i="1"/>
  <c r="E1382" i="1"/>
  <c r="D1382" i="1"/>
  <c r="C1382" i="1"/>
  <c r="B1382" i="1"/>
  <c r="H1381" i="1"/>
  <c r="G1381" i="1"/>
  <c r="F1381" i="1"/>
  <c r="E1381" i="1"/>
  <c r="D1381" i="1"/>
  <c r="C1381" i="1"/>
  <c r="B1381" i="1"/>
  <c r="H1380" i="1"/>
  <c r="G1380" i="1"/>
  <c r="F1380" i="1"/>
  <c r="E1380" i="1"/>
  <c r="D1380" i="1"/>
  <c r="C1380" i="1"/>
  <c r="B1380" i="1"/>
  <c r="H1379" i="1"/>
  <c r="G1379" i="1"/>
  <c r="F1379" i="1"/>
  <c r="E1379" i="1"/>
  <c r="D1379" i="1"/>
  <c r="C1379" i="1"/>
  <c r="B1379" i="1"/>
  <c r="H1378" i="1"/>
  <c r="G1378" i="1"/>
  <c r="F1378" i="1"/>
  <c r="E1378" i="1"/>
  <c r="D1378" i="1"/>
  <c r="C1378" i="1"/>
  <c r="B1378" i="1"/>
  <c r="H1377" i="1"/>
  <c r="G1377" i="1"/>
  <c r="F1377" i="1"/>
  <c r="E1377" i="1"/>
  <c r="D1377" i="1"/>
  <c r="C1377" i="1"/>
  <c r="B1377" i="1"/>
  <c r="H1376" i="1"/>
  <c r="G1376" i="1"/>
  <c r="F1376" i="1"/>
  <c r="E1376" i="1"/>
  <c r="D1376" i="1"/>
  <c r="C1376" i="1"/>
  <c r="B1376" i="1"/>
  <c r="H1375" i="1"/>
  <c r="G1375" i="1"/>
  <c r="F1375" i="1"/>
  <c r="E1375" i="1"/>
  <c r="D1375" i="1"/>
  <c r="C1375" i="1"/>
  <c r="B1375" i="1"/>
  <c r="H1374" i="1"/>
  <c r="G1374" i="1"/>
  <c r="F1374" i="1"/>
  <c r="E1374" i="1"/>
  <c r="D1374" i="1"/>
  <c r="C1374" i="1"/>
  <c r="B1374" i="1"/>
  <c r="H1373" i="1"/>
  <c r="G1373" i="1"/>
  <c r="F1373" i="1"/>
  <c r="E1373" i="1"/>
  <c r="D1373" i="1"/>
  <c r="C1373" i="1"/>
  <c r="B1373" i="1"/>
  <c r="H1372" i="1"/>
  <c r="G1372" i="1"/>
  <c r="F1372" i="1"/>
  <c r="E1372" i="1"/>
  <c r="D1372" i="1"/>
  <c r="C1372" i="1"/>
  <c r="B1372" i="1"/>
  <c r="H1371" i="1"/>
  <c r="G1371" i="1"/>
  <c r="F1371" i="1"/>
  <c r="E1371" i="1"/>
  <c r="D1371" i="1"/>
  <c r="C1371" i="1"/>
  <c r="B1371" i="1"/>
  <c r="H1370" i="1"/>
  <c r="G1370" i="1"/>
  <c r="F1370" i="1"/>
  <c r="E1370" i="1"/>
  <c r="D1370" i="1"/>
  <c r="C1370" i="1"/>
  <c r="B1370" i="1"/>
  <c r="H1369" i="1"/>
  <c r="G1369" i="1"/>
  <c r="F1369" i="1"/>
  <c r="E1369" i="1"/>
  <c r="D1369" i="1"/>
  <c r="C1369" i="1"/>
  <c r="B1369" i="1"/>
  <c r="H1368" i="1"/>
  <c r="G1368" i="1"/>
  <c r="F1368" i="1"/>
  <c r="E1368" i="1"/>
  <c r="D1368" i="1"/>
  <c r="C1368" i="1"/>
  <c r="B1368" i="1"/>
  <c r="H1367" i="1"/>
  <c r="G1367" i="1"/>
  <c r="F1367" i="1"/>
  <c r="E1367" i="1"/>
  <c r="D1367" i="1"/>
  <c r="C1367" i="1"/>
  <c r="B1367" i="1"/>
  <c r="H1366" i="1"/>
  <c r="G1366" i="1"/>
  <c r="F1366" i="1"/>
  <c r="E1366" i="1"/>
  <c r="D1366" i="1"/>
  <c r="C1366" i="1"/>
  <c r="B1366" i="1"/>
  <c r="H1365" i="1"/>
  <c r="G1365" i="1"/>
  <c r="F1365" i="1"/>
  <c r="E1365" i="1"/>
  <c r="D1365" i="1"/>
  <c r="C1365" i="1"/>
  <c r="B1365" i="1"/>
  <c r="H1364" i="1"/>
  <c r="G1364" i="1"/>
  <c r="F1364" i="1"/>
  <c r="E1364" i="1"/>
  <c r="D1364" i="1"/>
  <c r="C1364" i="1"/>
  <c r="B1364" i="1"/>
  <c r="H1363" i="1"/>
  <c r="G1363" i="1"/>
  <c r="F1363" i="1"/>
  <c r="E1363" i="1"/>
  <c r="D1363" i="1"/>
  <c r="C1363" i="1"/>
  <c r="B1363" i="1"/>
  <c r="H1362" i="1"/>
  <c r="G1362" i="1"/>
  <c r="F1362" i="1"/>
  <c r="E1362" i="1"/>
  <c r="D1362" i="1"/>
  <c r="C1362" i="1"/>
  <c r="B1362" i="1"/>
  <c r="H1361" i="1"/>
  <c r="G1361" i="1"/>
  <c r="F1361" i="1"/>
  <c r="E1361" i="1"/>
  <c r="D1361" i="1"/>
  <c r="C1361" i="1"/>
  <c r="B1361" i="1"/>
  <c r="H1360" i="1"/>
  <c r="G1360" i="1"/>
  <c r="F1360" i="1"/>
  <c r="E1360" i="1"/>
  <c r="D1360" i="1"/>
  <c r="C1360" i="1"/>
  <c r="B1360" i="1"/>
  <c r="H1359" i="1"/>
  <c r="G1359" i="1"/>
  <c r="F1359" i="1"/>
  <c r="E1359" i="1"/>
  <c r="D1359" i="1"/>
  <c r="C1359" i="1"/>
  <c r="B1359" i="1"/>
  <c r="H1358" i="1"/>
  <c r="G1358" i="1"/>
  <c r="F1358" i="1"/>
  <c r="E1358" i="1"/>
  <c r="D1358" i="1"/>
  <c r="C1358" i="1"/>
  <c r="B1358" i="1"/>
  <c r="H1357" i="1"/>
  <c r="G1357" i="1"/>
  <c r="F1357" i="1"/>
  <c r="E1357" i="1"/>
  <c r="D1357" i="1"/>
  <c r="C1357" i="1"/>
  <c r="B1357" i="1"/>
  <c r="H1356" i="1"/>
  <c r="G1356" i="1"/>
  <c r="F1356" i="1"/>
  <c r="E1356" i="1"/>
  <c r="D1356" i="1"/>
  <c r="C1356" i="1"/>
  <c r="B1356" i="1"/>
  <c r="H1355" i="1"/>
  <c r="G1355" i="1"/>
  <c r="F1355" i="1"/>
  <c r="E1355" i="1"/>
  <c r="D1355" i="1"/>
  <c r="C1355" i="1"/>
  <c r="B1355" i="1"/>
  <c r="H1354" i="1"/>
  <c r="G1354" i="1"/>
  <c r="F1354" i="1"/>
  <c r="E1354" i="1"/>
  <c r="D1354" i="1"/>
  <c r="C1354" i="1"/>
  <c r="B1354" i="1"/>
  <c r="H1353" i="1"/>
  <c r="G1353" i="1"/>
  <c r="F1353" i="1"/>
  <c r="E1353" i="1"/>
  <c r="D1353" i="1"/>
  <c r="C1353" i="1"/>
  <c r="B1353" i="1"/>
  <c r="H1352" i="1"/>
  <c r="G1352" i="1"/>
  <c r="F1352" i="1"/>
  <c r="E1352" i="1"/>
  <c r="D1352" i="1"/>
  <c r="C1352" i="1"/>
  <c r="B1352" i="1"/>
  <c r="H1351" i="1"/>
  <c r="G1351" i="1"/>
  <c r="F1351" i="1"/>
  <c r="E1351" i="1"/>
  <c r="D1351" i="1"/>
  <c r="C1351" i="1"/>
  <c r="B1351" i="1"/>
  <c r="H1350" i="1"/>
  <c r="G1350" i="1"/>
  <c r="F1350" i="1"/>
  <c r="E1350" i="1"/>
  <c r="D1350" i="1"/>
  <c r="C1350" i="1"/>
  <c r="B1350" i="1"/>
  <c r="H1349" i="1"/>
  <c r="G1349" i="1"/>
  <c r="F1349" i="1"/>
  <c r="E1349" i="1"/>
  <c r="D1349" i="1"/>
  <c r="C1349" i="1"/>
  <c r="B1349" i="1"/>
  <c r="H1348" i="1"/>
  <c r="G1348" i="1"/>
  <c r="F1348" i="1"/>
  <c r="E1348" i="1"/>
  <c r="D1348" i="1"/>
  <c r="C1348" i="1"/>
  <c r="B1348" i="1"/>
  <c r="H1347" i="1"/>
  <c r="G1347" i="1"/>
  <c r="F1347" i="1"/>
  <c r="E1347" i="1"/>
  <c r="D1347" i="1"/>
  <c r="C1347" i="1"/>
  <c r="B1347" i="1"/>
  <c r="H1346" i="1"/>
  <c r="G1346" i="1"/>
  <c r="F1346" i="1"/>
  <c r="E1346" i="1"/>
  <c r="D1346" i="1"/>
  <c r="C1346" i="1"/>
  <c r="B1346" i="1"/>
  <c r="H1345" i="1"/>
  <c r="G1345" i="1"/>
  <c r="F1345" i="1"/>
  <c r="E1345" i="1"/>
  <c r="D1345" i="1"/>
  <c r="C1345" i="1"/>
  <c r="B1345" i="1"/>
  <c r="H1344" i="1"/>
  <c r="G1344" i="1"/>
  <c r="F1344" i="1"/>
  <c r="E1344" i="1"/>
  <c r="D1344" i="1"/>
  <c r="C1344" i="1"/>
  <c r="B1344" i="1"/>
  <c r="H1343" i="1"/>
  <c r="G1343" i="1"/>
  <c r="F1343" i="1"/>
  <c r="E1343" i="1"/>
  <c r="D1343" i="1"/>
  <c r="C1343" i="1"/>
  <c r="B1343" i="1"/>
  <c r="H1342" i="1"/>
  <c r="G1342" i="1"/>
  <c r="F1342" i="1"/>
  <c r="E1342" i="1"/>
  <c r="D1342" i="1"/>
  <c r="C1342" i="1"/>
  <c r="B1342" i="1"/>
  <c r="H1341" i="1"/>
  <c r="G1341" i="1"/>
  <c r="F1341" i="1"/>
  <c r="E1341" i="1"/>
  <c r="D1341" i="1"/>
  <c r="C1341" i="1"/>
  <c r="B1341" i="1"/>
  <c r="H1340" i="1"/>
  <c r="G1340" i="1"/>
  <c r="F1340" i="1"/>
  <c r="E1340" i="1"/>
  <c r="D1340" i="1"/>
  <c r="C1340" i="1"/>
  <c r="B1340" i="1"/>
  <c r="H1339" i="1"/>
  <c r="G1339" i="1"/>
  <c r="F1339" i="1"/>
  <c r="E1339" i="1"/>
  <c r="D1339" i="1"/>
  <c r="C1339" i="1"/>
  <c r="B1339" i="1"/>
  <c r="H1338" i="1"/>
  <c r="G1338" i="1"/>
  <c r="F1338" i="1"/>
  <c r="E1338" i="1"/>
  <c r="D1338" i="1"/>
  <c r="C1338" i="1"/>
  <c r="B1338" i="1"/>
  <c r="H1337" i="1"/>
  <c r="G1337" i="1"/>
  <c r="F1337" i="1"/>
  <c r="E1337" i="1"/>
  <c r="D1337" i="1"/>
  <c r="C1337" i="1"/>
  <c r="B1337" i="1"/>
  <c r="H1336" i="1"/>
  <c r="G1336" i="1"/>
  <c r="F1336" i="1"/>
  <c r="E1336" i="1"/>
  <c r="D1336" i="1"/>
  <c r="C1336" i="1"/>
  <c r="B1336" i="1"/>
  <c r="H1335" i="1"/>
  <c r="G1335" i="1"/>
  <c r="F1335" i="1"/>
  <c r="E1335" i="1"/>
  <c r="D1335" i="1"/>
  <c r="C1335" i="1"/>
  <c r="B1335" i="1"/>
  <c r="H1334" i="1"/>
  <c r="G1334" i="1"/>
  <c r="F1334" i="1"/>
  <c r="E1334" i="1"/>
  <c r="D1334" i="1"/>
  <c r="C1334" i="1"/>
  <c r="B1334" i="1"/>
  <c r="H1333" i="1"/>
  <c r="G1333" i="1"/>
  <c r="F1333" i="1"/>
  <c r="E1333" i="1"/>
  <c r="D1333" i="1"/>
  <c r="C1333" i="1"/>
  <c r="B1333" i="1"/>
  <c r="H1332" i="1"/>
  <c r="G1332" i="1"/>
  <c r="F1332" i="1"/>
  <c r="E1332" i="1"/>
  <c r="D1332" i="1"/>
  <c r="C1332" i="1"/>
  <c r="B1332" i="1"/>
  <c r="H1331" i="1"/>
  <c r="G1331" i="1"/>
  <c r="F1331" i="1"/>
  <c r="E1331" i="1"/>
  <c r="D1331" i="1"/>
  <c r="C1331" i="1"/>
  <c r="B1331" i="1"/>
  <c r="H1330" i="1"/>
  <c r="G1330" i="1"/>
  <c r="F1330" i="1"/>
  <c r="E1330" i="1"/>
  <c r="D1330" i="1"/>
  <c r="C1330" i="1"/>
  <c r="B1330" i="1"/>
  <c r="H1329" i="1"/>
  <c r="G1329" i="1"/>
  <c r="F1329" i="1"/>
  <c r="E1329" i="1"/>
  <c r="D1329" i="1"/>
  <c r="C1329" i="1"/>
  <c r="B1329" i="1"/>
  <c r="H1328" i="1"/>
  <c r="G1328" i="1"/>
  <c r="F1328" i="1"/>
  <c r="E1328" i="1"/>
  <c r="D1328" i="1"/>
  <c r="C1328" i="1"/>
  <c r="B1328" i="1"/>
  <c r="H1327" i="1"/>
  <c r="G1327" i="1"/>
  <c r="F1327" i="1"/>
  <c r="E1327" i="1"/>
  <c r="D1327" i="1"/>
  <c r="C1327" i="1"/>
  <c r="B1327" i="1"/>
  <c r="H1326" i="1"/>
  <c r="G1326" i="1"/>
  <c r="F1326" i="1"/>
  <c r="E1326" i="1"/>
  <c r="D1326" i="1"/>
  <c r="C1326" i="1"/>
  <c r="B1326" i="1"/>
  <c r="H1325" i="1"/>
  <c r="G1325" i="1"/>
  <c r="F1325" i="1"/>
  <c r="E1325" i="1"/>
  <c r="D1325" i="1"/>
  <c r="C1325" i="1"/>
  <c r="B1325" i="1"/>
  <c r="H1324" i="1"/>
  <c r="G1324" i="1"/>
  <c r="F1324" i="1"/>
  <c r="E1324" i="1"/>
  <c r="D1324" i="1"/>
  <c r="C1324" i="1"/>
  <c r="B1324" i="1"/>
  <c r="H1323" i="1"/>
  <c r="G1323" i="1"/>
  <c r="F1323" i="1"/>
  <c r="E1323" i="1"/>
  <c r="D1323" i="1"/>
  <c r="C1323" i="1"/>
  <c r="B1323" i="1"/>
  <c r="H1322" i="1"/>
  <c r="G1322" i="1"/>
  <c r="F1322" i="1"/>
  <c r="E1322" i="1"/>
  <c r="D1322" i="1"/>
  <c r="C1322" i="1"/>
  <c r="B1322" i="1"/>
  <c r="H1321" i="1"/>
  <c r="G1321" i="1"/>
  <c r="F1321" i="1"/>
  <c r="E1321" i="1"/>
  <c r="D1321" i="1"/>
  <c r="C1321" i="1"/>
  <c r="B1321" i="1"/>
  <c r="H1320" i="1"/>
  <c r="G1320" i="1"/>
  <c r="F1320" i="1"/>
  <c r="E1320" i="1"/>
  <c r="D1320" i="1"/>
  <c r="C1320" i="1"/>
  <c r="B1320" i="1"/>
  <c r="H1319" i="1"/>
  <c r="G1319" i="1"/>
  <c r="F1319" i="1"/>
  <c r="E1319" i="1"/>
  <c r="D1319" i="1"/>
  <c r="C1319" i="1"/>
  <c r="B1319" i="1"/>
  <c r="H1318" i="1"/>
  <c r="G1318" i="1"/>
  <c r="F1318" i="1"/>
  <c r="E1318" i="1"/>
  <c r="D1318" i="1"/>
  <c r="C1318" i="1"/>
  <c r="B1318" i="1"/>
  <c r="H1317" i="1"/>
  <c r="G1317" i="1"/>
  <c r="F1317" i="1"/>
  <c r="E1317" i="1"/>
  <c r="D1317" i="1"/>
  <c r="C1317" i="1"/>
  <c r="B1317" i="1"/>
  <c r="H1316" i="1"/>
  <c r="G1316" i="1"/>
  <c r="F1316" i="1"/>
  <c r="E1316" i="1"/>
  <c r="D1316" i="1"/>
  <c r="C1316" i="1"/>
  <c r="B1316" i="1"/>
  <c r="H1315" i="1"/>
  <c r="G1315" i="1"/>
  <c r="F1315" i="1"/>
  <c r="E1315" i="1"/>
  <c r="D1315" i="1"/>
  <c r="C1315" i="1"/>
  <c r="B1315" i="1"/>
  <c r="H1314" i="1"/>
  <c r="G1314" i="1"/>
  <c r="F1314" i="1"/>
  <c r="E1314" i="1"/>
  <c r="D1314" i="1"/>
  <c r="C1314" i="1"/>
  <c r="B1314" i="1"/>
  <c r="H1313" i="1"/>
  <c r="G1313" i="1"/>
  <c r="F1313" i="1"/>
  <c r="E1313" i="1"/>
  <c r="D1313" i="1"/>
  <c r="C1313" i="1"/>
  <c r="B1313" i="1"/>
  <c r="H1312" i="1"/>
  <c r="G1312" i="1"/>
  <c r="F1312" i="1"/>
  <c r="E1312" i="1"/>
  <c r="D1312" i="1"/>
  <c r="C1312" i="1"/>
  <c r="B1312" i="1"/>
  <c r="H1311" i="1"/>
  <c r="G1311" i="1"/>
  <c r="F1311" i="1"/>
  <c r="E1311" i="1"/>
  <c r="D1311" i="1"/>
  <c r="C1311" i="1"/>
  <c r="B1311" i="1"/>
  <c r="H1310" i="1"/>
  <c r="G1310" i="1"/>
  <c r="F1310" i="1"/>
  <c r="E1310" i="1"/>
  <c r="D1310" i="1"/>
  <c r="C1310" i="1"/>
  <c r="B1310" i="1"/>
  <c r="H1309" i="1"/>
  <c r="G1309" i="1"/>
  <c r="F1309" i="1"/>
  <c r="E1309" i="1"/>
  <c r="D1309" i="1"/>
  <c r="C1309" i="1"/>
  <c r="B1309" i="1"/>
  <c r="H1308" i="1"/>
  <c r="G1308" i="1"/>
  <c r="F1308" i="1"/>
  <c r="E1308" i="1"/>
  <c r="D1308" i="1"/>
  <c r="C1308" i="1"/>
  <c r="B1308" i="1"/>
  <c r="H1307" i="1"/>
  <c r="G1307" i="1"/>
  <c r="F1307" i="1"/>
  <c r="E1307" i="1"/>
  <c r="D1307" i="1"/>
  <c r="C1307" i="1"/>
  <c r="B1307" i="1"/>
  <c r="H1306" i="1"/>
  <c r="G1306" i="1"/>
  <c r="F1306" i="1"/>
  <c r="E1306" i="1"/>
  <c r="D1306" i="1"/>
  <c r="C1306" i="1"/>
  <c r="B1306" i="1"/>
  <c r="H1305" i="1"/>
  <c r="G1305" i="1"/>
  <c r="F1305" i="1"/>
  <c r="E1305" i="1"/>
  <c r="D1305" i="1"/>
  <c r="C1305" i="1"/>
  <c r="B1305" i="1"/>
  <c r="H1304" i="1"/>
  <c r="G1304" i="1"/>
  <c r="F1304" i="1"/>
  <c r="E1304" i="1"/>
  <c r="D1304" i="1"/>
  <c r="C1304" i="1"/>
  <c r="B1304" i="1"/>
  <c r="H1303" i="1"/>
  <c r="G1303" i="1"/>
  <c r="F1303" i="1"/>
  <c r="E1303" i="1"/>
  <c r="D1303" i="1"/>
  <c r="C1303" i="1"/>
  <c r="B1303" i="1"/>
  <c r="H1302" i="1"/>
  <c r="G1302" i="1"/>
  <c r="F1302" i="1"/>
  <c r="E1302" i="1"/>
  <c r="D1302" i="1"/>
  <c r="C1302" i="1"/>
  <c r="B1302" i="1"/>
  <c r="H1301" i="1"/>
  <c r="G1301" i="1"/>
  <c r="F1301" i="1"/>
  <c r="E1301" i="1"/>
  <c r="D1301" i="1"/>
  <c r="C1301" i="1"/>
  <c r="B1301" i="1"/>
  <c r="H1300" i="1"/>
  <c r="G1300" i="1"/>
  <c r="F1300" i="1"/>
  <c r="E1300" i="1"/>
  <c r="D1300" i="1"/>
  <c r="C1300" i="1"/>
  <c r="B1300" i="1"/>
  <c r="H1299" i="1"/>
  <c r="G1299" i="1"/>
  <c r="F1299" i="1"/>
  <c r="E1299" i="1"/>
  <c r="D1299" i="1"/>
  <c r="C1299" i="1"/>
  <c r="B1299" i="1"/>
  <c r="H1298" i="1"/>
  <c r="G1298" i="1"/>
  <c r="F1298" i="1"/>
  <c r="E1298" i="1"/>
  <c r="D1298" i="1"/>
  <c r="C1298" i="1"/>
  <c r="B1298" i="1"/>
  <c r="H1297" i="1"/>
  <c r="G1297" i="1"/>
  <c r="F1297" i="1"/>
  <c r="E1297" i="1"/>
  <c r="D1297" i="1"/>
  <c r="C1297" i="1"/>
  <c r="B1297" i="1"/>
  <c r="H1296" i="1"/>
  <c r="G1296" i="1"/>
  <c r="F1296" i="1"/>
  <c r="E1296" i="1"/>
  <c r="D1296" i="1"/>
  <c r="C1296" i="1"/>
  <c r="B1296" i="1"/>
  <c r="H1295" i="1"/>
  <c r="G1295" i="1"/>
  <c r="F1295" i="1"/>
  <c r="E1295" i="1"/>
  <c r="D1295" i="1"/>
  <c r="C1295" i="1"/>
  <c r="B1295" i="1"/>
  <c r="H1294" i="1"/>
  <c r="G1294" i="1"/>
  <c r="F1294" i="1"/>
  <c r="E1294" i="1"/>
  <c r="D1294" i="1"/>
  <c r="C1294" i="1"/>
  <c r="B1294" i="1"/>
  <c r="H1293" i="1"/>
  <c r="G1293" i="1"/>
  <c r="F1293" i="1"/>
  <c r="E1293" i="1"/>
  <c r="D1293" i="1"/>
  <c r="C1293" i="1"/>
  <c r="B1293" i="1"/>
  <c r="H1292" i="1"/>
  <c r="G1292" i="1"/>
  <c r="F1292" i="1"/>
  <c r="E1292" i="1"/>
  <c r="D1292" i="1"/>
  <c r="C1292" i="1"/>
  <c r="B1292" i="1"/>
  <c r="H1291" i="1"/>
  <c r="G1291" i="1"/>
  <c r="F1291" i="1"/>
  <c r="E1291" i="1"/>
  <c r="D1291" i="1"/>
  <c r="C1291" i="1"/>
  <c r="B1291" i="1"/>
  <c r="H1290" i="1"/>
  <c r="G1290" i="1"/>
  <c r="F1290" i="1"/>
  <c r="E1290" i="1"/>
  <c r="D1290" i="1"/>
  <c r="C1290" i="1"/>
  <c r="B1290" i="1"/>
  <c r="H1289" i="1"/>
  <c r="G1289" i="1"/>
  <c r="F1289" i="1"/>
  <c r="E1289" i="1"/>
  <c r="D1289" i="1"/>
  <c r="C1289" i="1"/>
  <c r="B1289" i="1"/>
  <c r="H1288" i="1"/>
  <c r="G1288" i="1"/>
  <c r="F1288" i="1"/>
  <c r="E1288" i="1"/>
  <c r="D1288" i="1"/>
  <c r="C1288" i="1"/>
  <c r="B1288" i="1"/>
  <c r="H1287" i="1"/>
  <c r="G1287" i="1"/>
  <c r="F1287" i="1"/>
  <c r="E1287" i="1"/>
  <c r="D1287" i="1"/>
  <c r="C1287" i="1"/>
  <c r="B1287" i="1"/>
  <c r="H1286" i="1"/>
  <c r="G1286" i="1"/>
  <c r="F1286" i="1"/>
  <c r="E1286" i="1"/>
  <c r="D1286" i="1"/>
  <c r="C1286" i="1"/>
  <c r="B1286" i="1"/>
  <c r="H1285" i="1"/>
  <c r="G1285" i="1"/>
  <c r="F1285" i="1"/>
  <c r="E1285" i="1"/>
  <c r="D1285" i="1"/>
  <c r="C1285" i="1"/>
  <c r="B1285" i="1"/>
  <c r="H1284" i="1"/>
  <c r="G1284" i="1"/>
  <c r="F1284" i="1"/>
  <c r="E1284" i="1"/>
  <c r="D1284" i="1"/>
  <c r="C1284" i="1"/>
  <c r="B1284" i="1"/>
  <c r="H1283" i="1"/>
  <c r="G1283" i="1"/>
  <c r="F1283" i="1"/>
  <c r="E1283" i="1"/>
  <c r="D1283" i="1"/>
  <c r="C1283" i="1"/>
  <c r="B1283" i="1"/>
  <c r="H1282" i="1"/>
  <c r="G1282" i="1"/>
  <c r="F1282" i="1"/>
  <c r="E1282" i="1"/>
  <c r="D1282" i="1"/>
  <c r="C1282" i="1"/>
  <c r="B1282" i="1"/>
  <c r="H1281" i="1"/>
  <c r="G1281" i="1"/>
  <c r="F1281" i="1"/>
  <c r="E1281" i="1"/>
  <c r="D1281" i="1"/>
  <c r="C1281" i="1"/>
  <c r="B1281" i="1"/>
  <c r="H1280" i="1"/>
  <c r="G1280" i="1"/>
  <c r="F1280" i="1"/>
  <c r="E1280" i="1"/>
  <c r="D1280" i="1"/>
  <c r="C1280" i="1"/>
  <c r="B1280" i="1"/>
  <c r="H1279" i="1"/>
  <c r="G1279" i="1"/>
  <c r="F1279" i="1"/>
  <c r="E1279" i="1"/>
  <c r="D1279" i="1"/>
  <c r="C1279" i="1"/>
  <c r="B1279" i="1"/>
  <c r="H1278" i="1"/>
  <c r="G1278" i="1"/>
  <c r="F1278" i="1"/>
  <c r="E1278" i="1"/>
  <c r="D1278" i="1"/>
  <c r="C1278" i="1"/>
  <c r="B1278" i="1"/>
  <c r="H1277" i="1"/>
  <c r="G1277" i="1"/>
  <c r="F1277" i="1"/>
  <c r="E1277" i="1"/>
  <c r="D1277" i="1"/>
  <c r="C1277" i="1"/>
  <c r="B1277" i="1"/>
  <c r="H1276" i="1"/>
  <c r="G1276" i="1"/>
  <c r="F1276" i="1"/>
  <c r="E1276" i="1"/>
  <c r="D1276" i="1"/>
  <c r="C1276" i="1"/>
  <c r="B1276" i="1"/>
  <c r="H1275" i="1"/>
  <c r="G1275" i="1"/>
  <c r="F1275" i="1"/>
  <c r="E1275" i="1"/>
  <c r="D1275" i="1"/>
  <c r="C1275" i="1"/>
  <c r="B1275" i="1"/>
  <c r="H1274" i="1"/>
  <c r="G1274" i="1"/>
  <c r="F1274" i="1"/>
  <c r="E1274" i="1"/>
  <c r="D1274" i="1"/>
  <c r="C1274" i="1"/>
  <c r="B1274" i="1"/>
  <c r="H1273" i="1"/>
  <c r="G1273" i="1"/>
  <c r="F1273" i="1"/>
  <c r="E1273" i="1"/>
  <c r="D1273" i="1"/>
  <c r="C1273" i="1"/>
  <c r="B1273" i="1"/>
  <c r="H1272" i="1"/>
  <c r="G1272" i="1"/>
  <c r="F1272" i="1"/>
  <c r="E1272" i="1"/>
  <c r="D1272" i="1"/>
  <c r="C1272" i="1"/>
  <c r="B1272" i="1"/>
  <c r="H1271" i="1"/>
  <c r="G1271" i="1"/>
  <c r="F1271" i="1"/>
  <c r="E1271" i="1"/>
  <c r="D1271" i="1"/>
  <c r="C1271" i="1"/>
  <c r="B1271" i="1"/>
  <c r="H1270" i="1"/>
  <c r="G1270" i="1"/>
  <c r="F1270" i="1"/>
  <c r="E1270" i="1"/>
  <c r="D1270" i="1"/>
  <c r="C1270" i="1"/>
  <c r="B1270" i="1"/>
  <c r="H1269" i="1"/>
  <c r="G1269" i="1"/>
  <c r="F1269" i="1"/>
  <c r="E1269" i="1"/>
  <c r="D1269" i="1"/>
  <c r="C1269" i="1"/>
  <c r="B1269" i="1"/>
  <c r="H1268" i="1"/>
  <c r="G1268" i="1"/>
  <c r="F1268" i="1"/>
  <c r="E1268" i="1"/>
  <c r="D1268" i="1"/>
  <c r="C1268" i="1"/>
  <c r="B1268" i="1"/>
  <c r="H1267" i="1"/>
  <c r="G1267" i="1"/>
  <c r="F1267" i="1"/>
  <c r="E1267" i="1"/>
  <c r="D1267" i="1"/>
  <c r="C1267" i="1"/>
  <c r="B1267" i="1"/>
  <c r="H1266" i="1"/>
  <c r="G1266" i="1"/>
  <c r="F1266" i="1"/>
  <c r="E1266" i="1"/>
  <c r="D1266" i="1"/>
  <c r="C1266" i="1"/>
  <c r="B1266" i="1"/>
  <c r="H1265" i="1"/>
  <c r="G1265" i="1"/>
  <c r="F1265" i="1"/>
  <c r="E1265" i="1"/>
  <c r="D1265" i="1"/>
  <c r="C1265" i="1"/>
  <c r="B1265" i="1"/>
  <c r="H1264" i="1"/>
  <c r="G1264" i="1"/>
  <c r="F1264" i="1"/>
  <c r="E1264" i="1"/>
  <c r="D1264" i="1"/>
  <c r="C1264" i="1"/>
  <c r="B1264" i="1"/>
  <c r="H1263" i="1"/>
  <c r="G1263" i="1"/>
  <c r="F1263" i="1"/>
  <c r="E1263" i="1"/>
  <c r="D1263" i="1"/>
  <c r="C1263" i="1"/>
  <c r="B1263" i="1"/>
  <c r="H1262" i="1"/>
  <c r="G1262" i="1"/>
  <c r="F1262" i="1"/>
  <c r="E1262" i="1"/>
  <c r="D1262" i="1"/>
  <c r="C1262" i="1"/>
  <c r="B1262" i="1"/>
  <c r="H1261" i="1"/>
  <c r="G1261" i="1"/>
  <c r="F1261" i="1"/>
  <c r="E1261" i="1"/>
  <c r="D1261" i="1"/>
  <c r="C1261" i="1"/>
  <c r="B1261" i="1"/>
  <c r="H1260" i="1"/>
  <c r="G1260" i="1"/>
  <c r="F1260" i="1"/>
  <c r="E1260" i="1"/>
  <c r="D1260" i="1"/>
  <c r="C1260" i="1"/>
  <c r="B1260" i="1"/>
  <c r="H1259" i="1"/>
  <c r="G1259" i="1"/>
  <c r="F1259" i="1"/>
  <c r="E1259" i="1"/>
  <c r="D1259" i="1"/>
  <c r="C1259" i="1"/>
  <c r="B1259" i="1"/>
  <c r="H1258" i="1"/>
  <c r="G1258" i="1"/>
  <c r="F1258" i="1"/>
  <c r="E1258" i="1"/>
  <c r="D1258" i="1"/>
  <c r="C1258" i="1"/>
  <c r="B1258" i="1"/>
  <c r="H1257" i="1"/>
  <c r="G1257" i="1"/>
  <c r="F1257" i="1"/>
  <c r="E1257" i="1"/>
  <c r="D1257" i="1"/>
  <c r="C1257" i="1"/>
  <c r="B1257" i="1"/>
  <c r="H1256" i="1"/>
  <c r="G1256" i="1"/>
  <c r="F1256" i="1"/>
  <c r="E1256" i="1"/>
  <c r="D1256" i="1"/>
  <c r="C1256" i="1"/>
  <c r="B1256" i="1"/>
  <c r="H1255" i="1"/>
  <c r="G1255" i="1"/>
  <c r="F1255" i="1"/>
  <c r="E1255" i="1"/>
  <c r="D1255" i="1"/>
  <c r="C1255" i="1"/>
  <c r="B1255" i="1"/>
  <c r="H1254" i="1"/>
  <c r="G1254" i="1"/>
  <c r="F1254" i="1"/>
  <c r="E1254" i="1"/>
  <c r="D1254" i="1"/>
  <c r="C1254" i="1"/>
  <c r="B1254" i="1"/>
  <c r="H1253" i="1"/>
  <c r="G1253" i="1"/>
  <c r="F1253" i="1"/>
  <c r="E1253" i="1"/>
  <c r="D1253" i="1"/>
  <c r="C1253" i="1"/>
  <c r="B1253" i="1"/>
  <c r="H1252" i="1"/>
  <c r="G1252" i="1"/>
  <c r="F1252" i="1"/>
  <c r="E1252" i="1"/>
  <c r="D1252" i="1"/>
  <c r="C1252" i="1"/>
  <c r="B1252" i="1"/>
  <c r="H1251" i="1"/>
  <c r="G1251" i="1"/>
  <c r="F1251" i="1"/>
  <c r="E1251" i="1"/>
  <c r="D1251" i="1"/>
  <c r="C1251" i="1"/>
  <c r="B1251" i="1"/>
  <c r="H1250" i="1"/>
  <c r="G1250" i="1"/>
  <c r="F1250" i="1"/>
  <c r="E1250" i="1"/>
  <c r="D1250" i="1"/>
  <c r="C1250" i="1"/>
  <c r="B1250" i="1"/>
  <c r="H1249" i="1"/>
  <c r="G1249" i="1"/>
  <c r="F1249" i="1"/>
  <c r="E1249" i="1"/>
  <c r="D1249" i="1"/>
  <c r="C1249" i="1"/>
  <c r="B1249" i="1"/>
  <c r="H1248" i="1"/>
  <c r="G1248" i="1"/>
  <c r="F1248" i="1"/>
  <c r="E1248" i="1"/>
  <c r="D1248" i="1"/>
  <c r="C1248" i="1"/>
  <c r="B1248" i="1"/>
  <c r="H1247" i="1"/>
  <c r="G1247" i="1"/>
  <c r="F1247" i="1"/>
  <c r="E1247" i="1"/>
  <c r="D1247" i="1"/>
  <c r="C1247" i="1"/>
  <c r="B1247" i="1"/>
  <c r="H1246" i="1"/>
  <c r="G1246" i="1"/>
  <c r="F1246" i="1"/>
  <c r="E1246" i="1"/>
  <c r="D1246" i="1"/>
  <c r="C1246" i="1"/>
  <c r="B1246" i="1"/>
  <c r="H1245" i="1"/>
  <c r="G1245" i="1"/>
  <c r="F1245" i="1"/>
  <c r="E1245" i="1"/>
  <c r="D1245" i="1"/>
  <c r="C1245" i="1"/>
  <c r="B1245" i="1"/>
  <c r="H1244" i="1"/>
  <c r="G1244" i="1"/>
  <c r="F1244" i="1"/>
  <c r="E1244" i="1"/>
  <c r="D1244" i="1"/>
  <c r="C1244" i="1"/>
  <c r="B1244" i="1"/>
  <c r="H1243" i="1"/>
  <c r="G1243" i="1"/>
  <c r="F1243" i="1"/>
  <c r="E1243" i="1"/>
  <c r="D1243" i="1"/>
  <c r="C1243" i="1"/>
  <c r="B1243" i="1"/>
  <c r="H1242" i="1"/>
  <c r="G1242" i="1"/>
  <c r="F1242" i="1"/>
  <c r="E1242" i="1"/>
  <c r="D1242" i="1"/>
  <c r="C1242" i="1"/>
  <c r="B1242" i="1"/>
  <c r="H1241" i="1"/>
  <c r="G1241" i="1"/>
  <c r="F1241" i="1"/>
  <c r="E1241" i="1"/>
  <c r="D1241" i="1"/>
  <c r="C1241" i="1"/>
  <c r="B1241" i="1"/>
  <c r="H1240" i="1"/>
  <c r="G1240" i="1"/>
  <c r="F1240" i="1"/>
  <c r="E1240" i="1"/>
  <c r="D1240" i="1"/>
  <c r="C1240" i="1"/>
  <c r="B1240" i="1"/>
  <c r="H1239" i="1"/>
  <c r="G1239" i="1"/>
  <c r="F1239" i="1"/>
  <c r="E1239" i="1"/>
  <c r="D1239" i="1"/>
  <c r="C1239" i="1"/>
  <c r="B1239" i="1"/>
  <c r="H1238" i="1"/>
  <c r="G1238" i="1"/>
  <c r="F1238" i="1"/>
  <c r="E1238" i="1"/>
  <c r="D1238" i="1"/>
  <c r="C1238" i="1"/>
  <c r="B1238" i="1"/>
  <c r="H1237" i="1"/>
  <c r="G1237" i="1"/>
  <c r="F1237" i="1"/>
  <c r="E1237" i="1"/>
  <c r="D1237" i="1"/>
  <c r="C1237" i="1"/>
  <c r="B1237" i="1"/>
  <c r="H1236" i="1"/>
  <c r="G1236" i="1"/>
  <c r="F1236" i="1"/>
  <c r="E1236" i="1"/>
  <c r="D1236" i="1"/>
  <c r="C1236" i="1"/>
  <c r="B1236" i="1"/>
  <c r="H1235" i="1"/>
  <c r="G1235" i="1"/>
  <c r="F1235" i="1"/>
  <c r="E1235" i="1"/>
  <c r="D1235" i="1"/>
  <c r="C1235" i="1"/>
  <c r="B1235" i="1"/>
  <c r="H1234" i="1"/>
  <c r="G1234" i="1"/>
  <c r="F1234" i="1"/>
  <c r="E1234" i="1"/>
  <c r="D1234" i="1"/>
  <c r="C1234" i="1"/>
  <c r="B1234" i="1"/>
  <c r="H1233" i="1"/>
  <c r="G1233" i="1"/>
  <c r="F1233" i="1"/>
  <c r="E1233" i="1"/>
  <c r="D1233" i="1"/>
  <c r="C1233" i="1"/>
  <c r="B1233" i="1"/>
  <c r="H1232" i="1"/>
  <c r="G1232" i="1"/>
  <c r="F1232" i="1"/>
  <c r="E1232" i="1"/>
  <c r="D1232" i="1"/>
  <c r="C1232" i="1"/>
  <c r="B1232" i="1"/>
  <c r="H1231" i="1"/>
  <c r="G1231" i="1"/>
  <c r="F1231" i="1"/>
  <c r="E1231" i="1"/>
  <c r="D1231" i="1"/>
  <c r="C1231" i="1"/>
  <c r="B1231" i="1"/>
  <c r="H1230" i="1"/>
  <c r="G1230" i="1"/>
  <c r="F1230" i="1"/>
  <c r="E1230" i="1"/>
  <c r="D1230" i="1"/>
  <c r="C1230" i="1"/>
  <c r="B1230" i="1"/>
  <c r="H1229" i="1"/>
  <c r="G1229" i="1"/>
  <c r="F1229" i="1"/>
  <c r="E1229" i="1"/>
  <c r="D1229" i="1"/>
  <c r="C1229" i="1"/>
  <c r="B1229" i="1"/>
  <c r="H1228" i="1"/>
  <c r="G1228" i="1"/>
  <c r="F1228" i="1"/>
  <c r="E1228" i="1"/>
  <c r="D1228" i="1"/>
  <c r="C1228" i="1"/>
  <c r="B1228" i="1"/>
  <c r="H1227" i="1"/>
  <c r="G1227" i="1"/>
  <c r="F1227" i="1"/>
  <c r="E1227" i="1"/>
  <c r="D1227" i="1"/>
  <c r="C1227" i="1"/>
  <c r="B1227" i="1"/>
  <c r="H1226" i="1"/>
  <c r="G1226" i="1"/>
  <c r="F1226" i="1"/>
  <c r="E1226" i="1"/>
  <c r="D1226" i="1"/>
  <c r="C1226" i="1"/>
  <c r="B1226" i="1"/>
  <c r="H1225" i="1"/>
  <c r="G1225" i="1"/>
  <c r="F1225" i="1"/>
  <c r="E1225" i="1"/>
  <c r="D1225" i="1"/>
  <c r="C1225" i="1"/>
  <c r="B1225" i="1"/>
  <c r="H1224" i="1"/>
  <c r="G1224" i="1"/>
  <c r="F1224" i="1"/>
  <c r="E1224" i="1"/>
  <c r="D1224" i="1"/>
  <c r="C1224" i="1"/>
  <c r="B1224" i="1"/>
  <c r="H1223" i="1"/>
  <c r="G1223" i="1"/>
  <c r="F1223" i="1"/>
  <c r="E1223" i="1"/>
  <c r="D1223" i="1"/>
  <c r="C1223" i="1"/>
  <c r="B1223" i="1"/>
  <c r="H1222" i="1"/>
  <c r="G1222" i="1"/>
  <c r="F1222" i="1"/>
  <c r="E1222" i="1"/>
  <c r="D1222" i="1"/>
  <c r="C1222" i="1"/>
  <c r="B1222" i="1"/>
  <c r="H1221" i="1"/>
  <c r="G1221" i="1"/>
  <c r="F1221" i="1"/>
  <c r="E1221" i="1"/>
  <c r="D1221" i="1"/>
  <c r="C1221" i="1"/>
  <c r="B1221" i="1"/>
  <c r="H1220" i="1"/>
  <c r="G1220" i="1"/>
  <c r="F1220" i="1"/>
  <c r="E1220" i="1"/>
  <c r="D1220" i="1"/>
  <c r="C1220" i="1"/>
  <c r="B1220" i="1"/>
  <c r="H1219" i="1"/>
  <c r="G1219" i="1"/>
  <c r="F1219" i="1"/>
  <c r="E1219" i="1"/>
  <c r="D1219" i="1"/>
  <c r="C1219" i="1"/>
  <c r="B1219" i="1"/>
  <c r="H1218" i="1"/>
  <c r="G1218" i="1"/>
  <c r="F1218" i="1"/>
  <c r="E1218" i="1"/>
  <c r="D1218" i="1"/>
  <c r="C1218" i="1"/>
  <c r="B1218" i="1"/>
  <c r="H1217" i="1"/>
  <c r="G1217" i="1"/>
  <c r="F1217" i="1"/>
  <c r="E1217" i="1"/>
  <c r="D1217" i="1"/>
  <c r="C1217" i="1"/>
  <c r="B1217" i="1"/>
  <c r="H1216" i="1"/>
  <c r="G1216" i="1"/>
  <c r="F1216" i="1"/>
  <c r="E1216" i="1"/>
  <c r="D1216" i="1"/>
  <c r="C1216" i="1"/>
  <c r="B1216" i="1"/>
  <c r="H1215" i="1"/>
  <c r="G1215" i="1"/>
  <c r="F1215" i="1"/>
  <c r="E1215" i="1"/>
  <c r="D1215" i="1"/>
  <c r="C1215" i="1"/>
  <c r="B1215" i="1"/>
  <c r="H1214" i="1"/>
  <c r="G1214" i="1"/>
  <c r="F1214" i="1"/>
  <c r="E1214" i="1"/>
  <c r="D1214" i="1"/>
  <c r="C1214" i="1"/>
  <c r="B1214" i="1"/>
  <c r="H1213" i="1"/>
  <c r="G1213" i="1"/>
  <c r="F1213" i="1"/>
  <c r="E1213" i="1"/>
  <c r="D1213" i="1"/>
  <c r="C1213" i="1"/>
  <c r="B1213" i="1"/>
  <c r="H1212" i="1"/>
  <c r="G1212" i="1"/>
  <c r="F1212" i="1"/>
  <c r="E1212" i="1"/>
  <c r="D1212" i="1"/>
  <c r="C1212" i="1"/>
  <c r="B1212" i="1"/>
  <c r="H1211" i="1"/>
  <c r="G1211" i="1"/>
  <c r="F1211" i="1"/>
  <c r="E1211" i="1"/>
  <c r="D1211" i="1"/>
  <c r="C1211" i="1"/>
  <c r="B1211" i="1"/>
  <c r="H1210" i="1"/>
  <c r="G1210" i="1"/>
  <c r="F1210" i="1"/>
  <c r="E1210" i="1"/>
  <c r="D1210" i="1"/>
  <c r="C1210" i="1"/>
  <c r="B1210" i="1"/>
  <c r="H1209" i="1"/>
  <c r="G1209" i="1"/>
  <c r="F1209" i="1"/>
  <c r="E1209" i="1"/>
  <c r="D1209" i="1"/>
  <c r="C1209" i="1"/>
  <c r="B1209" i="1"/>
  <c r="H1208" i="1"/>
  <c r="G1208" i="1"/>
  <c r="F1208" i="1"/>
  <c r="E1208" i="1"/>
  <c r="D1208" i="1"/>
  <c r="C1208" i="1"/>
  <c r="B1208" i="1"/>
  <c r="H1207" i="1"/>
  <c r="G1207" i="1"/>
  <c r="F1207" i="1"/>
  <c r="E1207" i="1"/>
  <c r="D1207" i="1"/>
  <c r="C1207" i="1"/>
  <c r="B1207" i="1"/>
  <c r="H1206" i="1"/>
  <c r="G1206" i="1"/>
  <c r="F1206" i="1"/>
  <c r="E1206" i="1"/>
  <c r="D1206" i="1"/>
  <c r="C1206" i="1"/>
  <c r="B1206" i="1"/>
  <c r="H1205" i="1"/>
  <c r="G1205" i="1"/>
  <c r="F1205" i="1"/>
  <c r="E1205" i="1"/>
  <c r="D1205" i="1"/>
  <c r="C1205" i="1"/>
  <c r="B1205" i="1"/>
  <c r="H1204" i="1"/>
  <c r="G1204" i="1"/>
  <c r="F1204" i="1"/>
  <c r="E1204" i="1"/>
  <c r="D1204" i="1"/>
  <c r="C1204" i="1"/>
  <c r="B1204" i="1"/>
  <c r="H1203" i="1"/>
  <c r="G1203" i="1"/>
  <c r="F1203" i="1"/>
  <c r="E1203" i="1"/>
  <c r="D1203" i="1"/>
  <c r="C1203" i="1"/>
  <c r="B1203" i="1"/>
  <c r="H1202" i="1"/>
  <c r="G1202" i="1"/>
  <c r="F1202" i="1"/>
  <c r="E1202" i="1"/>
  <c r="D1202" i="1"/>
  <c r="C1202" i="1"/>
  <c r="B1202" i="1"/>
  <c r="H1201" i="1"/>
  <c r="G1201" i="1"/>
  <c r="F1201" i="1"/>
  <c r="E1201" i="1"/>
  <c r="D1201" i="1"/>
  <c r="C1201" i="1"/>
  <c r="B1201" i="1"/>
  <c r="H1200" i="1"/>
  <c r="G1200" i="1"/>
  <c r="F1200" i="1"/>
  <c r="E1200" i="1"/>
  <c r="D1200" i="1"/>
  <c r="C1200" i="1"/>
  <c r="B1200" i="1"/>
  <c r="H1199" i="1"/>
  <c r="G1199" i="1"/>
  <c r="F1199" i="1"/>
  <c r="E1199" i="1"/>
  <c r="D1199" i="1"/>
  <c r="C1199" i="1"/>
  <c r="B1199" i="1"/>
  <c r="H1198" i="1"/>
  <c r="G1198" i="1"/>
  <c r="F1198" i="1"/>
  <c r="E1198" i="1"/>
  <c r="D1198" i="1"/>
  <c r="C1198" i="1"/>
  <c r="B1198" i="1"/>
  <c r="H1197" i="1"/>
  <c r="G1197" i="1"/>
  <c r="F1197" i="1"/>
  <c r="E1197" i="1"/>
  <c r="D1197" i="1"/>
  <c r="C1197" i="1"/>
  <c r="B1197" i="1"/>
  <c r="H1196" i="1"/>
  <c r="G1196" i="1"/>
  <c r="F1196" i="1"/>
  <c r="E1196" i="1"/>
  <c r="D1196" i="1"/>
  <c r="C1196" i="1"/>
  <c r="B1196" i="1"/>
  <c r="H1195" i="1"/>
  <c r="G1195" i="1"/>
  <c r="F1195" i="1"/>
  <c r="E1195" i="1"/>
  <c r="D1195" i="1"/>
  <c r="C1195" i="1"/>
  <c r="B1195" i="1"/>
  <c r="H1194" i="1"/>
  <c r="G1194" i="1"/>
  <c r="F1194" i="1"/>
  <c r="E1194" i="1"/>
  <c r="D1194" i="1"/>
  <c r="C1194" i="1"/>
  <c r="B1194" i="1"/>
  <c r="H1193" i="1"/>
  <c r="G1193" i="1"/>
  <c r="F1193" i="1"/>
  <c r="E1193" i="1"/>
  <c r="D1193" i="1"/>
  <c r="C1193" i="1"/>
  <c r="B1193" i="1"/>
  <c r="H1192" i="1"/>
  <c r="G1192" i="1"/>
  <c r="F1192" i="1"/>
  <c r="E1192" i="1"/>
  <c r="D1192" i="1"/>
  <c r="C1192" i="1"/>
  <c r="B1192" i="1"/>
  <c r="H1191" i="1"/>
  <c r="G1191" i="1"/>
  <c r="F1191" i="1"/>
  <c r="E1191" i="1"/>
  <c r="D1191" i="1"/>
  <c r="C1191" i="1"/>
  <c r="B1191" i="1"/>
  <c r="H1190" i="1"/>
  <c r="G1190" i="1"/>
  <c r="F1190" i="1"/>
  <c r="E1190" i="1"/>
  <c r="D1190" i="1"/>
  <c r="C1190" i="1"/>
  <c r="B1190" i="1"/>
  <c r="H1189" i="1"/>
  <c r="G1189" i="1"/>
  <c r="F1189" i="1"/>
  <c r="E1189" i="1"/>
  <c r="D1189" i="1"/>
  <c r="C1189" i="1"/>
  <c r="B1189" i="1"/>
  <c r="H1188" i="1"/>
  <c r="G1188" i="1"/>
  <c r="F1188" i="1"/>
  <c r="E1188" i="1"/>
  <c r="D1188" i="1"/>
  <c r="C1188" i="1"/>
  <c r="B1188" i="1"/>
  <c r="H1187" i="1"/>
  <c r="G1187" i="1"/>
  <c r="F1187" i="1"/>
  <c r="E1187" i="1"/>
  <c r="D1187" i="1"/>
  <c r="C1187" i="1"/>
  <c r="B1187" i="1"/>
  <c r="H1186" i="1"/>
  <c r="G1186" i="1"/>
  <c r="F1186" i="1"/>
  <c r="E1186" i="1"/>
  <c r="D1186" i="1"/>
  <c r="C1186" i="1"/>
  <c r="B1186" i="1"/>
  <c r="H1185" i="1"/>
  <c r="G1185" i="1"/>
  <c r="F1185" i="1"/>
  <c r="E1185" i="1"/>
  <c r="D1185" i="1"/>
  <c r="C1185" i="1"/>
  <c r="B1185" i="1"/>
  <c r="H1184" i="1"/>
  <c r="G1184" i="1"/>
  <c r="F1184" i="1"/>
  <c r="E1184" i="1"/>
  <c r="D1184" i="1"/>
  <c r="C1184" i="1"/>
  <c r="B1184" i="1"/>
  <c r="H1183" i="1"/>
  <c r="G1183" i="1"/>
  <c r="F1183" i="1"/>
  <c r="E1183" i="1"/>
  <c r="D1183" i="1"/>
  <c r="C1183" i="1"/>
  <c r="B1183" i="1"/>
  <c r="H1182" i="1"/>
  <c r="G1182" i="1"/>
  <c r="F1182" i="1"/>
  <c r="E1182" i="1"/>
  <c r="D1182" i="1"/>
  <c r="C1182" i="1"/>
  <c r="B1182" i="1"/>
  <c r="H1181" i="1"/>
  <c r="G1181" i="1"/>
  <c r="F1181" i="1"/>
  <c r="E1181" i="1"/>
  <c r="D1181" i="1"/>
  <c r="C1181" i="1"/>
  <c r="B1181" i="1"/>
  <c r="H1180" i="1"/>
  <c r="G1180" i="1"/>
  <c r="F1180" i="1"/>
  <c r="E1180" i="1"/>
  <c r="D1180" i="1"/>
  <c r="C1180" i="1"/>
  <c r="B1180" i="1"/>
  <c r="H1179" i="1"/>
  <c r="G1179" i="1"/>
  <c r="F1179" i="1"/>
  <c r="E1179" i="1"/>
  <c r="D1179" i="1"/>
  <c r="C1179" i="1"/>
  <c r="B1179" i="1"/>
  <c r="H1178" i="1"/>
  <c r="G1178" i="1"/>
  <c r="F1178" i="1"/>
  <c r="E1178" i="1"/>
  <c r="D1178" i="1"/>
  <c r="C1178" i="1"/>
  <c r="B1178" i="1"/>
  <c r="H1177" i="1"/>
  <c r="G1177" i="1"/>
  <c r="F1177" i="1"/>
  <c r="E1177" i="1"/>
  <c r="D1177" i="1"/>
  <c r="C1177" i="1"/>
  <c r="B1177" i="1"/>
  <c r="H1176" i="1"/>
  <c r="G1176" i="1"/>
  <c r="F1176" i="1"/>
  <c r="E1176" i="1"/>
  <c r="D1176" i="1"/>
  <c r="C1176" i="1"/>
  <c r="B1176" i="1"/>
  <c r="H1175" i="1"/>
  <c r="G1175" i="1"/>
  <c r="F1175" i="1"/>
  <c r="E1175" i="1"/>
  <c r="D1175" i="1"/>
  <c r="C1175" i="1"/>
  <c r="B1175" i="1"/>
  <c r="H1174" i="1"/>
  <c r="G1174" i="1"/>
  <c r="F1174" i="1"/>
  <c r="E1174" i="1"/>
  <c r="D1174" i="1"/>
  <c r="C1174" i="1"/>
  <c r="B1174" i="1"/>
  <c r="H1173" i="1"/>
  <c r="G1173" i="1"/>
  <c r="F1173" i="1"/>
  <c r="E1173" i="1"/>
  <c r="D1173" i="1"/>
  <c r="C1173" i="1"/>
  <c r="B1173" i="1"/>
  <c r="H1172" i="1"/>
  <c r="G1172" i="1"/>
  <c r="F1172" i="1"/>
  <c r="E1172" i="1"/>
  <c r="D1172" i="1"/>
  <c r="C1172" i="1"/>
  <c r="B1172" i="1"/>
  <c r="H1171" i="1"/>
  <c r="G1171" i="1"/>
  <c r="F1171" i="1"/>
  <c r="E1171" i="1"/>
  <c r="D1171" i="1"/>
  <c r="C1171" i="1"/>
  <c r="B1171" i="1"/>
  <c r="H1170" i="1"/>
  <c r="G1170" i="1"/>
  <c r="F1170" i="1"/>
  <c r="E1170" i="1"/>
  <c r="D1170" i="1"/>
  <c r="C1170" i="1"/>
  <c r="B1170" i="1"/>
  <c r="H1169" i="1"/>
  <c r="G1169" i="1"/>
  <c r="F1169" i="1"/>
  <c r="E1169" i="1"/>
  <c r="D1169" i="1"/>
  <c r="C1169" i="1"/>
  <c r="B1169" i="1"/>
  <c r="H1168" i="1"/>
  <c r="G1168" i="1"/>
  <c r="F1168" i="1"/>
  <c r="E1168" i="1"/>
  <c r="D1168" i="1"/>
  <c r="C1168" i="1"/>
  <c r="B1168" i="1"/>
  <c r="H1167" i="1"/>
  <c r="G1167" i="1"/>
  <c r="F1167" i="1"/>
  <c r="E1167" i="1"/>
  <c r="D1167" i="1"/>
  <c r="C1167" i="1"/>
  <c r="B1167" i="1"/>
  <c r="H1166" i="1"/>
  <c r="G1166" i="1"/>
  <c r="F1166" i="1"/>
  <c r="E1166" i="1"/>
  <c r="D1166" i="1"/>
  <c r="C1166" i="1"/>
  <c r="B1166" i="1"/>
  <c r="H1165" i="1"/>
  <c r="G1165" i="1"/>
  <c r="F1165" i="1"/>
  <c r="E1165" i="1"/>
  <c r="D1165" i="1"/>
  <c r="C1165" i="1"/>
  <c r="B1165" i="1"/>
  <c r="H1164" i="1"/>
  <c r="G1164" i="1"/>
  <c r="F1164" i="1"/>
  <c r="E1164" i="1"/>
  <c r="D1164" i="1"/>
  <c r="C1164" i="1"/>
  <c r="B1164" i="1"/>
  <c r="H1163" i="1"/>
  <c r="G1163" i="1"/>
  <c r="F1163" i="1"/>
  <c r="E1163" i="1"/>
  <c r="D1163" i="1"/>
  <c r="C1163" i="1"/>
  <c r="B1163" i="1"/>
  <c r="H1162" i="1"/>
  <c r="G1162" i="1"/>
  <c r="F1162" i="1"/>
  <c r="E1162" i="1"/>
  <c r="D1162" i="1"/>
  <c r="C1162" i="1"/>
  <c r="B1162" i="1"/>
  <c r="H1161" i="1"/>
  <c r="G1161" i="1"/>
  <c r="F1161" i="1"/>
  <c r="E1161" i="1"/>
  <c r="D1161" i="1"/>
  <c r="C1161" i="1"/>
  <c r="B1161" i="1"/>
  <c r="H1160" i="1"/>
  <c r="G1160" i="1"/>
  <c r="F1160" i="1"/>
  <c r="E1160" i="1"/>
  <c r="D1160" i="1"/>
  <c r="C1160" i="1"/>
  <c r="B1160" i="1"/>
  <c r="H1159" i="1"/>
  <c r="G1159" i="1"/>
  <c r="F1159" i="1"/>
  <c r="E1159" i="1"/>
  <c r="D1159" i="1"/>
  <c r="C1159" i="1"/>
  <c r="B1159" i="1"/>
  <c r="H1158" i="1"/>
  <c r="G1158" i="1"/>
  <c r="F1158" i="1"/>
  <c r="E1158" i="1"/>
  <c r="D1158" i="1"/>
  <c r="C1158" i="1"/>
  <c r="B1158" i="1"/>
  <c r="H1157" i="1"/>
  <c r="G1157" i="1"/>
  <c r="F1157" i="1"/>
  <c r="E1157" i="1"/>
  <c r="D1157" i="1"/>
  <c r="C1157" i="1"/>
  <c r="B1157" i="1"/>
  <c r="H1156" i="1"/>
  <c r="G1156" i="1"/>
  <c r="F1156" i="1"/>
  <c r="E1156" i="1"/>
  <c r="D1156" i="1"/>
  <c r="C1156" i="1"/>
  <c r="B1156" i="1"/>
  <c r="H1155" i="1"/>
  <c r="G1155" i="1"/>
  <c r="F1155" i="1"/>
  <c r="E1155" i="1"/>
  <c r="D1155" i="1"/>
  <c r="C1155" i="1"/>
  <c r="B1155" i="1"/>
  <c r="H1154" i="1"/>
  <c r="G1154" i="1"/>
  <c r="F1154" i="1"/>
  <c r="E1154" i="1"/>
  <c r="D1154" i="1"/>
  <c r="C1154" i="1"/>
  <c r="B1154" i="1"/>
  <c r="H1153" i="1"/>
  <c r="G1153" i="1"/>
  <c r="F1153" i="1"/>
  <c r="E1153" i="1"/>
  <c r="D1153" i="1"/>
  <c r="C1153" i="1"/>
  <c r="B1153" i="1"/>
  <c r="H1152" i="1"/>
  <c r="G1152" i="1"/>
  <c r="F1152" i="1"/>
  <c r="E1152" i="1"/>
  <c r="D1152" i="1"/>
  <c r="C1152" i="1"/>
  <c r="B1152" i="1"/>
  <c r="H1151" i="1"/>
  <c r="G1151" i="1"/>
  <c r="F1151" i="1"/>
  <c r="E1151" i="1"/>
  <c r="D1151" i="1"/>
  <c r="C1151" i="1"/>
  <c r="B1151" i="1"/>
  <c r="H1150" i="1"/>
  <c r="G1150" i="1"/>
  <c r="F1150" i="1"/>
  <c r="E1150" i="1"/>
  <c r="D1150" i="1"/>
  <c r="C1150" i="1"/>
  <c r="B1150" i="1"/>
  <c r="H1149" i="1"/>
  <c r="G1149" i="1"/>
  <c r="F1149" i="1"/>
  <c r="E1149" i="1"/>
  <c r="D1149" i="1"/>
  <c r="C1149" i="1"/>
  <c r="B1149" i="1"/>
  <c r="H1148" i="1"/>
  <c r="G1148" i="1"/>
  <c r="F1148" i="1"/>
  <c r="E1148" i="1"/>
  <c r="D1148" i="1"/>
  <c r="C1148" i="1"/>
  <c r="B1148" i="1"/>
  <c r="H1147" i="1"/>
  <c r="G1147" i="1"/>
  <c r="F1147" i="1"/>
  <c r="E1147" i="1"/>
  <c r="D1147" i="1"/>
  <c r="C1147" i="1"/>
  <c r="B1147" i="1"/>
  <c r="H1146" i="1"/>
  <c r="G1146" i="1"/>
  <c r="F1146" i="1"/>
  <c r="E1146" i="1"/>
  <c r="D1146" i="1"/>
  <c r="C1146" i="1"/>
  <c r="B1146" i="1"/>
  <c r="H1145" i="1"/>
  <c r="G1145" i="1"/>
  <c r="F1145" i="1"/>
  <c r="E1145" i="1"/>
  <c r="D1145" i="1"/>
  <c r="C1145" i="1"/>
  <c r="B1145" i="1"/>
  <c r="H1144" i="1"/>
  <c r="G1144" i="1"/>
  <c r="F1144" i="1"/>
  <c r="E1144" i="1"/>
  <c r="D1144" i="1"/>
  <c r="C1144" i="1"/>
  <c r="B1144" i="1"/>
  <c r="H1143" i="1"/>
  <c r="G1143" i="1"/>
  <c r="F1143" i="1"/>
  <c r="E1143" i="1"/>
  <c r="D1143" i="1"/>
  <c r="C1143" i="1"/>
  <c r="B1143" i="1"/>
  <c r="H1142" i="1"/>
  <c r="G1142" i="1"/>
  <c r="F1142" i="1"/>
  <c r="E1142" i="1"/>
  <c r="D1142" i="1"/>
  <c r="C1142" i="1"/>
  <c r="B1142" i="1"/>
  <c r="H1141" i="1"/>
  <c r="G1141" i="1"/>
  <c r="F1141" i="1"/>
  <c r="E1141" i="1"/>
  <c r="D1141" i="1"/>
  <c r="C1141" i="1"/>
  <c r="B1141" i="1"/>
  <c r="H1140" i="1"/>
  <c r="G1140" i="1"/>
  <c r="F1140" i="1"/>
  <c r="E1140" i="1"/>
  <c r="D1140" i="1"/>
  <c r="C1140" i="1"/>
  <c r="B1140" i="1"/>
  <c r="H1139" i="1"/>
  <c r="G1139" i="1"/>
  <c r="F1139" i="1"/>
  <c r="E1139" i="1"/>
  <c r="D1139" i="1"/>
  <c r="C1139" i="1"/>
  <c r="B1139" i="1"/>
  <c r="H1138" i="1"/>
  <c r="G1138" i="1"/>
  <c r="F1138" i="1"/>
  <c r="E1138" i="1"/>
  <c r="D1138" i="1"/>
  <c r="C1138" i="1"/>
  <c r="B1138" i="1"/>
  <c r="H1137" i="1"/>
  <c r="G1137" i="1"/>
  <c r="F1137" i="1"/>
  <c r="E1137" i="1"/>
  <c r="D1137" i="1"/>
  <c r="C1137" i="1"/>
  <c r="B1137" i="1"/>
  <c r="H1136" i="1"/>
  <c r="G1136" i="1"/>
  <c r="F1136" i="1"/>
  <c r="E1136" i="1"/>
  <c r="D1136" i="1"/>
  <c r="C1136" i="1"/>
  <c r="B1136" i="1"/>
  <c r="H1135" i="1"/>
  <c r="G1135" i="1"/>
  <c r="F1135" i="1"/>
  <c r="E1135" i="1"/>
  <c r="D1135" i="1"/>
  <c r="C1135" i="1"/>
  <c r="B1135" i="1"/>
  <c r="H1134" i="1"/>
  <c r="G1134" i="1"/>
  <c r="F1134" i="1"/>
  <c r="E1134" i="1"/>
  <c r="D1134" i="1"/>
  <c r="C1134" i="1"/>
  <c r="B1134" i="1"/>
  <c r="H1133" i="1"/>
  <c r="G1133" i="1"/>
  <c r="F1133" i="1"/>
  <c r="E1133" i="1"/>
  <c r="D1133" i="1"/>
  <c r="C1133" i="1"/>
  <c r="B1133" i="1"/>
  <c r="H1132" i="1"/>
  <c r="G1132" i="1"/>
  <c r="F1132" i="1"/>
  <c r="E1132" i="1"/>
  <c r="D1132" i="1"/>
  <c r="C1132" i="1"/>
  <c r="B1132" i="1"/>
  <c r="H1131" i="1"/>
  <c r="G1131" i="1"/>
  <c r="F1131" i="1"/>
  <c r="E1131" i="1"/>
  <c r="D1131" i="1"/>
  <c r="C1131" i="1"/>
  <c r="B1131" i="1"/>
  <c r="H1130" i="1"/>
  <c r="G1130" i="1"/>
  <c r="F1130" i="1"/>
  <c r="E1130" i="1"/>
  <c r="D1130" i="1"/>
  <c r="C1130" i="1"/>
  <c r="B1130" i="1"/>
  <c r="H1129" i="1"/>
  <c r="G1129" i="1"/>
  <c r="F1129" i="1"/>
  <c r="E1129" i="1"/>
  <c r="D1129" i="1"/>
  <c r="C1129" i="1"/>
  <c r="B1129" i="1"/>
  <c r="H1128" i="1"/>
  <c r="G1128" i="1"/>
  <c r="F1128" i="1"/>
  <c r="E1128" i="1"/>
  <c r="D1128" i="1"/>
  <c r="C1128" i="1"/>
  <c r="B1128" i="1"/>
  <c r="H1127" i="1"/>
  <c r="G1127" i="1"/>
  <c r="F1127" i="1"/>
  <c r="E1127" i="1"/>
  <c r="D1127" i="1"/>
  <c r="C1127" i="1"/>
  <c r="B1127" i="1"/>
  <c r="H1126" i="1"/>
  <c r="G1126" i="1"/>
  <c r="F1126" i="1"/>
  <c r="E1126" i="1"/>
  <c r="D1126" i="1"/>
  <c r="C1126" i="1"/>
  <c r="B1126" i="1"/>
  <c r="H1125" i="1"/>
  <c r="G1125" i="1"/>
  <c r="F1125" i="1"/>
  <c r="E1125" i="1"/>
  <c r="D1125" i="1"/>
  <c r="C1125" i="1"/>
  <c r="B1125" i="1"/>
  <c r="H1124" i="1"/>
  <c r="G1124" i="1"/>
  <c r="F1124" i="1"/>
  <c r="E1124" i="1"/>
  <c r="D1124" i="1"/>
  <c r="C1124" i="1"/>
  <c r="B1124" i="1"/>
  <c r="H1123" i="1"/>
  <c r="G1123" i="1"/>
  <c r="F1123" i="1"/>
  <c r="E1123" i="1"/>
  <c r="D1123" i="1"/>
  <c r="C1123" i="1"/>
  <c r="B1123" i="1"/>
  <c r="H1122" i="1"/>
  <c r="G1122" i="1"/>
  <c r="F1122" i="1"/>
  <c r="E1122" i="1"/>
  <c r="D1122" i="1"/>
  <c r="C1122" i="1"/>
  <c r="B1122" i="1"/>
  <c r="H1121" i="1"/>
  <c r="G1121" i="1"/>
  <c r="F1121" i="1"/>
  <c r="E1121" i="1"/>
  <c r="D1121" i="1"/>
  <c r="C1121" i="1"/>
  <c r="B1121" i="1"/>
  <c r="H1120" i="1"/>
  <c r="G1120" i="1"/>
  <c r="F1120" i="1"/>
  <c r="E1120" i="1"/>
  <c r="D1120" i="1"/>
  <c r="C1120" i="1"/>
  <c r="B1120" i="1"/>
  <c r="H1119" i="1"/>
  <c r="G1119" i="1"/>
  <c r="F1119" i="1"/>
  <c r="E1119" i="1"/>
  <c r="D1119" i="1"/>
  <c r="C1119" i="1"/>
  <c r="B1119" i="1"/>
  <c r="H1118" i="1"/>
  <c r="G1118" i="1"/>
  <c r="F1118" i="1"/>
  <c r="E1118" i="1"/>
  <c r="D1118" i="1"/>
  <c r="C1118" i="1"/>
  <c r="B1118" i="1"/>
  <c r="H1117" i="1"/>
  <c r="G1117" i="1"/>
  <c r="F1117" i="1"/>
  <c r="E1117" i="1"/>
  <c r="D1117" i="1"/>
  <c r="C1117" i="1"/>
  <c r="B1117" i="1"/>
  <c r="H1116" i="1"/>
  <c r="G1116" i="1"/>
  <c r="F1116" i="1"/>
  <c r="E1116" i="1"/>
  <c r="D1116" i="1"/>
  <c r="C1116" i="1"/>
  <c r="B1116" i="1"/>
  <c r="H1115" i="1"/>
  <c r="G1115" i="1"/>
  <c r="F1115" i="1"/>
  <c r="E1115" i="1"/>
  <c r="D1115" i="1"/>
  <c r="C1115" i="1"/>
  <c r="B1115" i="1"/>
  <c r="H1114" i="1"/>
  <c r="G1114" i="1"/>
  <c r="F1114" i="1"/>
  <c r="E1114" i="1"/>
  <c r="D1114" i="1"/>
  <c r="C1114" i="1"/>
  <c r="B1114" i="1"/>
  <c r="H1113" i="1"/>
  <c r="G1113" i="1"/>
  <c r="F1113" i="1"/>
  <c r="E1113" i="1"/>
  <c r="D1113" i="1"/>
  <c r="C1113" i="1"/>
  <c r="B1113" i="1"/>
  <c r="H1112" i="1"/>
  <c r="G1112" i="1"/>
  <c r="F1112" i="1"/>
  <c r="E1112" i="1"/>
  <c r="D1112" i="1"/>
  <c r="C1112" i="1"/>
  <c r="B1112" i="1"/>
  <c r="H1111" i="1"/>
  <c r="G1111" i="1"/>
  <c r="F1111" i="1"/>
  <c r="E1111" i="1"/>
  <c r="D1111" i="1"/>
  <c r="C1111" i="1"/>
  <c r="B1111" i="1"/>
  <c r="H1110" i="1"/>
  <c r="G1110" i="1"/>
  <c r="F1110" i="1"/>
  <c r="E1110" i="1"/>
  <c r="D1110" i="1"/>
  <c r="C1110" i="1"/>
  <c r="B1110" i="1"/>
  <c r="H1109" i="1"/>
  <c r="G1109" i="1"/>
  <c r="F1109" i="1"/>
  <c r="E1109" i="1"/>
  <c r="D1109" i="1"/>
  <c r="C1109" i="1"/>
  <c r="B1109" i="1"/>
  <c r="H1108" i="1"/>
  <c r="G1108" i="1"/>
  <c r="F1108" i="1"/>
  <c r="E1108" i="1"/>
  <c r="D1108" i="1"/>
  <c r="C1108" i="1"/>
  <c r="B1108" i="1"/>
  <c r="H1107" i="1"/>
  <c r="G1107" i="1"/>
  <c r="F1107" i="1"/>
  <c r="E1107" i="1"/>
  <c r="D1107" i="1"/>
  <c r="C1107" i="1"/>
  <c r="B1107" i="1"/>
  <c r="H1106" i="1"/>
  <c r="G1106" i="1"/>
  <c r="F1106" i="1"/>
  <c r="E1106" i="1"/>
  <c r="D1106" i="1"/>
  <c r="C1106" i="1"/>
  <c r="B1106" i="1"/>
  <c r="H1105" i="1"/>
  <c r="G1105" i="1"/>
  <c r="F1105" i="1"/>
  <c r="E1105" i="1"/>
  <c r="D1105" i="1"/>
  <c r="C1105" i="1"/>
  <c r="B1105" i="1"/>
  <c r="H1104" i="1"/>
  <c r="G1104" i="1"/>
  <c r="F1104" i="1"/>
  <c r="E1104" i="1"/>
  <c r="D1104" i="1"/>
  <c r="C1104" i="1"/>
  <c r="B1104" i="1"/>
  <c r="H1103" i="1"/>
  <c r="G1103" i="1"/>
  <c r="F1103" i="1"/>
  <c r="E1103" i="1"/>
  <c r="D1103" i="1"/>
  <c r="C1103" i="1"/>
  <c r="B1103" i="1"/>
  <c r="H1102" i="1"/>
  <c r="G1102" i="1"/>
  <c r="F1102" i="1"/>
  <c r="E1102" i="1"/>
  <c r="D1102" i="1"/>
  <c r="C1102" i="1"/>
  <c r="B1102" i="1"/>
  <c r="H1101" i="1"/>
  <c r="G1101" i="1"/>
  <c r="F1101" i="1"/>
  <c r="E1101" i="1"/>
  <c r="D1101" i="1"/>
  <c r="C1101" i="1"/>
  <c r="B1101" i="1"/>
  <c r="H1100" i="1"/>
  <c r="G1100" i="1"/>
  <c r="F1100" i="1"/>
  <c r="E1100" i="1"/>
  <c r="D1100" i="1"/>
  <c r="C1100" i="1"/>
  <c r="B1100" i="1"/>
  <c r="H1099" i="1"/>
  <c r="G1099" i="1"/>
  <c r="F1099" i="1"/>
  <c r="E1099" i="1"/>
  <c r="D1099" i="1"/>
  <c r="C1099" i="1"/>
  <c r="B1099" i="1"/>
  <c r="H1098" i="1"/>
  <c r="G1098" i="1"/>
  <c r="F1098" i="1"/>
  <c r="E1098" i="1"/>
  <c r="D1098" i="1"/>
  <c r="C1098" i="1"/>
  <c r="B1098" i="1"/>
  <c r="H1097" i="1"/>
  <c r="G1097" i="1"/>
  <c r="F1097" i="1"/>
  <c r="E1097" i="1"/>
  <c r="D1097" i="1"/>
  <c r="C1097" i="1"/>
  <c r="B1097" i="1"/>
  <c r="H1096" i="1"/>
  <c r="G1096" i="1"/>
  <c r="F1096" i="1"/>
  <c r="E1096" i="1"/>
  <c r="D1096" i="1"/>
  <c r="C1096" i="1"/>
  <c r="B1096" i="1"/>
  <c r="H1095" i="1"/>
  <c r="G1095" i="1"/>
  <c r="F1095" i="1"/>
  <c r="E1095" i="1"/>
  <c r="D1095" i="1"/>
  <c r="C1095" i="1"/>
  <c r="B1095" i="1"/>
  <c r="H1094" i="1"/>
  <c r="G1094" i="1"/>
  <c r="F1094" i="1"/>
  <c r="E1094" i="1"/>
  <c r="D1094" i="1"/>
  <c r="C1094" i="1"/>
  <c r="B1094" i="1"/>
  <c r="H1093" i="1"/>
  <c r="G1093" i="1"/>
  <c r="F1093" i="1"/>
  <c r="E1093" i="1"/>
  <c r="D1093" i="1"/>
  <c r="C1093" i="1"/>
  <c r="B1093" i="1"/>
  <c r="H1092" i="1"/>
  <c r="G1092" i="1"/>
  <c r="F1092" i="1"/>
  <c r="E1092" i="1"/>
  <c r="D1092" i="1"/>
  <c r="C1092" i="1"/>
  <c r="B1092" i="1"/>
  <c r="H1091" i="1"/>
  <c r="G1091" i="1"/>
  <c r="F1091" i="1"/>
  <c r="E1091" i="1"/>
  <c r="D1091" i="1"/>
  <c r="C1091" i="1"/>
  <c r="B1091" i="1"/>
  <c r="H1090" i="1"/>
  <c r="G1090" i="1"/>
  <c r="F1090" i="1"/>
  <c r="E1090" i="1"/>
  <c r="D1090" i="1"/>
  <c r="C1090" i="1"/>
  <c r="B1090" i="1"/>
  <c r="H1089" i="1"/>
  <c r="G1089" i="1"/>
  <c r="F1089" i="1"/>
  <c r="E1089" i="1"/>
  <c r="D1089" i="1"/>
  <c r="C1089" i="1"/>
  <c r="B1089" i="1"/>
  <c r="H1088" i="1"/>
  <c r="G1088" i="1"/>
  <c r="F1088" i="1"/>
  <c r="E1088" i="1"/>
  <c r="D1088" i="1"/>
  <c r="C1088" i="1"/>
  <c r="B1088" i="1"/>
  <c r="H1087" i="1"/>
  <c r="G1087" i="1"/>
  <c r="F1087" i="1"/>
  <c r="E1087" i="1"/>
  <c r="D1087" i="1"/>
  <c r="C1087" i="1"/>
  <c r="B1087" i="1"/>
  <c r="H1086" i="1"/>
  <c r="G1086" i="1"/>
  <c r="F1086" i="1"/>
  <c r="E1086" i="1"/>
  <c r="D1086" i="1"/>
  <c r="C1086" i="1"/>
  <c r="B1086" i="1"/>
  <c r="H1085" i="1"/>
  <c r="G1085" i="1"/>
  <c r="F1085" i="1"/>
  <c r="E1085" i="1"/>
  <c r="D1085" i="1"/>
  <c r="C1085" i="1"/>
  <c r="B1085" i="1"/>
  <c r="H1084" i="1"/>
  <c r="G1084" i="1"/>
  <c r="F1084" i="1"/>
  <c r="E1084" i="1"/>
  <c r="D1084" i="1"/>
  <c r="C1084" i="1"/>
  <c r="B1084" i="1"/>
  <c r="H1083" i="1"/>
  <c r="G1083" i="1"/>
  <c r="F1083" i="1"/>
  <c r="E1083" i="1"/>
  <c r="D1083" i="1"/>
  <c r="C1083" i="1"/>
  <c r="B1083" i="1"/>
  <c r="H1082" i="1"/>
  <c r="G1082" i="1"/>
  <c r="F1082" i="1"/>
  <c r="E1082" i="1"/>
  <c r="D1082" i="1"/>
  <c r="C1082" i="1"/>
  <c r="B1082" i="1"/>
  <c r="H1081" i="1"/>
  <c r="G1081" i="1"/>
  <c r="F1081" i="1"/>
  <c r="E1081" i="1"/>
  <c r="D1081" i="1"/>
  <c r="C1081" i="1"/>
  <c r="B1081" i="1"/>
  <c r="H1080" i="1"/>
  <c r="G1080" i="1"/>
  <c r="F1080" i="1"/>
  <c r="E1080" i="1"/>
  <c r="D1080" i="1"/>
  <c r="C1080" i="1"/>
  <c r="B1080" i="1"/>
  <c r="H1079" i="1"/>
  <c r="G1079" i="1"/>
  <c r="F1079" i="1"/>
  <c r="E1079" i="1"/>
  <c r="D1079" i="1"/>
  <c r="C1079" i="1"/>
  <c r="B1079" i="1"/>
  <c r="H1078" i="1"/>
  <c r="G1078" i="1"/>
  <c r="F1078" i="1"/>
  <c r="E1078" i="1"/>
  <c r="D1078" i="1"/>
  <c r="C1078" i="1"/>
  <c r="B1078" i="1"/>
  <c r="H1077" i="1"/>
  <c r="G1077" i="1"/>
  <c r="F1077" i="1"/>
  <c r="E1077" i="1"/>
  <c r="D1077" i="1"/>
  <c r="C1077" i="1"/>
  <c r="B1077" i="1"/>
  <c r="H1076" i="1"/>
  <c r="G1076" i="1"/>
  <c r="F1076" i="1"/>
  <c r="E1076" i="1"/>
  <c r="D1076" i="1"/>
  <c r="C1076" i="1"/>
  <c r="B1076" i="1"/>
  <c r="H1075" i="1"/>
  <c r="G1075" i="1"/>
  <c r="F1075" i="1"/>
  <c r="E1075" i="1"/>
  <c r="D1075" i="1"/>
  <c r="C1075" i="1"/>
  <c r="B1075" i="1"/>
  <c r="H1074" i="1"/>
  <c r="G1074" i="1"/>
  <c r="F1074" i="1"/>
  <c r="E1074" i="1"/>
  <c r="D1074" i="1"/>
  <c r="C1074" i="1"/>
  <c r="B1074" i="1"/>
  <c r="H1073" i="1"/>
  <c r="G1073" i="1"/>
  <c r="F1073" i="1"/>
  <c r="E1073" i="1"/>
  <c r="D1073" i="1"/>
  <c r="C1073" i="1"/>
  <c r="B1073" i="1"/>
  <c r="H1072" i="1"/>
  <c r="G1072" i="1"/>
  <c r="F1072" i="1"/>
  <c r="E1072" i="1"/>
  <c r="D1072" i="1"/>
  <c r="C1072" i="1"/>
  <c r="B1072" i="1"/>
  <c r="H1071" i="1"/>
  <c r="G1071" i="1"/>
  <c r="F1071" i="1"/>
  <c r="E1071" i="1"/>
  <c r="D1071" i="1"/>
  <c r="C1071" i="1"/>
  <c r="B1071" i="1"/>
  <c r="H1070" i="1"/>
  <c r="G1070" i="1"/>
  <c r="F1070" i="1"/>
  <c r="E1070" i="1"/>
  <c r="D1070" i="1"/>
  <c r="C1070" i="1"/>
  <c r="B1070" i="1"/>
  <c r="H1069" i="1"/>
  <c r="G1069" i="1"/>
  <c r="F1069" i="1"/>
  <c r="E1069" i="1"/>
  <c r="D1069" i="1"/>
  <c r="C1069" i="1"/>
  <c r="B1069" i="1"/>
  <c r="H1068" i="1"/>
  <c r="G1068" i="1"/>
  <c r="F1068" i="1"/>
  <c r="E1068" i="1"/>
  <c r="D1068" i="1"/>
  <c r="C1068" i="1"/>
  <c r="B1068" i="1"/>
  <c r="H1067" i="1"/>
  <c r="G1067" i="1"/>
  <c r="F1067" i="1"/>
  <c r="E1067" i="1"/>
  <c r="D1067" i="1"/>
  <c r="C1067" i="1"/>
  <c r="B1067" i="1"/>
  <c r="H1066" i="1"/>
  <c r="G1066" i="1"/>
  <c r="F1066" i="1"/>
  <c r="E1066" i="1"/>
  <c r="D1066" i="1"/>
  <c r="C1066" i="1"/>
  <c r="B1066" i="1"/>
  <c r="H1065" i="1"/>
  <c r="G1065" i="1"/>
  <c r="F1065" i="1"/>
  <c r="E1065" i="1"/>
  <c r="D1065" i="1"/>
  <c r="C1065" i="1"/>
  <c r="B1065" i="1"/>
  <c r="H1064" i="1"/>
  <c r="G1064" i="1"/>
  <c r="F1064" i="1"/>
  <c r="E1064" i="1"/>
  <c r="D1064" i="1"/>
  <c r="C1064" i="1"/>
  <c r="B1064" i="1"/>
  <c r="H1063" i="1"/>
  <c r="G1063" i="1"/>
  <c r="F1063" i="1"/>
  <c r="E1063" i="1"/>
  <c r="D1063" i="1"/>
  <c r="C1063" i="1"/>
  <c r="B1063" i="1"/>
  <c r="H1062" i="1"/>
  <c r="G1062" i="1"/>
  <c r="F1062" i="1"/>
  <c r="E1062" i="1"/>
  <c r="D1062" i="1"/>
  <c r="C1062" i="1"/>
  <c r="B1062" i="1"/>
  <c r="H1061" i="1"/>
  <c r="G1061" i="1"/>
  <c r="F1061" i="1"/>
  <c r="E1061" i="1"/>
  <c r="D1061" i="1"/>
  <c r="C1061" i="1"/>
  <c r="B1061" i="1"/>
  <c r="H1060" i="1"/>
  <c r="G1060" i="1"/>
  <c r="F1060" i="1"/>
  <c r="E1060" i="1"/>
  <c r="D1060" i="1"/>
  <c r="C1060" i="1"/>
  <c r="B1060" i="1"/>
  <c r="H1059" i="1"/>
  <c r="G1059" i="1"/>
  <c r="F1059" i="1"/>
  <c r="E1059" i="1"/>
  <c r="D1059" i="1"/>
  <c r="C1059" i="1"/>
  <c r="B1059" i="1"/>
  <c r="H1058" i="1"/>
  <c r="G1058" i="1"/>
  <c r="F1058" i="1"/>
  <c r="E1058" i="1"/>
  <c r="D1058" i="1"/>
  <c r="C1058" i="1"/>
  <c r="B1058" i="1"/>
  <c r="H1057" i="1"/>
  <c r="G1057" i="1"/>
  <c r="F1057" i="1"/>
  <c r="E1057" i="1"/>
  <c r="D1057" i="1"/>
  <c r="C1057" i="1"/>
  <c r="B1057" i="1"/>
  <c r="H1056" i="1"/>
  <c r="G1056" i="1"/>
  <c r="F1056" i="1"/>
  <c r="E1056" i="1"/>
  <c r="D1056" i="1"/>
  <c r="C1056" i="1"/>
  <c r="B1056" i="1"/>
  <c r="H1055" i="1"/>
  <c r="G1055" i="1"/>
  <c r="F1055" i="1"/>
  <c r="E1055" i="1"/>
  <c r="D1055" i="1"/>
  <c r="C1055" i="1"/>
  <c r="B1055" i="1"/>
  <c r="H1054" i="1"/>
  <c r="G1054" i="1"/>
  <c r="F1054" i="1"/>
  <c r="E1054" i="1"/>
  <c r="D1054" i="1"/>
  <c r="C1054" i="1"/>
  <c r="B1054" i="1"/>
  <c r="H1053" i="1"/>
  <c r="G1053" i="1"/>
  <c r="F1053" i="1"/>
  <c r="E1053" i="1"/>
  <c r="D1053" i="1"/>
  <c r="C1053" i="1"/>
  <c r="B1053" i="1"/>
  <c r="H1052" i="1"/>
  <c r="G1052" i="1"/>
  <c r="F1052" i="1"/>
  <c r="E1052" i="1"/>
  <c r="D1052" i="1"/>
  <c r="C1052" i="1"/>
  <c r="B1052" i="1"/>
  <c r="H1051" i="1"/>
  <c r="G1051" i="1"/>
  <c r="F1051" i="1"/>
  <c r="E1051" i="1"/>
  <c r="D1051" i="1"/>
  <c r="C1051" i="1"/>
  <c r="B1051" i="1"/>
  <c r="H1050" i="1"/>
  <c r="G1050" i="1"/>
  <c r="F1050" i="1"/>
  <c r="E1050" i="1"/>
  <c r="D1050" i="1"/>
  <c r="C1050" i="1"/>
  <c r="B1050" i="1"/>
  <c r="H1049" i="1"/>
  <c r="G1049" i="1"/>
  <c r="F1049" i="1"/>
  <c r="E1049" i="1"/>
  <c r="D1049" i="1"/>
  <c r="C1049" i="1"/>
  <c r="B1049" i="1"/>
  <c r="H1048" i="1"/>
  <c r="G1048" i="1"/>
  <c r="F1048" i="1"/>
  <c r="E1048" i="1"/>
  <c r="D1048" i="1"/>
  <c r="C1048" i="1"/>
  <c r="B1048" i="1"/>
  <c r="H1047" i="1"/>
  <c r="G1047" i="1"/>
  <c r="F1047" i="1"/>
  <c r="E1047" i="1"/>
  <c r="D1047" i="1"/>
  <c r="C1047" i="1"/>
  <c r="B1047" i="1"/>
  <c r="H1046" i="1"/>
  <c r="G1046" i="1"/>
  <c r="F1046" i="1"/>
  <c r="E1046" i="1"/>
  <c r="D1046" i="1"/>
  <c r="C1046" i="1"/>
  <c r="B1046" i="1"/>
  <c r="H1045" i="1"/>
  <c r="G1045" i="1"/>
  <c r="F1045" i="1"/>
  <c r="E1045" i="1"/>
  <c r="D1045" i="1"/>
  <c r="C1045" i="1"/>
  <c r="B1045" i="1"/>
  <c r="H1044" i="1"/>
  <c r="G1044" i="1"/>
  <c r="F1044" i="1"/>
  <c r="E1044" i="1"/>
  <c r="D1044" i="1"/>
  <c r="C1044" i="1"/>
  <c r="B1044" i="1"/>
  <c r="H1043" i="1"/>
  <c r="G1043" i="1"/>
  <c r="F1043" i="1"/>
  <c r="E1043" i="1"/>
  <c r="D1043" i="1"/>
  <c r="C1043" i="1"/>
  <c r="B1043" i="1"/>
  <c r="H1042" i="1"/>
  <c r="G1042" i="1"/>
  <c r="F1042" i="1"/>
  <c r="E1042" i="1"/>
  <c r="D1042" i="1"/>
  <c r="C1042" i="1"/>
  <c r="B1042" i="1"/>
  <c r="H1041" i="1"/>
  <c r="G1041" i="1"/>
  <c r="F1041" i="1"/>
  <c r="E1041" i="1"/>
  <c r="D1041" i="1"/>
  <c r="C1041" i="1"/>
  <c r="B1041" i="1"/>
  <c r="H1040" i="1"/>
  <c r="G1040" i="1"/>
  <c r="F1040" i="1"/>
  <c r="E1040" i="1"/>
  <c r="D1040" i="1"/>
  <c r="C1040" i="1"/>
  <c r="B1040" i="1"/>
  <c r="H1039" i="1"/>
  <c r="G1039" i="1"/>
  <c r="F1039" i="1"/>
  <c r="E1039" i="1"/>
  <c r="D1039" i="1"/>
  <c r="C1039" i="1"/>
  <c r="B1039" i="1"/>
  <c r="H1038" i="1"/>
  <c r="G1038" i="1"/>
  <c r="F1038" i="1"/>
  <c r="E1038" i="1"/>
  <c r="D1038" i="1"/>
  <c r="C1038" i="1"/>
  <c r="B1038" i="1"/>
  <c r="H1037" i="1"/>
  <c r="G1037" i="1"/>
  <c r="F1037" i="1"/>
  <c r="E1037" i="1"/>
  <c r="D1037" i="1"/>
  <c r="C1037" i="1"/>
  <c r="B1037" i="1"/>
  <c r="H1036" i="1"/>
  <c r="G1036" i="1"/>
  <c r="F1036" i="1"/>
  <c r="E1036" i="1"/>
  <c r="D1036" i="1"/>
  <c r="C1036" i="1"/>
  <c r="B1036" i="1"/>
  <c r="H1035" i="1"/>
  <c r="G1035" i="1"/>
  <c r="F1035" i="1"/>
  <c r="E1035" i="1"/>
  <c r="D1035" i="1"/>
  <c r="C1035" i="1"/>
  <c r="B1035" i="1"/>
  <c r="H1034" i="1"/>
  <c r="G1034" i="1"/>
  <c r="F1034" i="1"/>
  <c r="E1034" i="1"/>
  <c r="D1034" i="1"/>
  <c r="C1034" i="1"/>
  <c r="B1034" i="1"/>
  <c r="H1033" i="1"/>
  <c r="G1033" i="1"/>
  <c r="F1033" i="1"/>
  <c r="E1033" i="1"/>
  <c r="D1033" i="1"/>
  <c r="C1033" i="1"/>
  <c r="B1033" i="1"/>
  <c r="H1032" i="1"/>
  <c r="G1032" i="1"/>
  <c r="F1032" i="1"/>
  <c r="E1032" i="1"/>
  <c r="D1032" i="1"/>
  <c r="C1032" i="1"/>
  <c r="B1032" i="1"/>
  <c r="H1031" i="1"/>
  <c r="G1031" i="1"/>
  <c r="F1031" i="1"/>
  <c r="E1031" i="1"/>
  <c r="D1031" i="1"/>
  <c r="C1031" i="1"/>
  <c r="B1031" i="1"/>
  <c r="H1030" i="1"/>
  <c r="G1030" i="1"/>
  <c r="F1030" i="1"/>
  <c r="E1030" i="1"/>
  <c r="D1030" i="1"/>
  <c r="C1030" i="1"/>
  <c r="B1030" i="1"/>
  <c r="H1029" i="1"/>
  <c r="G1029" i="1"/>
  <c r="F1029" i="1"/>
  <c r="E1029" i="1"/>
  <c r="D1029" i="1"/>
  <c r="C1029" i="1"/>
  <c r="B1029" i="1"/>
  <c r="H1028" i="1"/>
  <c r="G1028" i="1"/>
  <c r="F1028" i="1"/>
  <c r="E1028" i="1"/>
  <c r="D1028" i="1"/>
  <c r="C1028" i="1"/>
  <c r="B1028" i="1"/>
  <c r="H1027" i="1"/>
  <c r="G1027" i="1"/>
  <c r="F1027" i="1"/>
  <c r="E1027" i="1"/>
  <c r="D1027" i="1"/>
  <c r="C1027" i="1"/>
  <c r="B1027" i="1"/>
  <c r="H1026" i="1"/>
  <c r="G1026" i="1"/>
  <c r="F1026" i="1"/>
  <c r="E1026" i="1"/>
  <c r="D1026" i="1"/>
  <c r="C1026" i="1"/>
  <c r="B1026" i="1"/>
  <c r="H1025" i="1"/>
  <c r="G1025" i="1"/>
  <c r="F1025" i="1"/>
  <c r="E1025" i="1"/>
  <c r="D1025" i="1"/>
  <c r="C1025" i="1"/>
  <c r="B1025" i="1"/>
  <c r="H1024" i="1"/>
  <c r="G1024" i="1"/>
  <c r="F1024" i="1"/>
  <c r="E1024" i="1"/>
  <c r="D1024" i="1"/>
  <c r="C1024" i="1"/>
  <c r="B1024" i="1"/>
  <c r="H1023" i="1"/>
  <c r="G1023" i="1"/>
  <c r="F1023" i="1"/>
  <c r="E1023" i="1"/>
  <c r="D1023" i="1"/>
  <c r="C1023" i="1"/>
  <c r="B1023" i="1"/>
  <c r="H1022" i="1"/>
  <c r="G1022" i="1"/>
  <c r="F1022" i="1"/>
  <c r="E1022" i="1"/>
  <c r="D1022" i="1"/>
  <c r="C1022" i="1"/>
  <c r="B1022" i="1"/>
  <c r="H1021" i="1"/>
  <c r="G1021" i="1"/>
  <c r="F1021" i="1"/>
  <c r="E1021" i="1"/>
  <c r="D1021" i="1"/>
  <c r="C1021" i="1"/>
  <c r="B1021" i="1"/>
  <c r="H1020" i="1"/>
  <c r="G1020" i="1"/>
  <c r="F1020" i="1"/>
  <c r="E1020" i="1"/>
  <c r="D1020" i="1"/>
  <c r="C1020" i="1"/>
  <c r="B1020" i="1"/>
  <c r="H1019" i="1"/>
  <c r="G1019" i="1"/>
  <c r="F1019" i="1"/>
  <c r="E1019" i="1"/>
  <c r="D1019" i="1"/>
  <c r="C1019" i="1"/>
  <c r="B1019" i="1"/>
  <c r="H1018" i="1"/>
  <c r="G1018" i="1"/>
  <c r="F1018" i="1"/>
  <c r="E1018" i="1"/>
  <c r="D1018" i="1"/>
  <c r="C1018" i="1"/>
  <c r="B1018" i="1"/>
  <c r="H1017" i="1"/>
  <c r="G1017" i="1"/>
  <c r="F1017" i="1"/>
  <c r="E1017" i="1"/>
  <c r="D1017" i="1"/>
  <c r="C1017" i="1"/>
  <c r="B1017" i="1"/>
  <c r="H1016" i="1"/>
  <c r="G1016" i="1"/>
  <c r="F1016" i="1"/>
  <c r="E1016" i="1"/>
  <c r="D1016" i="1"/>
  <c r="C1016" i="1"/>
  <c r="B1016" i="1"/>
  <c r="H1015" i="1"/>
  <c r="G1015" i="1"/>
  <c r="F1015" i="1"/>
  <c r="E1015" i="1"/>
  <c r="D1015" i="1"/>
  <c r="C1015" i="1"/>
  <c r="B1015" i="1"/>
  <c r="H1014" i="1"/>
  <c r="G1014" i="1"/>
  <c r="F1014" i="1"/>
  <c r="E1014" i="1"/>
  <c r="D1014" i="1"/>
  <c r="C1014" i="1"/>
  <c r="B1014" i="1"/>
  <c r="H1013" i="1"/>
  <c r="G1013" i="1"/>
  <c r="F1013" i="1"/>
  <c r="E1013" i="1"/>
  <c r="D1013" i="1"/>
  <c r="C1013" i="1"/>
  <c r="B1013" i="1"/>
  <c r="H1012" i="1"/>
  <c r="G1012" i="1"/>
  <c r="F1012" i="1"/>
  <c r="E1012" i="1"/>
  <c r="D1012" i="1"/>
  <c r="C1012" i="1"/>
  <c r="B1012" i="1"/>
  <c r="H1011" i="1"/>
  <c r="G1011" i="1"/>
  <c r="F1011" i="1"/>
  <c r="E1011" i="1"/>
  <c r="D1011" i="1"/>
  <c r="C1011" i="1"/>
  <c r="B1011" i="1"/>
  <c r="H1010" i="1"/>
  <c r="G1010" i="1"/>
  <c r="F1010" i="1"/>
  <c r="E1010" i="1"/>
  <c r="D1010" i="1"/>
  <c r="C1010" i="1"/>
  <c r="B1010" i="1"/>
  <c r="H1009" i="1"/>
  <c r="G1009" i="1"/>
  <c r="F1009" i="1"/>
  <c r="E1009" i="1"/>
  <c r="D1009" i="1"/>
  <c r="C1009" i="1"/>
  <c r="B1009" i="1"/>
  <c r="H1008" i="1"/>
  <c r="G1008" i="1"/>
  <c r="F1008" i="1"/>
  <c r="E1008" i="1"/>
  <c r="D1008" i="1"/>
  <c r="C1008" i="1"/>
  <c r="B1008" i="1"/>
  <c r="H1007" i="1"/>
  <c r="G1007" i="1"/>
  <c r="F1007" i="1"/>
  <c r="E1007" i="1"/>
  <c r="D1007" i="1"/>
  <c r="C1007" i="1"/>
  <c r="B1007" i="1"/>
  <c r="H1006" i="1"/>
  <c r="G1006" i="1"/>
  <c r="F1006" i="1"/>
  <c r="E1006" i="1"/>
  <c r="D1006" i="1"/>
  <c r="C1006" i="1"/>
  <c r="B1006" i="1"/>
  <c r="H1005" i="1"/>
  <c r="G1005" i="1"/>
  <c r="F1005" i="1"/>
  <c r="E1005" i="1"/>
  <c r="D1005" i="1"/>
  <c r="C1005" i="1"/>
  <c r="B1005" i="1"/>
  <c r="H1004" i="1"/>
  <c r="G1004" i="1"/>
  <c r="F1004" i="1"/>
  <c r="E1004" i="1"/>
  <c r="D1004" i="1"/>
  <c r="C1004" i="1"/>
  <c r="B1004" i="1"/>
  <c r="H1003" i="1"/>
  <c r="G1003" i="1"/>
  <c r="F1003" i="1"/>
  <c r="E1003" i="1"/>
  <c r="D1003" i="1"/>
  <c r="C1003" i="1"/>
  <c r="B1003" i="1"/>
  <c r="H1002" i="1"/>
  <c r="G1002" i="1"/>
  <c r="F1002" i="1"/>
  <c r="E1002" i="1"/>
  <c r="D1002" i="1"/>
  <c r="C1002" i="1"/>
  <c r="B1002" i="1"/>
  <c r="H1001" i="1"/>
  <c r="G1001" i="1"/>
  <c r="F1001" i="1"/>
  <c r="E1001" i="1"/>
  <c r="D1001" i="1"/>
  <c r="C1001" i="1"/>
  <c r="B1001" i="1"/>
  <c r="H1000" i="1"/>
  <c r="G1000" i="1"/>
  <c r="F1000" i="1"/>
  <c r="E1000" i="1"/>
  <c r="D1000" i="1"/>
  <c r="C1000" i="1"/>
  <c r="B1000" i="1"/>
  <c r="H999" i="1"/>
  <c r="G999" i="1"/>
  <c r="F999" i="1"/>
  <c r="E999" i="1"/>
  <c r="D999" i="1"/>
  <c r="C999" i="1"/>
  <c r="B999" i="1"/>
  <c r="H998" i="1"/>
  <c r="G998" i="1"/>
  <c r="F998" i="1"/>
  <c r="E998" i="1"/>
  <c r="D998" i="1"/>
  <c r="C998" i="1"/>
  <c r="B998" i="1"/>
  <c r="H997" i="1"/>
  <c r="G997" i="1"/>
  <c r="F997" i="1"/>
  <c r="E997" i="1"/>
  <c r="D997" i="1"/>
  <c r="C997" i="1"/>
  <c r="B997" i="1"/>
  <c r="H996" i="1"/>
  <c r="G996" i="1"/>
  <c r="F996" i="1"/>
  <c r="E996" i="1"/>
  <c r="D996" i="1"/>
  <c r="C996" i="1"/>
  <c r="B996" i="1"/>
  <c r="H995" i="1"/>
  <c r="G995" i="1"/>
  <c r="F995" i="1"/>
  <c r="E995" i="1"/>
  <c r="D995" i="1"/>
  <c r="C995" i="1"/>
  <c r="B995" i="1"/>
  <c r="H994" i="1"/>
  <c r="G994" i="1"/>
  <c r="F994" i="1"/>
  <c r="E994" i="1"/>
  <c r="D994" i="1"/>
  <c r="C994" i="1"/>
  <c r="B994" i="1"/>
  <c r="H993" i="1"/>
  <c r="G993" i="1"/>
  <c r="F993" i="1"/>
  <c r="E993" i="1"/>
  <c r="D993" i="1"/>
  <c r="C993" i="1"/>
  <c r="B993" i="1"/>
  <c r="H992" i="1"/>
  <c r="G992" i="1"/>
  <c r="F992" i="1"/>
  <c r="E992" i="1"/>
  <c r="D992" i="1"/>
  <c r="C992" i="1"/>
  <c r="B992" i="1"/>
  <c r="H991" i="1"/>
  <c r="G991" i="1"/>
  <c r="F991" i="1"/>
  <c r="E991" i="1"/>
  <c r="D991" i="1"/>
  <c r="C991" i="1"/>
  <c r="B991" i="1"/>
  <c r="H990" i="1"/>
  <c r="G990" i="1"/>
  <c r="F990" i="1"/>
  <c r="E990" i="1"/>
  <c r="D990" i="1"/>
  <c r="C990" i="1"/>
  <c r="B990" i="1"/>
  <c r="H989" i="1"/>
  <c r="G989" i="1"/>
  <c r="F989" i="1"/>
  <c r="E989" i="1"/>
  <c r="D989" i="1"/>
  <c r="C989" i="1"/>
  <c r="B989" i="1"/>
  <c r="H988" i="1"/>
  <c r="G988" i="1"/>
  <c r="F988" i="1"/>
  <c r="E988" i="1"/>
  <c r="D988" i="1"/>
  <c r="C988" i="1"/>
  <c r="B988" i="1"/>
  <c r="H987" i="1"/>
  <c r="G987" i="1"/>
  <c r="F987" i="1"/>
  <c r="E987" i="1"/>
  <c r="D987" i="1"/>
  <c r="C987" i="1"/>
  <c r="B987" i="1"/>
  <c r="H986" i="1"/>
  <c r="G986" i="1"/>
  <c r="F986" i="1"/>
  <c r="E986" i="1"/>
  <c r="D986" i="1"/>
  <c r="C986" i="1"/>
  <c r="B986" i="1"/>
  <c r="H985" i="1"/>
  <c r="G985" i="1"/>
  <c r="F985" i="1"/>
  <c r="E985" i="1"/>
  <c r="D985" i="1"/>
  <c r="C985" i="1"/>
  <c r="B985" i="1"/>
  <c r="H984" i="1"/>
  <c r="G984" i="1"/>
  <c r="F984" i="1"/>
  <c r="E984" i="1"/>
  <c r="D984" i="1"/>
  <c r="C984" i="1"/>
  <c r="B984" i="1"/>
  <c r="H983" i="1"/>
  <c r="G983" i="1"/>
  <c r="F983" i="1"/>
  <c r="E983" i="1"/>
  <c r="D983" i="1"/>
  <c r="C983" i="1"/>
  <c r="B983" i="1"/>
  <c r="H982" i="1"/>
  <c r="G982" i="1"/>
  <c r="F982" i="1"/>
  <c r="E982" i="1"/>
  <c r="D982" i="1"/>
  <c r="C982" i="1"/>
  <c r="B982" i="1"/>
  <c r="H981" i="1"/>
  <c r="G981" i="1"/>
  <c r="F981" i="1"/>
  <c r="E981" i="1"/>
  <c r="D981" i="1"/>
  <c r="C981" i="1"/>
  <c r="B981" i="1"/>
  <c r="H980" i="1"/>
  <c r="G980" i="1"/>
  <c r="F980" i="1"/>
  <c r="E980" i="1"/>
  <c r="D980" i="1"/>
  <c r="C980" i="1"/>
  <c r="B980" i="1"/>
  <c r="H979" i="1"/>
  <c r="G979" i="1"/>
  <c r="F979" i="1"/>
  <c r="E979" i="1"/>
  <c r="D979" i="1"/>
  <c r="C979" i="1"/>
  <c r="B979" i="1"/>
  <c r="H978" i="1"/>
  <c r="G978" i="1"/>
  <c r="F978" i="1"/>
  <c r="E978" i="1"/>
  <c r="D978" i="1"/>
  <c r="C978" i="1"/>
  <c r="B978" i="1"/>
  <c r="H977" i="1"/>
  <c r="G977" i="1"/>
  <c r="F977" i="1"/>
  <c r="E977" i="1"/>
  <c r="D977" i="1"/>
  <c r="C977" i="1"/>
  <c r="B977" i="1"/>
  <c r="H976" i="1"/>
  <c r="G976" i="1"/>
  <c r="F976" i="1"/>
  <c r="E976" i="1"/>
  <c r="D976" i="1"/>
  <c r="C976" i="1"/>
  <c r="B976" i="1"/>
  <c r="H975" i="1"/>
  <c r="G975" i="1"/>
  <c r="F975" i="1"/>
  <c r="E975" i="1"/>
  <c r="D975" i="1"/>
  <c r="C975" i="1"/>
  <c r="B975" i="1"/>
  <c r="H974" i="1"/>
  <c r="G974" i="1"/>
  <c r="F974" i="1"/>
  <c r="E974" i="1"/>
  <c r="D974" i="1"/>
  <c r="C974" i="1"/>
  <c r="B974" i="1"/>
  <c r="H973" i="1"/>
  <c r="G973" i="1"/>
  <c r="F973" i="1"/>
  <c r="E973" i="1"/>
  <c r="D973" i="1"/>
  <c r="C973" i="1"/>
  <c r="B973" i="1"/>
  <c r="H972" i="1"/>
  <c r="G972" i="1"/>
  <c r="F972" i="1"/>
  <c r="E972" i="1"/>
  <c r="D972" i="1"/>
  <c r="C972" i="1"/>
  <c r="B972" i="1"/>
  <c r="H971" i="1"/>
  <c r="G971" i="1"/>
  <c r="F971" i="1"/>
  <c r="E971" i="1"/>
  <c r="D971" i="1"/>
  <c r="C971" i="1"/>
  <c r="B971" i="1"/>
  <c r="H970" i="1"/>
  <c r="G970" i="1"/>
  <c r="F970" i="1"/>
  <c r="E970" i="1"/>
  <c r="D970" i="1"/>
  <c r="C970" i="1"/>
  <c r="B970" i="1"/>
  <c r="H969" i="1"/>
  <c r="G969" i="1"/>
  <c r="F969" i="1"/>
  <c r="E969" i="1"/>
  <c r="D969" i="1"/>
  <c r="C969" i="1"/>
  <c r="B969" i="1"/>
  <c r="H968" i="1"/>
  <c r="G968" i="1"/>
  <c r="F968" i="1"/>
  <c r="E968" i="1"/>
  <c r="D968" i="1"/>
  <c r="C968" i="1"/>
  <c r="B968" i="1"/>
  <c r="H967" i="1"/>
  <c r="G967" i="1"/>
  <c r="F967" i="1"/>
  <c r="E967" i="1"/>
  <c r="D967" i="1"/>
  <c r="C967" i="1"/>
  <c r="B967" i="1"/>
  <c r="H966" i="1"/>
  <c r="G966" i="1"/>
  <c r="F966" i="1"/>
  <c r="E966" i="1"/>
  <c r="D966" i="1"/>
  <c r="C966" i="1"/>
  <c r="B966" i="1"/>
  <c r="H965" i="1"/>
  <c r="G965" i="1"/>
  <c r="F965" i="1"/>
  <c r="E965" i="1"/>
  <c r="D965" i="1"/>
  <c r="C965" i="1"/>
  <c r="B965" i="1"/>
  <c r="H964" i="1"/>
  <c r="G964" i="1"/>
  <c r="F964" i="1"/>
  <c r="E964" i="1"/>
  <c r="D964" i="1"/>
  <c r="C964" i="1"/>
  <c r="B964" i="1"/>
  <c r="H963" i="1"/>
  <c r="G963" i="1"/>
  <c r="F963" i="1"/>
  <c r="E963" i="1"/>
  <c r="D963" i="1"/>
  <c r="C963" i="1"/>
  <c r="B963" i="1"/>
  <c r="H962" i="1"/>
  <c r="G962" i="1"/>
  <c r="F962" i="1"/>
  <c r="E962" i="1"/>
  <c r="D962" i="1"/>
  <c r="C962" i="1"/>
  <c r="B962" i="1"/>
  <c r="H961" i="1"/>
  <c r="G961" i="1"/>
  <c r="F961" i="1"/>
  <c r="E961" i="1"/>
  <c r="D961" i="1"/>
  <c r="C961" i="1"/>
  <c r="B961" i="1"/>
  <c r="H960" i="1"/>
  <c r="G960" i="1"/>
  <c r="F960" i="1"/>
  <c r="E960" i="1"/>
  <c r="D960" i="1"/>
  <c r="C960" i="1"/>
  <c r="B960" i="1"/>
  <c r="H959" i="1"/>
  <c r="G959" i="1"/>
  <c r="F959" i="1"/>
  <c r="E959" i="1"/>
  <c r="D959" i="1"/>
  <c r="C959" i="1"/>
  <c r="B959" i="1"/>
  <c r="H958" i="1"/>
  <c r="G958" i="1"/>
  <c r="F958" i="1"/>
  <c r="E958" i="1"/>
  <c r="D958" i="1"/>
  <c r="C958" i="1"/>
  <c r="B958" i="1"/>
  <c r="H957" i="1"/>
  <c r="G957" i="1"/>
  <c r="F957" i="1"/>
  <c r="E957" i="1"/>
  <c r="D957" i="1"/>
  <c r="C957" i="1"/>
  <c r="B957" i="1"/>
  <c r="H956" i="1"/>
  <c r="G956" i="1"/>
  <c r="F956" i="1"/>
  <c r="E956" i="1"/>
  <c r="D956" i="1"/>
  <c r="C956" i="1"/>
  <c r="B956" i="1"/>
  <c r="H955" i="1"/>
  <c r="G955" i="1"/>
  <c r="F955" i="1"/>
  <c r="E955" i="1"/>
  <c r="D955" i="1"/>
  <c r="C955" i="1"/>
  <c r="B955" i="1"/>
  <c r="H954" i="1"/>
  <c r="G954" i="1"/>
  <c r="F954" i="1"/>
  <c r="E954" i="1"/>
  <c r="D954" i="1"/>
  <c r="C954" i="1"/>
  <c r="B954" i="1"/>
  <c r="H953" i="1"/>
  <c r="G953" i="1"/>
  <c r="F953" i="1"/>
  <c r="E953" i="1"/>
  <c r="D953" i="1"/>
  <c r="C953" i="1"/>
  <c r="B953" i="1"/>
  <c r="H952" i="1"/>
  <c r="G952" i="1"/>
  <c r="F952" i="1"/>
  <c r="E952" i="1"/>
  <c r="D952" i="1"/>
  <c r="C952" i="1"/>
  <c r="B952" i="1"/>
  <c r="H951" i="1"/>
  <c r="G951" i="1"/>
  <c r="F951" i="1"/>
  <c r="E951" i="1"/>
  <c r="D951" i="1"/>
  <c r="C951" i="1"/>
  <c r="B951" i="1"/>
  <c r="H950" i="1"/>
  <c r="G950" i="1"/>
  <c r="F950" i="1"/>
  <c r="E950" i="1"/>
  <c r="D950" i="1"/>
  <c r="C950" i="1"/>
  <c r="B950" i="1"/>
  <c r="H949" i="1"/>
  <c r="G949" i="1"/>
  <c r="F949" i="1"/>
  <c r="E949" i="1"/>
  <c r="D949" i="1"/>
  <c r="C949" i="1"/>
  <c r="B949" i="1"/>
  <c r="H948" i="1"/>
  <c r="G948" i="1"/>
  <c r="F948" i="1"/>
  <c r="E948" i="1"/>
  <c r="D948" i="1"/>
  <c r="C948" i="1"/>
  <c r="B948" i="1"/>
  <c r="H947" i="1"/>
  <c r="G947" i="1"/>
  <c r="F947" i="1"/>
  <c r="E947" i="1"/>
  <c r="D947" i="1"/>
  <c r="C947" i="1"/>
  <c r="B947" i="1"/>
  <c r="H946" i="1"/>
  <c r="G946" i="1"/>
  <c r="F946" i="1"/>
  <c r="E946" i="1"/>
  <c r="D946" i="1"/>
  <c r="C946" i="1"/>
  <c r="B946" i="1"/>
  <c r="H945" i="1"/>
  <c r="G945" i="1"/>
  <c r="F945" i="1"/>
  <c r="E945" i="1"/>
  <c r="D945" i="1"/>
  <c r="C945" i="1"/>
  <c r="B945" i="1"/>
  <c r="H944" i="1"/>
  <c r="G944" i="1"/>
  <c r="F944" i="1"/>
  <c r="E944" i="1"/>
  <c r="D944" i="1"/>
  <c r="C944" i="1"/>
  <c r="B944" i="1"/>
  <c r="H943" i="1"/>
  <c r="G943" i="1"/>
  <c r="F943" i="1"/>
  <c r="E943" i="1"/>
  <c r="D943" i="1"/>
  <c r="C943" i="1"/>
  <c r="B943" i="1"/>
  <c r="H942" i="1"/>
  <c r="G942" i="1"/>
  <c r="F942" i="1"/>
  <c r="E942" i="1"/>
  <c r="D942" i="1"/>
  <c r="C942" i="1"/>
  <c r="B942" i="1"/>
  <c r="H941" i="1"/>
  <c r="G941" i="1"/>
  <c r="F941" i="1"/>
  <c r="E941" i="1"/>
  <c r="D941" i="1"/>
  <c r="C941" i="1"/>
  <c r="B941" i="1"/>
  <c r="H940" i="1"/>
  <c r="G940" i="1"/>
  <c r="F940" i="1"/>
  <c r="E940" i="1"/>
  <c r="D940" i="1"/>
  <c r="C940" i="1"/>
  <c r="B940" i="1"/>
  <c r="H939" i="1"/>
  <c r="G939" i="1"/>
  <c r="F939" i="1"/>
  <c r="E939" i="1"/>
  <c r="D939" i="1"/>
  <c r="C939" i="1"/>
  <c r="B939" i="1"/>
  <c r="H938" i="1"/>
  <c r="G938" i="1"/>
  <c r="F938" i="1"/>
  <c r="E938" i="1"/>
  <c r="D938" i="1"/>
  <c r="C938" i="1"/>
  <c r="B938" i="1"/>
  <c r="H937" i="1"/>
  <c r="G937" i="1"/>
  <c r="F937" i="1"/>
  <c r="E937" i="1"/>
  <c r="D937" i="1"/>
  <c r="C937" i="1"/>
  <c r="B937" i="1"/>
  <c r="H936" i="1"/>
  <c r="G936" i="1"/>
  <c r="F936" i="1"/>
  <c r="E936" i="1"/>
  <c r="D936" i="1"/>
  <c r="C936" i="1"/>
  <c r="B936" i="1"/>
  <c r="H935" i="1"/>
  <c r="G935" i="1"/>
  <c r="F935" i="1"/>
  <c r="E935" i="1"/>
  <c r="D935" i="1"/>
  <c r="C935" i="1"/>
  <c r="B935" i="1"/>
  <c r="H934" i="1"/>
  <c r="G934" i="1"/>
  <c r="F934" i="1"/>
  <c r="E934" i="1"/>
  <c r="D934" i="1"/>
  <c r="C934" i="1"/>
  <c r="B934" i="1"/>
  <c r="H933" i="1"/>
  <c r="G933" i="1"/>
  <c r="F933" i="1"/>
  <c r="E933" i="1"/>
  <c r="D933" i="1"/>
  <c r="C933" i="1"/>
  <c r="B933" i="1"/>
  <c r="H932" i="1"/>
  <c r="G932" i="1"/>
  <c r="F932" i="1"/>
  <c r="E932" i="1"/>
  <c r="D932" i="1"/>
  <c r="C932" i="1"/>
  <c r="B932" i="1"/>
  <c r="H931" i="1"/>
  <c r="G931" i="1"/>
  <c r="F931" i="1"/>
  <c r="E931" i="1"/>
  <c r="D931" i="1"/>
  <c r="C931" i="1"/>
  <c r="B931" i="1"/>
  <c r="H930" i="1"/>
  <c r="G930" i="1"/>
  <c r="F930" i="1"/>
  <c r="E930" i="1"/>
  <c r="D930" i="1"/>
  <c r="C930" i="1"/>
  <c r="B930" i="1"/>
  <c r="H929" i="1"/>
  <c r="G929" i="1"/>
  <c r="F929" i="1"/>
  <c r="E929" i="1"/>
  <c r="D929" i="1"/>
  <c r="C929" i="1"/>
  <c r="B929" i="1"/>
  <c r="H928" i="1"/>
  <c r="G928" i="1"/>
  <c r="F928" i="1"/>
  <c r="E928" i="1"/>
  <c r="D928" i="1"/>
  <c r="C928" i="1"/>
  <c r="B928" i="1"/>
  <c r="H927" i="1"/>
  <c r="G927" i="1"/>
  <c r="F927" i="1"/>
  <c r="E927" i="1"/>
  <c r="D927" i="1"/>
  <c r="C927" i="1"/>
  <c r="B927" i="1"/>
  <c r="H926" i="1"/>
  <c r="G926" i="1"/>
  <c r="F926" i="1"/>
  <c r="E926" i="1"/>
  <c r="D926" i="1"/>
  <c r="C926" i="1"/>
  <c r="B926" i="1"/>
  <c r="H925" i="1"/>
  <c r="G925" i="1"/>
  <c r="F925" i="1"/>
  <c r="E925" i="1"/>
  <c r="D925" i="1"/>
  <c r="C925" i="1"/>
  <c r="B925" i="1"/>
  <c r="H924" i="1"/>
  <c r="G924" i="1"/>
  <c r="F924" i="1"/>
  <c r="E924" i="1"/>
  <c r="D924" i="1"/>
  <c r="C924" i="1"/>
  <c r="B924" i="1"/>
  <c r="H923" i="1"/>
  <c r="G923" i="1"/>
  <c r="F923" i="1"/>
  <c r="E923" i="1"/>
  <c r="D923" i="1"/>
  <c r="C923" i="1"/>
  <c r="B923" i="1"/>
  <c r="H922" i="1"/>
  <c r="G922" i="1"/>
  <c r="F922" i="1"/>
  <c r="E922" i="1"/>
  <c r="D922" i="1"/>
  <c r="C922" i="1"/>
  <c r="B922" i="1"/>
  <c r="H921" i="1"/>
  <c r="G921" i="1"/>
  <c r="F921" i="1"/>
  <c r="E921" i="1"/>
  <c r="D921" i="1"/>
  <c r="C921" i="1"/>
  <c r="B921" i="1"/>
  <c r="H920" i="1"/>
  <c r="G920" i="1"/>
  <c r="F920" i="1"/>
  <c r="E920" i="1"/>
  <c r="D920" i="1"/>
  <c r="C920" i="1"/>
  <c r="B920" i="1"/>
  <c r="H919" i="1"/>
  <c r="G919" i="1"/>
  <c r="F919" i="1"/>
  <c r="E919" i="1"/>
  <c r="D919" i="1"/>
  <c r="C919" i="1"/>
  <c r="B919" i="1"/>
  <c r="H918" i="1"/>
  <c r="G918" i="1"/>
  <c r="F918" i="1"/>
  <c r="E918" i="1"/>
  <c r="D918" i="1"/>
  <c r="C918" i="1"/>
  <c r="B918" i="1"/>
  <c r="H917" i="1"/>
  <c r="G917" i="1"/>
  <c r="F917" i="1"/>
  <c r="E917" i="1"/>
  <c r="D917" i="1"/>
  <c r="C917" i="1"/>
  <c r="B917" i="1"/>
  <c r="H916" i="1"/>
  <c r="G916" i="1"/>
  <c r="F916" i="1"/>
  <c r="E916" i="1"/>
  <c r="D916" i="1"/>
  <c r="C916" i="1"/>
  <c r="B916" i="1"/>
  <c r="H915" i="1"/>
  <c r="G915" i="1"/>
  <c r="F915" i="1"/>
  <c r="E915" i="1"/>
  <c r="D915" i="1"/>
  <c r="C915" i="1"/>
  <c r="B915" i="1"/>
  <c r="H914" i="1"/>
  <c r="G914" i="1"/>
  <c r="F914" i="1"/>
  <c r="E914" i="1"/>
  <c r="D914" i="1"/>
  <c r="C914" i="1"/>
  <c r="B914" i="1"/>
  <c r="H913" i="1"/>
  <c r="G913" i="1"/>
  <c r="F913" i="1"/>
  <c r="E913" i="1"/>
  <c r="D913" i="1"/>
  <c r="C913" i="1"/>
  <c r="B913" i="1"/>
  <c r="H912" i="1"/>
  <c r="G912" i="1"/>
  <c r="F912" i="1"/>
  <c r="E912" i="1"/>
  <c r="D912" i="1"/>
  <c r="C912" i="1"/>
  <c r="B912" i="1"/>
  <c r="H911" i="1"/>
  <c r="G911" i="1"/>
  <c r="F911" i="1"/>
  <c r="E911" i="1"/>
  <c r="D911" i="1"/>
  <c r="C911" i="1"/>
  <c r="B911" i="1"/>
  <c r="H910" i="1"/>
  <c r="G910" i="1"/>
  <c r="F910" i="1"/>
  <c r="E910" i="1"/>
  <c r="D910" i="1"/>
  <c r="C910" i="1"/>
  <c r="B910" i="1"/>
  <c r="H909" i="1"/>
  <c r="G909" i="1"/>
  <c r="F909" i="1"/>
  <c r="E909" i="1"/>
  <c r="D909" i="1"/>
  <c r="C909" i="1"/>
  <c r="B909" i="1"/>
  <c r="H908" i="1"/>
  <c r="G908" i="1"/>
  <c r="F908" i="1"/>
  <c r="E908" i="1"/>
  <c r="D908" i="1"/>
  <c r="C908" i="1"/>
  <c r="B908" i="1"/>
  <c r="H907" i="1"/>
  <c r="G907" i="1"/>
  <c r="F907" i="1"/>
  <c r="E907" i="1"/>
  <c r="D907" i="1"/>
  <c r="C907" i="1"/>
  <c r="B907" i="1"/>
  <c r="H906" i="1"/>
  <c r="G906" i="1"/>
  <c r="F906" i="1"/>
  <c r="E906" i="1"/>
  <c r="D906" i="1"/>
  <c r="C906" i="1"/>
  <c r="B906" i="1"/>
  <c r="H905" i="1"/>
  <c r="G905" i="1"/>
  <c r="F905" i="1"/>
  <c r="E905" i="1"/>
  <c r="D905" i="1"/>
  <c r="C905" i="1"/>
  <c r="B905" i="1"/>
  <c r="H904" i="1"/>
  <c r="G904" i="1"/>
  <c r="F904" i="1"/>
  <c r="E904" i="1"/>
  <c r="D904" i="1"/>
  <c r="C904" i="1"/>
  <c r="B904" i="1"/>
  <c r="H903" i="1"/>
  <c r="G903" i="1"/>
  <c r="F903" i="1"/>
  <c r="E903" i="1"/>
  <c r="D903" i="1"/>
  <c r="C903" i="1"/>
  <c r="B903" i="1"/>
  <c r="H902" i="1"/>
  <c r="G902" i="1"/>
  <c r="F902" i="1"/>
  <c r="E902" i="1"/>
  <c r="D902" i="1"/>
  <c r="C902" i="1"/>
  <c r="B902" i="1"/>
  <c r="H901" i="1"/>
  <c r="G901" i="1"/>
  <c r="F901" i="1"/>
  <c r="E901" i="1"/>
  <c r="D901" i="1"/>
  <c r="C901" i="1"/>
  <c r="B901" i="1"/>
  <c r="H900" i="1"/>
  <c r="G900" i="1"/>
  <c r="F900" i="1"/>
  <c r="E900" i="1"/>
  <c r="D900" i="1"/>
  <c r="C900" i="1"/>
  <c r="B900" i="1"/>
  <c r="H899" i="1"/>
  <c r="G899" i="1"/>
  <c r="F899" i="1"/>
  <c r="E899" i="1"/>
  <c r="D899" i="1"/>
  <c r="C899" i="1"/>
  <c r="B899" i="1"/>
  <c r="H898" i="1"/>
  <c r="G898" i="1"/>
  <c r="F898" i="1"/>
  <c r="E898" i="1"/>
  <c r="D898" i="1"/>
  <c r="C898" i="1"/>
  <c r="B898" i="1"/>
  <c r="H897" i="1"/>
  <c r="G897" i="1"/>
  <c r="F897" i="1"/>
  <c r="E897" i="1"/>
  <c r="D897" i="1"/>
  <c r="C897" i="1"/>
  <c r="B897" i="1"/>
  <c r="H896" i="1"/>
  <c r="G896" i="1"/>
  <c r="F896" i="1"/>
  <c r="E896" i="1"/>
  <c r="D896" i="1"/>
  <c r="C896" i="1"/>
  <c r="B896" i="1"/>
  <c r="H895" i="1"/>
  <c r="G895" i="1"/>
  <c r="F895" i="1"/>
  <c r="E895" i="1"/>
  <c r="D895" i="1"/>
  <c r="C895" i="1"/>
  <c r="B895" i="1"/>
  <c r="H894" i="1"/>
  <c r="G894" i="1"/>
  <c r="F894" i="1"/>
  <c r="E894" i="1"/>
  <c r="D894" i="1"/>
  <c r="C894" i="1"/>
  <c r="B894" i="1"/>
  <c r="H893" i="1"/>
  <c r="G893" i="1"/>
  <c r="F893" i="1"/>
  <c r="E893" i="1"/>
  <c r="D893" i="1"/>
  <c r="C893" i="1"/>
  <c r="B893" i="1"/>
  <c r="H892" i="1"/>
  <c r="G892" i="1"/>
  <c r="F892" i="1"/>
  <c r="E892" i="1"/>
  <c r="D892" i="1"/>
  <c r="C892" i="1"/>
  <c r="B892" i="1"/>
  <c r="H891" i="1"/>
  <c r="G891" i="1"/>
  <c r="F891" i="1"/>
  <c r="E891" i="1"/>
  <c r="D891" i="1"/>
  <c r="C891" i="1"/>
  <c r="B891" i="1"/>
  <c r="H890" i="1"/>
  <c r="G890" i="1"/>
  <c r="F890" i="1"/>
  <c r="E890" i="1"/>
  <c r="D890" i="1"/>
  <c r="C890" i="1"/>
  <c r="B890" i="1"/>
  <c r="H889" i="1"/>
  <c r="G889" i="1"/>
  <c r="F889" i="1"/>
  <c r="E889" i="1"/>
  <c r="D889" i="1"/>
  <c r="C889" i="1"/>
  <c r="B889" i="1"/>
  <c r="H888" i="1"/>
  <c r="G888" i="1"/>
  <c r="F888" i="1"/>
  <c r="E888" i="1"/>
  <c r="D888" i="1"/>
  <c r="C888" i="1"/>
  <c r="B888" i="1"/>
  <c r="H887" i="1"/>
  <c r="G887" i="1"/>
  <c r="F887" i="1"/>
  <c r="E887" i="1"/>
  <c r="D887" i="1"/>
  <c r="C887" i="1"/>
  <c r="B887" i="1"/>
  <c r="H886" i="1"/>
  <c r="G886" i="1"/>
  <c r="F886" i="1"/>
  <c r="E886" i="1"/>
  <c r="D886" i="1"/>
  <c r="C886" i="1"/>
  <c r="B886" i="1"/>
  <c r="H885" i="1"/>
  <c r="G885" i="1"/>
  <c r="F885" i="1"/>
  <c r="E885" i="1"/>
  <c r="D885" i="1"/>
  <c r="C885" i="1"/>
  <c r="B885" i="1"/>
  <c r="H884" i="1"/>
  <c r="G884" i="1"/>
  <c r="F884" i="1"/>
  <c r="E884" i="1"/>
  <c r="D884" i="1"/>
  <c r="C884" i="1"/>
  <c r="B884" i="1"/>
  <c r="H883" i="1"/>
  <c r="G883" i="1"/>
  <c r="F883" i="1"/>
  <c r="E883" i="1"/>
  <c r="D883" i="1"/>
  <c r="C883" i="1"/>
  <c r="B883" i="1"/>
  <c r="H882" i="1"/>
  <c r="G882" i="1"/>
  <c r="F882" i="1"/>
  <c r="E882" i="1"/>
  <c r="D882" i="1"/>
  <c r="C882" i="1"/>
  <c r="B882" i="1"/>
  <c r="H881" i="1"/>
  <c r="G881" i="1"/>
  <c r="F881" i="1"/>
  <c r="E881" i="1"/>
  <c r="D881" i="1"/>
  <c r="C881" i="1"/>
  <c r="B881" i="1"/>
  <c r="H880" i="1"/>
  <c r="G880" i="1"/>
  <c r="F880" i="1"/>
  <c r="E880" i="1"/>
  <c r="D880" i="1"/>
  <c r="C880" i="1"/>
  <c r="B880" i="1"/>
  <c r="H879" i="1"/>
  <c r="G879" i="1"/>
  <c r="F879" i="1"/>
  <c r="E879" i="1"/>
  <c r="D879" i="1"/>
  <c r="C879" i="1"/>
  <c r="B879" i="1"/>
  <c r="H878" i="1"/>
  <c r="G878" i="1"/>
  <c r="F878" i="1"/>
  <c r="E878" i="1"/>
  <c r="D878" i="1"/>
  <c r="C878" i="1"/>
  <c r="B878" i="1"/>
  <c r="H877" i="1"/>
  <c r="G877" i="1"/>
  <c r="F877" i="1"/>
  <c r="E877" i="1"/>
  <c r="D877" i="1"/>
  <c r="C877" i="1"/>
  <c r="B877" i="1"/>
  <c r="H876" i="1"/>
  <c r="G876" i="1"/>
  <c r="F876" i="1"/>
  <c r="E876" i="1"/>
  <c r="D876" i="1"/>
  <c r="C876" i="1"/>
  <c r="B876" i="1"/>
  <c r="H875" i="1"/>
  <c r="G875" i="1"/>
  <c r="F875" i="1"/>
  <c r="E875" i="1"/>
  <c r="D875" i="1"/>
  <c r="C875" i="1"/>
  <c r="B875" i="1"/>
  <c r="H874" i="1"/>
  <c r="G874" i="1"/>
  <c r="F874" i="1"/>
  <c r="E874" i="1"/>
  <c r="D874" i="1"/>
  <c r="C874" i="1"/>
  <c r="B874" i="1"/>
  <c r="H873" i="1"/>
  <c r="G873" i="1"/>
  <c r="F873" i="1"/>
  <c r="E873" i="1"/>
  <c r="D873" i="1"/>
  <c r="C873" i="1"/>
  <c r="B873" i="1"/>
  <c r="H872" i="1"/>
  <c r="G872" i="1"/>
  <c r="F872" i="1"/>
  <c r="E872" i="1"/>
  <c r="D872" i="1"/>
  <c r="C872" i="1"/>
  <c r="B872" i="1"/>
  <c r="H871" i="1"/>
  <c r="G871" i="1"/>
  <c r="F871" i="1"/>
  <c r="E871" i="1"/>
  <c r="D871" i="1"/>
  <c r="C871" i="1"/>
  <c r="B871" i="1"/>
  <c r="H870" i="1"/>
  <c r="G870" i="1"/>
  <c r="F870" i="1"/>
  <c r="E870" i="1"/>
  <c r="D870" i="1"/>
  <c r="C870" i="1"/>
  <c r="B870" i="1"/>
  <c r="H869" i="1"/>
  <c r="G869" i="1"/>
  <c r="F869" i="1"/>
  <c r="E869" i="1"/>
  <c r="D869" i="1"/>
  <c r="C869" i="1"/>
  <c r="B869" i="1"/>
  <c r="H868" i="1"/>
  <c r="G868" i="1"/>
  <c r="F868" i="1"/>
  <c r="E868" i="1"/>
  <c r="D868" i="1"/>
  <c r="C868" i="1"/>
  <c r="B868" i="1"/>
  <c r="H867" i="1"/>
  <c r="G867" i="1"/>
  <c r="F867" i="1"/>
  <c r="E867" i="1"/>
  <c r="D867" i="1"/>
  <c r="C867" i="1"/>
  <c r="B867" i="1"/>
  <c r="H866" i="1"/>
  <c r="G866" i="1"/>
  <c r="F866" i="1"/>
  <c r="E866" i="1"/>
  <c r="D866" i="1"/>
  <c r="C866" i="1"/>
  <c r="B866" i="1"/>
  <c r="H865" i="1"/>
  <c r="G865" i="1"/>
  <c r="F865" i="1"/>
  <c r="E865" i="1"/>
  <c r="D865" i="1"/>
  <c r="C865" i="1"/>
  <c r="B865" i="1"/>
  <c r="H864" i="1"/>
  <c r="G864" i="1"/>
  <c r="F864" i="1"/>
  <c r="E864" i="1"/>
  <c r="D864" i="1"/>
  <c r="C864" i="1"/>
  <c r="B864" i="1"/>
  <c r="H863" i="1"/>
  <c r="G863" i="1"/>
  <c r="F863" i="1"/>
  <c r="E863" i="1"/>
  <c r="D863" i="1"/>
  <c r="C863" i="1"/>
  <c r="B863" i="1"/>
  <c r="H862" i="1"/>
  <c r="G862" i="1"/>
  <c r="F862" i="1"/>
  <c r="E862" i="1"/>
  <c r="D862" i="1"/>
  <c r="C862" i="1"/>
  <c r="B862" i="1"/>
  <c r="H861" i="1"/>
  <c r="G861" i="1"/>
  <c r="F861" i="1"/>
  <c r="E861" i="1"/>
  <c r="D861" i="1"/>
  <c r="C861" i="1"/>
  <c r="B861" i="1"/>
  <c r="H860" i="1"/>
  <c r="G860" i="1"/>
  <c r="F860" i="1"/>
  <c r="E860" i="1"/>
  <c r="D860" i="1"/>
  <c r="C860" i="1"/>
  <c r="B860" i="1"/>
  <c r="H859" i="1"/>
  <c r="G859" i="1"/>
  <c r="F859" i="1"/>
  <c r="E859" i="1"/>
  <c r="D859" i="1"/>
  <c r="C859" i="1"/>
  <c r="B859" i="1"/>
  <c r="H858" i="1"/>
  <c r="G858" i="1"/>
  <c r="F858" i="1"/>
  <c r="E858" i="1"/>
  <c r="D858" i="1"/>
  <c r="C858" i="1"/>
  <c r="B858" i="1"/>
  <c r="H857" i="1"/>
  <c r="G857" i="1"/>
  <c r="F857" i="1"/>
  <c r="E857" i="1"/>
  <c r="D857" i="1"/>
  <c r="C857" i="1"/>
  <c r="B857" i="1"/>
  <c r="H856" i="1"/>
  <c r="G856" i="1"/>
  <c r="F856" i="1"/>
  <c r="E856" i="1"/>
  <c r="D856" i="1"/>
  <c r="C856" i="1"/>
  <c r="B856" i="1"/>
  <c r="H855" i="1"/>
  <c r="G855" i="1"/>
  <c r="F855" i="1"/>
  <c r="E855" i="1"/>
  <c r="D855" i="1"/>
  <c r="C855" i="1"/>
  <c r="B855" i="1"/>
  <c r="H854" i="1"/>
  <c r="G854" i="1"/>
  <c r="F854" i="1"/>
  <c r="E854" i="1"/>
  <c r="D854" i="1"/>
  <c r="C854" i="1"/>
  <c r="B854" i="1"/>
  <c r="H853" i="1"/>
  <c r="G853" i="1"/>
  <c r="F853" i="1"/>
  <c r="E853" i="1"/>
  <c r="D853" i="1"/>
  <c r="C853" i="1"/>
  <c r="B853" i="1"/>
  <c r="H852" i="1"/>
  <c r="G852" i="1"/>
  <c r="F852" i="1"/>
  <c r="E852" i="1"/>
  <c r="D852" i="1"/>
  <c r="C852" i="1"/>
  <c r="B852" i="1"/>
  <c r="H851" i="1"/>
  <c r="G851" i="1"/>
  <c r="F851" i="1"/>
  <c r="E851" i="1"/>
  <c r="D851" i="1"/>
  <c r="C851" i="1"/>
  <c r="B851" i="1"/>
  <c r="H850" i="1"/>
  <c r="G850" i="1"/>
  <c r="F850" i="1"/>
  <c r="E850" i="1"/>
  <c r="D850" i="1"/>
  <c r="C850" i="1"/>
  <c r="B850" i="1"/>
  <c r="H849" i="1"/>
  <c r="G849" i="1"/>
  <c r="F849" i="1"/>
  <c r="E849" i="1"/>
  <c r="D849" i="1"/>
  <c r="C849" i="1"/>
  <c r="B849" i="1"/>
  <c r="H848" i="1"/>
  <c r="G848" i="1"/>
  <c r="F848" i="1"/>
  <c r="E848" i="1"/>
  <c r="D848" i="1"/>
  <c r="C848" i="1"/>
  <c r="B848" i="1"/>
  <c r="H847" i="1"/>
  <c r="G847" i="1"/>
  <c r="F847" i="1"/>
  <c r="E847" i="1"/>
  <c r="D847" i="1"/>
  <c r="C847" i="1"/>
  <c r="B847" i="1"/>
  <c r="H846" i="1"/>
  <c r="G846" i="1"/>
  <c r="F846" i="1"/>
  <c r="E846" i="1"/>
  <c r="D846" i="1"/>
  <c r="C846" i="1"/>
  <c r="B846" i="1"/>
  <c r="H845" i="1"/>
  <c r="G845" i="1"/>
  <c r="F845" i="1"/>
  <c r="E845" i="1"/>
  <c r="D845" i="1"/>
  <c r="C845" i="1"/>
  <c r="B845" i="1"/>
  <c r="H844" i="1"/>
  <c r="G844" i="1"/>
  <c r="F844" i="1"/>
  <c r="E844" i="1"/>
  <c r="D844" i="1"/>
  <c r="C844" i="1"/>
  <c r="B844" i="1"/>
  <c r="H843" i="1"/>
  <c r="G843" i="1"/>
  <c r="F843" i="1"/>
  <c r="E843" i="1"/>
  <c r="D843" i="1"/>
  <c r="C843" i="1"/>
  <c r="B843" i="1"/>
  <c r="H842" i="1"/>
  <c r="G842" i="1"/>
  <c r="F842" i="1"/>
  <c r="E842" i="1"/>
  <c r="D842" i="1"/>
  <c r="C842" i="1"/>
  <c r="B842" i="1"/>
  <c r="H841" i="1"/>
  <c r="G841" i="1"/>
  <c r="F841" i="1"/>
  <c r="E841" i="1"/>
  <c r="D841" i="1"/>
  <c r="C841" i="1"/>
  <c r="B841" i="1"/>
  <c r="H840" i="1"/>
  <c r="G840" i="1"/>
  <c r="F840" i="1"/>
  <c r="E840" i="1"/>
  <c r="D840" i="1"/>
  <c r="C840" i="1"/>
  <c r="B840" i="1"/>
  <c r="H839" i="1"/>
  <c r="G839" i="1"/>
  <c r="F839" i="1"/>
  <c r="E839" i="1"/>
  <c r="D839" i="1"/>
  <c r="C839" i="1"/>
  <c r="B839" i="1"/>
  <c r="H838" i="1"/>
  <c r="G838" i="1"/>
  <c r="F838" i="1"/>
  <c r="E838" i="1"/>
  <c r="D838" i="1"/>
  <c r="C838" i="1"/>
  <c r="B838" i="1"/>
  <c r="H837" i="1"/>
  <c r="G837" i="1"/>
  <c r="F837" i="1"/>
  <c r="E837" i="1"/>
  <c r="D837" i="1"/>
  <c r="C837" i="1"/>
  <c r="B837" i="1"/>
  <c r="H836" i="1"/>
  <c r="G836" i="1"/>
  <c r="F836" i="1"/>
  <c r="E836" i="1"/>
  <c r="D836" i="1"/>
  <c r="C836" i="1"/>
  <c r="B836" i="1"/>
  <c r="H835" i="1"/>
  <c r="G835" i="1"/>
  <c r="F835" i="1"/>
  <c r="E835" i="1"/>
  <c r="D835" i="1"/>
  <c r="C835" i="1"/>
  <c r="B835" i="1"/>
  <c r="H834" i="1"/>
  <c r="G834" i="1"/>
  <c r="F834" i="1"/>
  <c r="E834" i="1"/>
  <c r="D834" i="1"/>
  <c r="C834" i="1"/>
  <c r="B834" i="1"/>
  <c r="H833" i="1"/>
  <c r="G833" i="1"/>
  <c r="F833" i="1"/>
  <c r="E833" i="1"/>
  <c r="D833" i="1"/>
  <c r="C833" i="1"/>
  <c r="B833" i="1"/>
  <c r="H832" i="1"/>
  <c r="G832" i="1"/>
  <c r="F832" i="1"/>
  <c r="E832" i="1"/>
  <c r="D832" i="1"/>
  <c r="C832" i="1"/>
  <c r="B832" i="1"/>
  <c r="H831" i="1"/>
  <c r="G831" i="1"/>
  <c r="F831" i="1"/>
  <c r="E831" i="1"/>
  <c r="D831" i="1"/>
  <c r="C831" i="1"/>
  <c r="B831" i="1"/>
  <c r="H830" i="1"/>
  <c r="G830" i="1"/>
  <c r="F830" i="1"/>
  <c r="E830" i="1"/>
  <c r="D830" i="1"/>
  <c r="C830" i="1"/>
  <c r="B830" i="1"/>
  <c r="H829" i="1"/>
  <c r="G829" i="1"/>
  <c r="F829" i="1"/>
  <c r="E829" i="1"/>
  <c r="D829" i="1"/>
  <c r="C829" i="1"/>
  <c r="B829" i="1"/>
  <c r="H828" i="1"/>
  <c r="G828" i="1"/>
  <c r="F828" i="1"/>
  <c r="E828" i="1"/>
  <c r="D828" i="1"/>
  <c r="C828" i="1"/>
  <c r="B828" i="1"/>
  <c r="H827" i="1"/>
  <c r="G827" i="1"/>
  <c r="F827" i="1"/>
  <c r="E827" i="1"/>
  <c r="D827" i="1"/>
  <c r="C827" i="1"/>
  <c r="B827" i="1"/>
  <c r="H826" i="1"/>
  <c r="G826" i="1"/>
  <c r="F826" i="1"/>
  <c r="E826" i="1"/>
  <c r="D826" i="1"/>
  <c r="C826" i="1"/>
  <c r="B826" i="1"/>
  <c r="H825" i="1"/>
  <c r="G825" i="1"/>
  <c r="F825" i="1"/>
  <c r="E825" i="1"/>
  <c r="D825" i="1"/>
  <c r="C825" i="1"/>
  <c r="B825" i="1"/>
  <c r="H824" i="1"/>
  <c r="G824" i="1"/>
  <c r="F824" i="1"/>
  <c r="E824" i="1"/>
  <c r="D824" i="1"/>
  <c r="C824" i="1"/>
  <c r="B824" i="1"/>
  <c r="H823" i="1"/>
  <c r="G823" i="1"/>
  <c r="F823" i="1"/>
  <c r="E823" i="1"/>
  <c r="D823" i="1"/>
  <c r="C823" i="1"/>
  <c r="B823" i="1"/>
  <c r="H822" i="1"/>
  <c r="G822" i="1"/>
  <c r="F822" i="1"/>
  <c r="E822" i="1"/>
  <c r="D822" i="1"/>
  <c r="C822" i="1"/>
  <c r="B822" i="1"/>
  <c r="H821" i="1"/>
  <c r="G821" i="1"/>
  <c r="F821" i="1"/>
  <c r="E821" i="1"/>
  <c r="D821" i="1"/>
  <c r="C821" i="1"/>
  <c r="B821" i="1"/>
  <c r="H820" i="1"/>
  <c r="G820" i="1"/>
  <c r="F820" i="1"/>
  <c r="E820" i="1"/>
  <c r="D820" i="1"/>
  <c r="C820" i="1"/>
  <c r="B820" i="1"/>
  <c r="H819" i="1"/>
  <c r="G819" i="1"/>
  <c r="F819" i="1"/>
  <c r="E819" i="1"/>
  <c r="D819" i="1"/>
  <c r="C819" i="1"/>
  <c r="B819" i="1"/>
  <c r="H818" i="1"/>
  <c r="G818" i="1"/>
  <c r="F818" i="1"/>
  <c r="E818" i="1"/>
  <c r="D818" i="1"/>
  <c r="C818" i="1"/>
  <c r="B818" i="1"/>
  <c r="H817" i="1"/>
  <c r="G817" i="1"/>
  <c r="F817" i="1"/>
  <c r="E817" i="1"/>
  <c r="D817" i="1"/>
  <c r="C817" i="1"/>
  <c r="B817" i="1"/>
  <c r="H816" i="1"/>
  <c r="G816" i="1"/>
  <c r="F816" i="1"/>
  <c r="E816" i="1"/>
  <c r="D816" i="1"/>
  <c r="C816" i="1"/>
  <c r="B816" i="1"/>
  <c r="H815" i="1"/>
  <c r="G815" i="1"/>
  <c r="F815" i="1"/>
  <c r="E815" i="1"/>
  <c r="D815" i="1"/>
  <c r="C815" i="1"/>
  <c r="B815" i="1"/>
  <c r="H814" i="1"/>
  <c r="G814" i="1"/>
  <c r="F814" i="1"/>
  <c r="E814" i="1"/>
  <c r="D814" i="1"/>
  <c r="C814" i="1"/>
  <c r="B814" i="1"/>
  <c r="H813" i="1"/>
  <c r="G813" i="1"/>
  <c r="F813" i="1"/>
  <c r="E813" i="1"/>
  <c r="D813" i="1"/>
  <c r="C813" i="1"/>
  <c r="B813" i="1"/>
  <c r="H812" i="1"/>
  <c r="G812" i="1"/>
  <c r="F812" i="1"/>
  <c r="E812" i="1"/>
  <c r="D812" i="1"/>
  <c r="C812" i="1"/>
  <c r="B812" i="1"/>
  <c r="H811" i="1"/>
  <c r="G811" i="1"/>
  <c r="F811" i="1"/>
  <c r="E811" i="1"/>
  <c r="D811" i="1"/>
  <c r="C811" i="1"/>
  <c r="B811" i="1"/>
  <c r="H810" i="1"/>
  <c r="G810" i="1"/>
  <c r="F810" i="1"/>
  <c r="E810" i="1"/>
  <c r="D810" i="1"/>
  <c r="C810" i="1"/>
  <c r="B810" i="1"/>
  <c r="H809" i="1"/>
  <c r="G809" i="1"/>
  <c r="F809" i="1"/>
  <c r="E809" i="1"/>
  <c r="D809" i="1"/>
  <c r="C809" i="1"/>
  <c r="B809" i="1"/>
  <c r="H808" i="1"/>
  <c r="G808" i="1"/>
  <c r="F808" i="1"/>
  <c r="E808" i="1"/>
  <c r="D808" i="1"/>
  <c r="C808" i="1"/>
  <c r="B808" i="1"/>
  <c r="H807" i="1"/>
  <c r="G807" i="1"/>
  <c r="F807" i="1"/>
  <c r="E807" i="1"/>
  <c r="D807" i="1"/>
  <c r="C807" i="1"/>
  <c r="B807" i="1"/>
  <c r="H806" i="1"/>
  <c r="G806" i="1"/>
  <c r="F806" i="1"/>
  <c r="E806" i="1"/>
  <c r="D806" i="1"/>
  <c r="C806" i="1"/>
  <c r="B806" i="1"/>
  <c r="H805" i="1"/>
  <c r="G805" i="1"/>
  <c r="F805" i="1"/>
  <c r="E805" i="1"/>
  <c r="D805" i="1"/>
  <c r="C805" i="1"/>
  <c r="B805" i="1"/>
  <c r="H804" i="1"/>
  <c r="G804" i="1"/>
  <c r="F804" i="1"/>
  <c r="E804" i="1"/>
  <c r="D804" i="1"/>
  <c r="C804" i="1"/>
  <c r="B804" i="1"/>
  <c r="H803" i="1"/>
  <c r="G803" i="1"/>
  <c r="F803" i="1"/>
  <c r="E803" i="1"/>
  <c r="D803" i="1"/>
  <c r="C803" i="1"/>
  <c r="B803" i="1"/>
  <c r="H802" i="1"/>
  <c r="G802" i="1"/>
  <c r="F802" i="1"/>
  <c r="E802" i="1"/>
  <c r="D802" i="1"/>
  <c r="C802" i="1"/>
  <c r="B802" i="1"/>
  <c r="H801" i="1"/>
  <c r="G801" i="1"/>
  <c r="F801" i="1"/>
  <c r="E801" i="1"/>
  <c r="D801" i="1"/>
  <c r="C801" i="1"/>
  <c r="B801" i="1"/>
  <c r="H800" i="1"/>
  <c r="G800" i="1"/>
  <c r="F800" i="1"/>
  <c r="E800" i="1"/>
  <c r="D800" i="1"/>
  <c r="C800" i="1"/>
  <c r="B800" i="1"/>
  <c r="H799" i="1"/>
  <c r="G799" i="1"/>
  <c r="F799" i="1"/>
  <c r="E799" i="1"/>
  <c r="D799" i="1"/>
  <c r="C799" i="1"/>
  <c r="B799" i="1"/>
  <c r="H798" i="1"/>
  <c r="G798" i="1"/>
  <c r="F798" i="1"/>
  <c r="E798" i="1"/>
  <c r="D798" i="1"/>
  <c r="C798" i="1"/>
  <c r="B798" i="1"/>
  <c r="H797" i="1"/>
  <c r="G797" i="1"/>
  <c r="F797" i="1"/>
  <c r="E797" i="1"/>
  <c r="D797" i="1"/>
  <c r="C797" i="1"/>
  <c r="B797" i="1"/>
  <c r="H796" i="1"/>
  <c r="G796" i="1"/>
  <c r="F796" i="1"/>
  <c r="E796" i="1"/>
  <c r="D796" i="1"/>
  <c r="C796" i="1"/>
  <c r="B796" i="1"/>
  <c r="H795" i="1"/>
  <c r="G795" i="1"/>
  <c r="F795" i="1"/>
  <c r="E795" i="1"/>
  <c r="D795" i="1"/>
  <c r="C795" i="1"/>
  <c r="B795" i="1"/>
  <c r="H794" i="1"/>
  <c r="G794" i="1"/>
  <c r="F794" i="1"/>
  <c r="E794" i="1"/>
  <c r="D794" i="1"/>
  <c r="C794" i="1"/>
  <c r="B794" i="1"/>
  <c r="H793" i="1"/>
  <c r="G793" i="1"/>
  <c r="F793" i="1"/>
  <c r="E793" i="1"/>
  <c r="D793" i="1"/>
  <c r="C793" i="1"/>
  <c r="B793" i="1"/>
  <c r="H792" i="1"/>
  <c r="G792" i="1"/>
  <c r="F792" i="1"/>
  <c r="E792" i="1"/>
  <c r="D792" i="1"/>
  <c r="C792" i="1"/>
  <c r="B792" i="1"/>
  <c r="H791" i="1"/>
  <c r="G791" i="1"/>
  <c r="F791" i="1"/>
  <c r="E791" i="1"/>
  <c r="D791" i="1"/>
  <c r="C791" i="1"/>
  <c r="B791" i="1"/>
  <c r="H790" i="1"/>
  <c r="G790" i="1"/>
  <c r="F790" i="1"/>
  <c r="E790" i="1"/>
  <c r="D790" i="1"/>
  <c r="C790" i="1"/>
  <c r="B790" i="1"/>
  <c r="H789" i="1"/>
  <c r="G789" i="1"/>
  <c r="F789" i="1"/>
  <c r="E789" i="1"/>
  <c r="D789" i="1"/>
  <c r="C789" i="1"/>
  <c r="B789" i="1"/>
  <c r="H788" i="1"/>
  <c r="G788" i="1"/>
  <c r="F788" i="1"/>
  <c r="E788" i="1"/>
  <c r="D788" i="1"/>
  <c r="C788" i="1"/>
  <c r="B788" i="1"/>
  <c r="H787" i="1"/>
  <c r="G787" i="1"/>
  <c r="F787" i="1"/>
  <c r="E787" i="1"/>
  <c r="D787" i="1"/>
  <c r="C787" i="1"/>
  <c r="B787" i="1"/>
  <c r="H786" i="1"/>
  <c r="G786" i="1"/>
  <c r="F786" i="1"/>
  <c r="E786" i="1"/>
  <c r="D786" i="1"/>
  <c r="C786" i="1"/>
  <c r="B786" i="1"/>
  <c r="H785" i="1"/>
  <c r="G785" i="1"/>
  <c r="F785" i="1"/>
  <c r="E785" i="1"/>
  <c r="D785" i="1"/>
  <c r="C785" i="1"/>
  <c r="B785" i="1"/>
  <c r="H784" i="1"/>
  <c r="G784" i="1"/>
  <c r="F784" i="1"/>
  <c r="E784" i="1"/>
  <c r="D784" i="1"/>
  <c r="C784" i="1"/>
  <c r="B784" i="1"/>
  <c r="H783" i="1"/>
  <c r="G783" i="1"/>
  <c r="F783" i="1"/>
  <c r="E783" i="1"/>
  <c r="D783" i="1"/>
  <c r="C783" i="1"/>
  <c r="B783" i="1"/>
  <c r="H782" i="1"/>
  <c r="G782" i="1"/>
  <c r="F782" i="1"/>
  <c r="E782" i="1"/>
  <c r="D782" i="1"/>
  <c r="C782" i="1"/>
  <c r="B782" i="1"/>
  <c r="H781" i="1"/>
  <c r="G781" i="1"/>
  <c r="F781" i="1"/>
  <c r="E781" i="1"/>
  <c r="D781" i="1"/>
  <c r="C781" i="1"/>
  <c r="B781" i="1"/>
  <c r="H780" i="1"/>
  <c r="G780" i="1"/>
  <c r="F780" i="1"/>
  <c r="E780" i="1"/>
  <c r="D780" i="1"/>
  <c r="C780" i="1"/>
  <c r="B780" i="1"/>
  <c r="H779" i="1"/>
  <c r="G779" i="1"/>
  <c r="F779" i="1"/>
  <c r="E779" i="1"/>
  <c r="D779" i="1"/>
  <c r="C779" i="1"/>
  <c r="B779" i="1"/>
  <c r="H778" i="1"/>
  <c r="G778" i="1"/>
  <c r="F778" i="1"/>
  <c r="E778" i="1"/>
  <c r="D778" i="1"/>
  <c r="C778" i="1"/>
  <c r="B778" i="1"/>
  <c r="H777" i="1"/>
  <c r="G777" i="1"/>
  <c r="F777" i="1"/>
  <c r="E777" i="1"/>
  <c r="D777" i="1"/>
  <c r="C777" i="1"/>
  <c r="B777" i="1"/>
  <c r="H776" i="1"/>
  <c r="G776" i="1"/>
  <c r="F776" i="1"/>
  <c r="E776" i="1"/>
  <c r="D776" i="1"/>
  <c r="C776" i="1"/>
  <c r="B776" i="1"/>
  <c r="H775" i="1"/>
  <c r="G775" i="1"/>
  <c r="F775" i="1"/>
  <c r="E775" i="1"/>
  <c r="D775" i="1"/>
  <c r="C775" i="1"/>
  <c r="B775" i="1"/>
  <c r="H774" i="1"/>
  <c r="G774" i="1"/>
  <c r="F774" i="1"/>
  <c r="E774" i="1"/>
  <c r="D774" i="1"/>
  <c r="C774" i="1"/>
  <c r="B774" i="1"/>
  <c r="H773" i="1"/>
  <c r="G773" i="1"/>
  <c r="F773" i="1"/>
  <c r="E773" i="1"/>
  <c r="D773" i="1"/>
  <c r="C773" i="1"/>
  <c r="B773" i="1"/>
  <c r="H772" i="1"/>
  <c r="G772" i="1"/>
  <c r="F772" i="1"/>
  <c r="E772" i="1"/>
  <c r="D772" i="1"/>
  <c r="C772" i="1"/>
  <c r="B772" i="1"/>
  <c r="H771" i="1"/>
  <c r="G771" i="1"/>
  <c r="F771" i="1"/>
  <c r="E771" i="1"/>
  <c r="D771" i="1"/>
  <c r="C771" i="1"/>
  <c r="B771" i="1"/>
  <c r="H770" i="1"/>
  <c r="G770" i="1"/>
  <c r="F770" i="1"/>
  <c r="E770" i="1"/>
  <c r="D770" i="1"/>
  <c r="C770" i="1"/>
  <c r="B770" i="1"/>
  <c r="H769" i="1"/>
  <c r="G769" i="1"/>
  <c r="F769" i="1"/>
  <c r="E769" i="1"/>
  <c r="D769" i="1"/>
  <c r="C769" i="1"/>
  <c r="B769" i="1"/>
  <c r="H768" i="1"/>
  <c r="G768" i="1"/>
  <c r="F768" i="1"/>
  <c r="E768" i="1"/>
  <c r="D768" i="1"/>
  <c r="C768" i="1"/>
  <c r="B768" i="1"/>
  <c r="H767" i="1"/>
  <c r="G767" i="1"/>
  <c r="F767" i="1"/>
  <c r="E767" i="1"/>
  <c r="D767" i="1"/>
  <c r="C767" i="1"/>
  <c r="B767" i="1"/>
  <c r="H766" i="1"/>
  <c r="G766" i="1"/>
  <c r="F766" i="1"/>
  <c r="E766" i="1"/>
  <c r="D766" i="1"/>
  <c r="C766" i="1"/>
  <c r="B766" i="1"/>
  <c r="H765" i="1"/>
  <c r="G765" i="1"/>
  <c r="F765" i="1"/>
  <c r="E765" i="1"/>
  <c r="D765" i="1"/>
  <c r="C765" i="1"/>
  <c r="B765" i="1"/>
  <c r="H764" i="1"/>
  <c r="G764" i="1"/>
  <c r="F764" i="1"/>
  <c r="E764" i="1"/>
  <c r="D764" i="1"/>
  <c r="C764" i="1"/>
  <c r="B764" i="1"/>
  <c r="H763" i="1"/>
  <c r="G763" i="1"/>
  <c r="F763" i="1"/>
  <c r="E763" i="1"/>
  <c r="D763" i="1"/>
  <c r="C763" i="1"/>
  <c r="B763" i="1"/>
  <c r="H762" i="1"/>
  <c r="G762" i="1"/>
  <c r="F762" i="1"/>
  <c r="E762" i="1"/>
  <c r="D762" i="1"/>
  <c r="C762" i="1"/>
  <c r="B762" i="1"/>
  <c r="H761" i="1"/>
  <c r="G761" i="1"/>
  <c r="F761" i="1"/>
  <c r="E761" i="1"/>
  <c r="D761" i="1"/>
  <c r="C761" i="1"/>
  <c r="B761" i="1"/>
  <c r="H760" i="1"/>
  <c r="G760" i="1"/>
  <c r="F760" i="1"/>
  <c r="E760" i="1"/>
  <c r="D760" i="1"/>
  <c r="C760" i="1"/>
  <c r="B760" i="1"/>
  <c r="H759" i="1"/>
  <c r="G759" i="1"/>
  <c r="F759" i="1"/>
  <c r="E759" i="1"/>
  <c r="D759" i="1"/>
  <c r="C759" i="1"/>
  <c r="B759" i="1"/>
  <c r="H758" i="1"/>
  <c r="G758" i="1"/>
  <c r="F758" i="1"/>
  <c r="E758" i="1"/>
  <c r="D758" i="1"/>
  <c r="C758" i="1"/>
  <c r="B758" i="1"/>
  <c r="H757" i="1"/>
  <c r="G757" i="1"/>
  <c r="F757" i="1"/>
  <c r="E757" i="1"/>
  <c r="D757" i="1"/>
  <c r="C757" i="1"/>
  <c r="B757" i="1"/>
  <c r="H756" i="1"/>
  <c r="G756" i="1"/>
  <c r="F756" i="1"/>
  <c r="E756" i="1"/>
  <c r="D756" i="1"/>
  <c r="C756" i="1"/>
  <c r="B756" i="1"/>
  <c r="H755" i="1"/>
  <c r="G755" i="1"/>
  <c r="F755" i="1"/>
  <c r="E755" i="1"/>
  <c r="D755" i="1"/>
  <c r="C755" i="1"/>
  <c r="B755" i="1"/>
  <c r="H754" i="1"/>
  <c r="G754" i="1"/>
  <c r="F754" i="1"/>
  <c r="E754" i="1"/>
  <c r="D754" i="1"/>
  <c r="C754" i="1"/>
  <c r="B754" i="1"/>
  <c r="H753" i="1"/>
  <c r="G753" i="1"/>
  <c r="F753" i="1"/>
  <c r="E753" i="1"/>
  <c r="D753" i="1"/>
  <c r="C753" i="1"/>
  <c r="B753" i="1"/>
  <c r="H752" i="1"/>
  <c r="G752" i="1"/>
  <c r="F752" i="1"/>
  <c r="E752" i="1"/>
  <c r="D752" i="1"/>
  <c r="C752" i="1"/>
  <c r="B752" i="1"/>
  <c r="H751" i="1"/>
  <c r="G751" i="1"/>
  <c r="F751" i="1"/>
  <c r="E751" i="1"/>
  <c r="D751" i="1"/>
  <c r="C751" i="1"/>
  <c r="B751" i="1"/>
  <c r="H750" i="1"/>
  <c r="G750" i="1"/>
  <c r="F750" i="1"/>
  <c r="E750" i="1"/>
  <c r="D750" i="1"/>
  <c r="C750" i="1"/>
  <c r="B750" i="1"/>
  <c r="H749" i="1"/>
  <c r="G749" i="1"/>
  <c r="F749" i="1"/>
  <c r="E749" i="1"/>
  <c r="D749" i="1"/>
  <c r="C749" i="1"/>
  <c r="B749" i="1"/>
  <c r="H748" i="1"/>
  <c r="G748" i="1"/>
  <c r="F748" i="1"/>
  <c r="E748" i="1"/>
  <c r="D748" i="1"/>
  <c r="C748" i="1"/>
  <c r="B748" i="1"/>
  <c r="H747" i="1"/>
  <c r="G747" i="1"/>
  <c r="F747" i="1"/>
  <c r="E747" i="1"/>
  <c r="D747" i="1"/>
  <c r="C747" i="1"/>
  <c r="B747" i="1"/>
  <c r="H746" i="1"/>
  <c r="G746" i="1"/>
  <c r="F746" i="1"/>
  <c r="E746" i="1"/>
  <c r="D746" i="1"/>
  <c r="C746" i="1"/>
  <c r="B746" i="1"/>
  <c r="H745" i="1"/>
  <c r="G745" i="1"/>
  <c r="F745" i="1"/>
  <c r="E745" i="1"/>
  <c r="D745" i="1"/>
  <c r="C745" i="1"/>
  <c r="B745" i="1"/>
  <c r="H744" i="1"/>
  <c r="G744" i="1"/>
  <c r="F744" i="1"/>
  <c r="E744" i="1"/>
  <c r="D744" i="1"/>
  <c r="C744" i="1"/>
  <c r="B744" i="1"/>
  <c r="H743" i="1"/>
  <c r="G743" i="1"/>
  <c r="F743" i="1"/>
  <c r="E743" i="1"/>
  <c r="D743" i="1"/>
  <c r="C743" i="1"/>
  <c r="B743" i="1"/>
  <c r="H742" i="1"/>
  <c r="G742" i="1"/>
  <c r="F742" i="1"/>
  <c r="E742" i="1"/>
  <c r="D742" i="1"/>
  <c r="C742" i="1"/>
  <c r="B742" i="1"/>
  <c r="H741" i="1"/>
  <c r="G741" i="1"/>
  <c r="F741" i="1"/>
  <c r="E741" i="1"/>
  <c r="D741" i="1"/>
  <c r="C741" i="1"/>
  <c r="B741" i="1"/>
  <c r="H740" i="1"/>
  <c r="G740" i="1"/>
  <c r="F740" i="1"/>
  <c r="E740" i="1"/>
  <c r="D740" i="1"/>
  <c r="C740" i="1"/>
  <c r="B740" i="1"/>
  <c r="H739" i="1"/>
  <c r="G739" i="1"/>
  <c r="F739" i="1"/>
  <c r="E739" i="1"/>
  <c r="D739" i="1"/>
  <c r="C739" i="1"/>
  <c r="B739" i="1"/>
  <c r="H738" i="1"/>
  <c r="G738" i="1"/>
  <c r="F738" i="1"/>
  <c r="E738" i="1"/>
  <c r="D738" i="1"/>
  <c r="C738" i="1"/>
  <c r="B738" i="1"/>
  <c r="H737" i="1"/>
  <c r="G737" i="1"/>
  <c r="F737" i="1"/>
  <c r="E737" i="1"/>
  <c r="D737" i="1"/>
  <c r="C737" i="1"/>
  <c r="B737" i="1"/>
  <c r="H736" i="1"/>
  <c r="G736" i="1"/>
  <c r="F736" i="1"/>
  <c r="E736" i="1"/>
  <c r="D736" i="1"/>
  <c r="C736" i="1"/>
  <c r="B736" i="1"/>
  <c r="H735" i="1"/>
  <c r="G735" i="1"/>
  <c r="F735" i="1"/>
  <c r="E735" i="1"/>
  <c r="D735" i="1"/>
  <c r="C735" i="1"/>
  <c r="B735" i="1"/>
  <c r="H734" i="1"/>
  <c r="G734" i="1"/>
  <c r="F734" i="1"/>
  <c r="E734" i="1"/>
  <c r="D734" i="1"/>
  <c r="C734" i="1"/>
  <c r="B734" i="1"/>
  <c r="H733" i="1"/>
  <c r="G733" i="1"/>
  <c r="F733" i="1"/>
  <c r="E733" i="1"/>
  <c r="D733" i="1"/>
  <c r="C733" i="1"/>
  <c r="B733" i="1"/>
  <c r="H732" i="1"/>
  <c r="G732" i="1"/>
  <c r="F732" i="1"/>
  <c r="E732" i="1"/>
  <c r="D732" i="1"/>
  <c r="C732" i="1"/>
  <c r="B732" i="1"/>
  <c r="H731" i="1"/>
  <c r="G731" i="1"/>
  <c r="F731" i="1"/>
  <c r="E731" i="1"/>
  <c r="D731" i="1"/>
  <c r="C731" i="1"/>
  <c r="B731" i="1"/>
  <c r="H730" i="1"/>
  <c r="G730" i="1"/>
  <c r="F730" i="1"/>
  <c r="E730" i="1"/>
  <c r="D730" i="1"/>
  <c r="C730" i="1"/>
  <c r="B730" i="1"/>
  <c r="H729" i="1"/>
  <c r="G729" i="1"/>
  <c r="F729" i="1"/>
  <c r="E729" i="1"/>
  <c r="D729" i="1"/>
  <c r="C729" i="1"/>
  <c r="B729" i="1"/>
  <c r="H728" i="1"/>
  <c r="G728" i="1"/>
  <c r="F728" i="1"/>
  <c r="E728" i="1"/>
  <c r="D728" i="1"/>
  <c r="C728" i="1"/>
  <c r="B728" i="1"/>
  <c r="H727" i="1"/>
  <c r="G727" i="1"/>
  <c r="F727" i="1"/>
  <c r="E727" i="1"/>
  <c r="D727" i="1"/>
  <c r="C727" i="1"/>
  <c r="B727" i="1"/>
  <c r="H726" i="1"/>
  <c r="G726" i="1"/>
  <c r="F726" i="1"/>
  <c r="E726" i="1"/>
  <c r="D726" i="1"/>
  <c r="C726" i="1"/>
  <c r="B726" i="1"/>
  <c r="H725" i="1"/>
  <c r="G725" i="1"/>
  <c r="F725" i="1"/>
  <c r="E725" i="1"/>
  <c r="D725" i="1"/>
  <c r="C725" i="1"/>
  <c r="B725" i="1"/>
  <c r="H724" i="1"/>
  <c r="G724" i="1"/>
  <c r="F724" i="1"/>
  <c r="E724" i="1"/>
  <c r="D724" i="1"/>
  <c r="C724" i="1"/>
  <c r="B724" i="1"/>
  <c r="H723" i="1"/>
  <c r="G723" i="1"/>
  <c r="F723" i="1"/>
  <c r="E723" i="1"/>
  <c r="D723" i="1"/>
  <c r="C723" i="1"/>
  <c r="B723" i="1"/>
  <c r="H722" i="1"/>
  <c r="G722" i="1"/>
  <c r="F722" i="1"/>
  <c r="E722" i="1"/>
  <c r="D722" i="1"/>
  <c r="C722" i="1"/>
  <c r="B722" i="1"/>
  <c r="H721" i="1"/>
  <c r="G721" i="1"/>
  <c r="F721" i="1"/>
  <c r="E721" i="1"/>
  <c r="D721" i="1"/>
  <c r="C721" i="1"/>
  <c r="B721" i="1"/>
  <c r="H720" i="1"/>
  <c r="G720" i="1"/>
  <c r="F720" i="1"/>
  <c r="E720" i="1"/>
  <c r="D720" i="1"/>
  <c r="C720" i="1"/>
  <c r="B720" i="1"/>
  <c r="H719" i="1"/>
  <c r="G719" i="1"/>
  <c r="F719" i="1"/>
  <c r="E719" i="1"/>
  <c r="D719" i="1"/>
  <c r="C719" i="1"/>
  <c r="B719" i="1"/>
  <c r="H718" i="1"/>
  <c r="G718" i="1"/>
  <c r="F718" i="1"/>
  <c r="E718" i="1"/>
  <c r="D718" i="1"/>
  <c r="C718" i="1"/>
  <c r="B718" i="1"/>
  <c r="H717" i="1"/>
  <c r="G717" i="1"/>
  <c r="F717" i="1"/>
  <c r="E717" i="1"/>
  <c r="D717" i="1"/>
  <c r="C717" i="1"/>
  <c r="B717" i="1"/>
  <c r="H716" i="1"/>
  <c r="G716" i="1"/>
  <c r="F716" i="1"/>
  <c r="E716" i="1"/>
  <c r="D716" i="1"/>
  <c r="C716" i="1"/>
  <c r="B716" i="1"/>
  <c r="H715" i="1"/>
  <c r="G715" i="1"/>
  <c r="F715" i="1"/>
  <c r="E715" i="1"/>
  <c r="D715" i="1"/>
  <c r="C715" i="1"/>
  <c r="B715" i="1"/>
  <c r="H714" i="1"/>
  <c r="G714" i="1"/>
  <c r="F714" i="1"/>
  <c r="E714" i="1"/>
  <c r="D714" i="1"/>
  <c r="C714" i="1"/>
  <c r="B714" i="1"/>
  <c r="H713" i="1"/>
  <c r="G713" i="1"/>
  <c r="F713" i="1"/>
  <c r="E713" i="1"/>
  <c r="D713" i="1"/>
  <c r="C713" i="1"/>
  <c r="B713" i="1"/>
  <c r="H712" i="1"/>
  <c r="G712" i="1"/>
  <c r="F712" i="1"/>
  <c r="E712" i="1"/>
  <c r="D712" i="1"/>
  <c r="C712" i="1"/>
  <c r="B712" i="1"/>
  <c r="H711" i="1"/>
  <c r="G711" i="1"/>
  <c r="F711" i="1"/>
  <c r="E711" i="1"/>
  <c r="D711" i="1"/>
  <c r="C711" i="1"/>
  <c r="B711" i="1"/>
  <c r="H710" i="1"/>
  <c r="G710" i="1"/>
  <c r="F710" i="1"/>
  <c r="E710" i="1"/>
  <c r="D710" i="1"/>
  <c r="C710" i="1"/>
  <c r="B710" i="1"/>
  <c r="H709" i="1"/>
  <c r="G709" i="1"/>
  <c r="F709" i="1"/>
  <c r="E709" i="1"/>
  <c r="D709" i="1"/>
  <c r="C709" i="1"/>
  <c r="B709" i="1"/>
  <c r="H708" i="1"/>
  <c r="G708" i="1"/>
  <c r="F708" i="1"/>
  <c r="E708" i="1"/>
  <c r="D708" i="1"/>
  <c r="C708" i="1"/>
  <c r="B708" i="1"/>
  <c r="H707" i="1"/>
  <c r="G707" i="1"/>
  <c r="F707" i="1"/>
  <c r="E707" i="1"/>
  <c r="D707" i="1"/>
  <c r="C707" i="1"/>
  <c r="B707" i="1"/>
  <c r="H706" i="1"/>
  <c r="G706" i="1"/>
  <c r="F706" i="1"/>
  <c r="E706" i="1"/>
  <c r="D706" i="1"/>
  <c r="C706" i="1"/>
  <c r="B706" i="1"/>
  <c r="H705" i="1"/>
  <c r="G705" i="1"/>
  <c r="F705" i="1"/>
  <c r="E705" i="1"/>
  <c r="D705" i="1"/>
  <c r="C705" i="1"/>
  <c r="B705" i="1"/>
  <c r="H704" i="1"/>
  <c r="G704" i="1"/>
  <c r="F704" i="1"/>
  <c r="E704" i="1"/>
  <c r="D704" i="1"/>
  <c r="C704" i="1"/>
  <c r="B704" i="1"/>
  <c r="H703" i="1"/>
  <c r="G703" i="1"/>
  <c r="F703" i="1"/>
  <c r="E703" i="1"/>
  <c r="D703" i="1"/>
  <c r="C703" i="1"/>
  <c r="B703" i="1"/>
  <c r="H702" i="1"/>
  <c r="G702" i="1"/>
  <c r="F702" i="1"/>
  <c r="E702" i="1"/>
  <c r="D702" i="1"/>
  <c r="C702" i="1"/>
  <c r="B702" i="1"/>
  <c r="H701" i="1"/>
  <c r="G701" i="1"/>
  <c r="F701" i="1"/>
  <c r="E701" i="1"/>
  <c r="D701" i="1"/>
  <c r="C701" i="1"/>
  <c r="B701" i="1"/>
  <c r="H700" i="1"/>
  <c r="G700" i="1"/>
  <c r="F700" i="1"/>
  <c r="E700" i="1"/>
  <c r="D700" i="1"/>
  <c r="C700" i="1"/>
  <c r="B700" i="1"/>
  <c r="H699" i="1"/>
  <c r="G699" i="1"/>
  <c r="F699" i="1"/>
  <c r="E699" i="1"/>
  <c r="D699" i="1"/>
  <c r="C699" i="1"/>
  <c r="B699" i="1"/>
  <c r="H698" i="1"/>
  <c r="G698" i="1"/>
  <c r="F698" i="1"/>
  <c r="E698" i="1"/>
  <c r="D698" i="1"/>
  <c r="C698" i="1"/>
  <c r="B698" i="1"/>
  <c r="H697" i="1"/>
  <c r="G697" i="1"/>
  <c r="F697" i="1"/>
  <c r="E697" i="1"/>
  <c r="D697" i="1"/>
  <c r="C697" i="1"/>
  <c r="B697" i="1"/>
  <c r="H696" i="1"/>
  <c r="G696" i="1"/>
  <c r="F696" i="1"/>
  <c r="E696" i="1"/>
  <c r="D696" i="1"/>
  <c r="C696" i="1"/>
  <c r="B696" i="1"/>
  <c r="H695" i="1"/>
  <c r="G695" i="1"/>
  <c r="F695" i="1"/>
  <c r="E695" i="1"/>
  <c r="D695" i="1"/>
  <c r="C695" i="1"/>
  <c r="B695" i="1"/>
  <c r="H694" i="1"/>
  <c r="G694" i="1"/>
  <c r="F694" i="1"/>
  <c r="E694" i="1"/>
  <c r="D694" i="1"/>
  <c r="C694" i="1"/>
  <c r="B694" i="1"/>
  <c r="H693" i="1"/>
  <c r="G693" i="1"/>
  <c r="F693" i="1"/>
  <c r="E693" i="1"/>
  <c r="D693" i="1"/>
  <c r="C693" i="1"/>
  <c r="B693" i="1"/>
  <c r="H692" i="1"/>
  <c r="G692" i="1"/>
  <c r="F692" i="1"/>
  <c r="E692" i="1"/>
  <c r="D692" i="1"/>
  <c r="C692" i="1"/>
  <c r="B692" i="1"/>
  <c r="H691" i="1"/>
  <c r="G691" i="1"/>
  <c r="F691" i="1"/>
  <c r="E691" i="1"/>
  <c r="D691" i="1"/>
  <c r="C691" i="1"/>
  <c r="B691" i="1"/>
  <c r="H690" i="1"/>
  <c r="G690" i="1"/>
  <c r="F690" i="1"/>
  <c r="E690" i="1"/>
  <c r="D690" i="1"/>
  <c r="C690" i="1"/>
  <c r="B690" i="1"/>
  <c r="H689" i="1"/>
  <c r="G689" i="1"/>
  <c r="F689" i="1"/>
  <c r="E689" i="1"/>
  <c r="D689" i="1"/>
  <c r="C689" i="1"/>
  <c r="B689" i="1"/>
  <c r="H688" i="1"/>
  <c r="G688" i="1"/>
  <c r="F688" i="1"/>
  <c r="E688" i="1"/>
  <c r="D688" i="1"/>
  <c r="C688" i="1"/>
  <c r="B688" i="1"/>
  <c r="H687" i="1"/>
  <c r="G687" i="1"/>
  <c r="F687" i="1"/>
  <c r="E687" i="1"/>
  <c r="D687" i="1"/>
  <c r="C687" i="1"/>
  <c r="B687" i="1"/>
  <c r="H686" i="1"/>
  <c r="G686" i="1"/>
  <c r="F686" i="1"/>
  <c r="E686" i="1"/>
  <c r="D686" i="1"/>
  <c r="C686" i="1"/>
  <c r="B686" i="1"/>
  <c r="H685" i="1"/>
  <c r="G685" i="1"/>
  <c r="F685" i="1"/>
  <c r="E685" i="1"/>
  <c r="D685" i="1"/>
  <c r="C685" i="1"/>
  <c r="B685" i="1"/>
  <c r="H684" i="1"/>
  <c r="G684" i="1"/>
  <c r="F684" i="1"/>
  <c r="E684" i="1"/>
  <c r="D684" i="1"/>
  <c r="C684" i="1"/>
  <c r="B684" i="1"/>
  <c r="H683" i="1"/>
  <c r="G683" i="1"/>
  <c r="F683" i="1"/>
  <c r="E683" i="1"/>
  <c r="D683" i="1"/>
  <c r="C683" i="1"/>
  <c r="B683" i="1"/>
  <c r="H682" i="1"/>
  <c r="G682" i="1"/>
  <c r="F682" i="1"/>
  <c r="E682" i="1"/>
  <c r="D682" i="1"/>
  <c r="C682" i="1"/>
  <c r="B682" i="1"/>
  <c r="H681" i="1"/>
  <c r="G681" i="1"/>
  <c r="F681" i="1"/>
  <c r="E681" i="1"/>
  <c r="D681" i="1"/>
  <c r="C681" i="1"/>
  <c r="B681" i="1"/>
  <c r="H680" i="1"/>
  <c r="G680" i="1"/>
  <c r="F680" i="1"/>
  <c r="E680" i="1"/>
  <c r="D680" i="1"/>
  <c r="C680" i="1"/>
  <c r="B680" i="1"/>
  <c r="H679" i="1"/>
  <c r="G679" i="1"/>
  <c r="F679" i="1"/>
  <c r="E679" i="1"/>
  <c r="D679" i="1"/>
  <c r="C679" i="1"/>
  <c r="B679" i="1"/>
  <c r="H678" i="1"/>
  <c r="G678" i="1"/>
  <c r="F678" i="1"/>
  <c r="E678" i="1"/>
  <c r="D678" i="1"/>
  <c r="C678" i="1"/>
  <c r="B678" i="1"/>
  <c r="H677" i="1"/>
  <c r="G677" i="1"/>
  <c r="F677" i="1"/>
  <c r="E677" i="1"/>
  <c r="D677" i="1"/>
  <c r="C677" i="1"/>
  <c r="B677" i="1"/>
  <c r="H676" i="1"/>
  <c r="G676" i="1"/>
  <c r="F676" i="1"/>
  <c r="E676" i="1"/>
  <c r="D676" i="1"/>
  <c r="C676" i="1"/>
  <c r="B676" i="1"/>
  <c r="H675" i="1"/>
  <c r="G675" i="1"/>
  <c r="F675" i="1"/>
  <c r="E675" i="1"/>
  <c r="D675" i="1"/>
  <c r="C675" i="1"/>
  <c r="B675" i="1"/>
  <c r="H674" i="1"/>
  <c r="G674" i="1"/>
  <c r="F674" i="1"/>
  <c r="E674" i="1"/>
  <c r="D674" i="1"/>
  <c r="C674" i="1"/>
  <c r="B674" i="1"/>
  <c r="H673" i="1"/>
  <c r="G673" i="1"/>
  <c r="F673" i="1"/>
  <c r="E673" i="1"/>
  <c r="D673" i="1"/>
  <c r="C673" i="1"/>
  <c r="B673" i="1"/>
  <c r="H672" i="1"/>
  <c r="G672" i="1"/>
  <c r="F672" i="1"/>
  <c r="E672" i="1"/>
  <c r="D672" i="1"/>
  <c r="C672" i="1"/>
  <c r="B672" i="1"/>
  <c r="H671" i="1"/>
  <c r="G671" i="1"/>
  <c r="F671" i="1"/>
  <c r="E671" i="1"/>
  <c r="D671" i="1"/>
  <c r="C671" i="1"/>
  <c r="B671" i="1"/>
  <c r="H670" i="1"/>
  <c r="G670" i="1"/>
  <c r="F670" i="1"/>
  <c r="E670" i="1"/>
  <c r="D670" i="1"/>
  <c r="C670" i="1"/>
  <c r="B670" i="1"/>
  <c r="H669" i="1"/>
  <c r="G669" i="1"/>
  <c r="F669" i="1"/>
  <c r="E669" i="1"/>
  <c r="D669" i="1"/>
  <c r="C669" i="1"/>
  <c r="B669" i="1"/>
  <c r="H668" i="1"/>
  <c r="G668" i="1"/>
  <c r="F668" i="1"/>
  <c r="E668" i="1"/>
  <c r="D668" i="1"/>
  <c r="C668" i="1"/>
  <c r="B668" i="1"/>
  <c r="H667" i="1"/>
  <c r="G667" i="1"/>
  <c r="F667" i="1"/>
  <c r="E667" i="1"/>
  <c r="D667" i="1"/>
  <c r="C667" i="1"/>
  <c r="B667" i="1"/>
  <c r="H666" i="1"/>
  <c r="G666" i="1"/>
  <c r="F666" i="1"/>
  <c r="E666" i="1"/>
  <c r="D666" i="1"/>
  <c r="C666" i="1"/>
  <c r="B666" i="1"/>
  <c r="H665" i="1"/>
  <c r="G665" i="1"/>
  <c r="F665" i="1"/>
  <c r="E665" i="1"/>
  <c r="D665" i="1"/>
  <c r="C665" i="1"/>
  <c r="B665" i="1"/>
  <c r="H664" i="1"/>
  <c r="G664" i="1"/>
  <c r="F664" i="1"/>
  <c r="E664" i="1"/>
  <c r="D664" i="1"/>
  <c r="C664" i="1"/>
  <c r="B664" i="1"/>
  <c r="H663" i="1"/>
  <c r="G663" i="1"/>
  <c r="F663" i="1"/>
  <c r="E663" i="1"/>
  <c r="D663" i="1"/>
  <c r="C663" i="1"/>
  <c r="B663" i="1"/>
  <c r="H662" i="1"/>
  <c r="G662" i="1"/>
  <c r="F662" i="1"/>
  <c r="E662" i="1"/>
  <c r="D662" i="1"/>
  <c r="C662" i="1"/>
  <c r="B662" i="1"/>
  <c r="H661" i="1"/>
  <c r="G661" i="1"/>
  <c r="F661" i="1"/>
  <c r="E661" i="1"/>
  <c r="D661" i="1"/>
  <c r="C661" i="1"/>
  <c r="B661" i="1"/>
  <c r="H660" i="1"/>
  <c r="G660" i="1"/>
  <c r="F660" i="1"/>
  <c r="E660" i="1"/>
  <c r="D660" i="1"/>
  <c r="C660" i="1"/>
  <c r="B660" i="1"/>
  <c r="H659" i="1"/>
  <c r="G659" i="1"/>
  <c r="F659" i="1"/>
  <c r="E659" i="1"/>
  <c r="D659" i="1"/>
  <c r="C659" i="1"/>
  <c r="B659" i="1"/>
  <c r="H658" i="1"/>
  <c r="G658" i="1"/>
  <c r="F658" i="1"/>
  <c r="E658" i="1"/>
  <c r="D658" i="1"/>
  <c r="C658" i="1"/>
  <c r="B658" i="1"/>
  <c r="H657" i="1"/>
  <c r="G657" i="1"/>
  <c r="F657" i="1"/>
  <c r="E657" i="1"/>
  <c r="D657" i="1"/>
  <c r="C657" i="1"/>
  <c r="B657" i="1"/>
  <c r="H656" i="1"/>
  <c r="G656" i="1"/>
  <c r="F656" i="1"/>
  <c r="E656" i="1"/>
  <c r="D656" i="1"/>
  <c r="C656" i="1"/>
  <c r="B656" i="1"/>
  <c r="H655" i="1"/>
  <c r="G655" i="1"/>
  <c r="F655" i="1"/>
  <c r="E655" i="1"/>
  <c r="D655" i="1"/>
  <c r="C655" i="1"/>
  <c r="B655" i="1"/>
  <c r="H654" i="1"/>
  <c r="G654" i="1"/>
  <c r="F654" i="1"/>
  <c r="E654" i="1"/>
  <c r="D654" i="1"/>
  <c r="C654" i="1"/>
  <c r="B654" i="1"/>
  <c r="H653" i="1"/>
  <c r="G653" i="1"/>
  <c r="F653" i="1"/>
  <c r="E653" i="1"/>
  <c r="D653" i="1"/>
  <c r="C653" i="1"/>
  <c r="B653" i="1"/>
  <c r="H652" i="1"/>
  <c r="G652" i="1"/>
  <c r="F652" i="1"/>
  <c r="E652" i="1"/>
  <c r="D652" i="1"/>
  <c r="C652" i="1"/>
  <c r="B652" i="1"/>
  <c r="H651" i="1"/>
  <c r="G651" i="1"/>
  <c r="F651" i="1"/>
  <c r="E651" i="1"/>
  <c r="D651" i="1"/>
  <c r="C651" i="1"/>
  <c r="B651" i="1"/>
  <c r="H650" i="1"/>
  <c r="G650" i="1"/>
  <c r="F650" i="1"/>
  <c r="E650" i="1"/>
  <c r="D650" i="1"/>
  <c r="C650" i="1"/>
  <c r="B650" i="1"/>
  <c r="H649" i="1"/>
  <c r="G649" i="1"/>
  <c r="F649" i="1"/>
  <c r="E649" i="1"/>
  <c r="D649" i="1"/>
  <c r="C649" i="1"/>
  <c r="B649" i="1"/>
  <c r="H648" i="1"/>
  <c r="G648" i="1"/>
  <c r="F648" i="1"/>
  <c r="E648" i="1"/>
  <c r="D648" i="1"/>
  <c r="C648" i="1"/>
  <c r="B648" i="1"/>
  <c r="H647" i="1"/>
  <c r="G647" i="1"/>
  <c r="F647" i="1"/>
  <c r="E647" i="1"/>
  <c r="D647" i="1"/>
  <c r="C647" i="1"/>
  <c r="B647" i="1"/>
  <c r="H646" i="1"/>
  <c r="G646" i="1"/>
  <c r="F646" i="1"/>
  <c r="E646" i="1"/>
  <c r="D646" i="1"/>
  <c r="C646" i="1"/>
  <c r="B646" i="1"/>
  <c r="H645" i="1"/>
  <c r="G645" i="1"/>
  <c r="F645" i="1"/>
  <c r="E645" i="1"/>
  <c r="D645" i="1"/>
  <c r="C645" i="1"/>
  <c r="B645" i="1"/>
  <c r="H644" i="1"/>
  <c r="G644" i="1"/>
  <c r="F644" i="1"/>
  <c r="E644" i="1"/>
  <c r="D644" i="1"/>
  <c r="C644" i="1"/>
  <c r="B644" i="1"/>
  <c r="H643" i="1"/>
  <c r="G643" i="1"/>
  <c r="F643" i="1"/>
  <c r="E643" i="1"/>
  <c r="D643" i="1"/>
  <c r="C643" i="1"/>
  <c r="B643" i="1"/>
  <c r="H642" i="1"/>
  <c r="G642" i="1"/>
  <c r="F642" i="1"/>
  <c r="E642" i="1"/>
  <c r="D642" i="1"/>
  <c r="C642" i="1"/>
  <c r="B642" i="1"/>
  <c r="H641" i="1"/>
  <c r="G641" i="1"/>
  <c r="F641" i="1"/>
  <c r="E641" i="1"/>
  <c r="D641" i="1"/>
  <c r="C641" i="1"/>
  <c r="B641" i="1"/>
  <c r="H640" i="1"/>
  <c r="G640" i="1"/>
  <c r="F640" i="1"/>
  <c r="E640" i="1"/>
  <c r="D640" i="1"/>
  <c r="C640" i="1"/>
  <c r="B640" i="1"/>
  <c r="H639" i="1"/>
  <c r="G639" i="1"/>
  <c r="F639" i="1"/>
  <c r="E639" i="1"/>
  <c r="D639" i="1"/>
  <c r="C639" i="1"/>
  <c r="B639" i="1"/>
  <c r="H638" i="1"/>
  <c r="G638" i="1"/>
  <c r="F638" i="1"/>
  <c r="E638" i="1"/>
  <c r="D638" i="1"/>
  <c r="C638" i="1"/>
  <c r="B638" i="1"/>
  <c r="H637" i="1"/>
  <c r="G637" i="1"/>
  <c r="F637" i="1"/>
  <c r="E637" i="1"/>
  <c r="D637" i="1"/>
  <c r="C637" i="1"/>
  <c r="B637" i="1"/>
  <c r="H636" i="1"/>
  <c r="G636" i="1"/>
  <c r="F636" i="1"/>
  <c r="E636" i="1"/>
  <c r="D636" i="1"/>
  <c r="C636" i="1"/>
  <c r="B636" i="1"/>
  <c r="H635" i="1"/>
  <c r="G635" i="1"/>
  <c r="F635" i="1"/>
  <c r="E635" i="1"/>
  <c r="D635" i="1"/>
  <c r="C635" i="1"/>
  <c r="B635" i="1"/>
  <c r="H634" i="1"/>
  <c r="G634" i="1"/>
  <c r="F634" i="1"/>
  <c r="E634" i="1"/>
  <c r="D634" i="1"/>
  <c r="C634" i="1"/>
  <c r="B634" i="1"/>
  <c r="H633" i="1"/>
  <c r="G633" i="1"/>
  <c r="F633" i="1"/>
  <c r="E633" i="1"/>
  <c r="D633" i="1"/>
  <c r="C633" i="1"/>
  <c r="B633" i="1"/>
  <c r="H632" i="1"/>
  <c r="G632" i="1"/>
  <c r="F632" i="1"/>
  <c r="E632" i="1"/>
  <c r="D632" i="1"/>
  <c r="C632" i="1"/>
  <c r="B632" i="1"/>
  <c r="H631" i="1"/>
  <c r="G631" i="1"/>
  <c r="F631" i="1"/>
  <c r="E631" i="1"/>
  <c r="D631" i="1"/>
  <c r="C631" i="1"/>
  <c r="B631" i="1"/>
  <c r="H630" i="1"/>
  <c r="G630" i="1"/>
  <c r="F630" i="1"/>
  <c r="E630" i="1"/>
  <c r="D630" i="1"/>
  <c r="C630" i="1"/>
  <c r="B630" i="1"/>
  <c r="H629" i="1"/>
  <c r="G629" i="1"/>
  <c r="F629" i="1"/>
  <c r="E629" i="1"/>
  <c r="D629" i="1"/>
  <c r="C629" i="1"/>
  <c r="B629" i="1"/>
  <c r="H628" i="1"/>
  <c r="G628" i="1"/>
  <c r="F628" i="1"/>
  <c r="E628" i="1"/>
  <c r="D628" i="1"/>
  <c r="C628" i="1"/>
  <c r="B628" i="1"/>
  <c r="H627" i="1"/>
  <c r="G627" i="1"/>
  <c r="F627" i="1"/>
  <c r="E627" i="1"/>
  <c r="D627" i="1"/>
  <c r="C627" i="1"/>
  <c r="B627" i="1"/>
  <c r="H626" i="1"/>
  <c r="G626" i="1"/>
  <c r="F626" i="1"/>
  <c r="E626" i="1"/>
  <c r="D626" i="1"/>
  <c r="C626" i="1"/>
  <c r="B626" i="1"/>
  <c r="H625" i="1"/>
  <c r="G625" i="1"/>
  <c r="F625" i="1"/>
  <c r="E625" i="1"/>
  <c r="D625" i="1"/>
  <c r="C625" i="1"/>
  <c r="B625" i="1"/>
  <c r="H624" i="1"/>
  <c r="G624" i="1"/>
  <c r="F624" i="1"/>
  <c r="E624" i="1"/>
  <c r="D624" i="1"/>
  <c r="C624" i="1"/>
  <c r="B624" i="1"/>
  <c r="H623" i="1"/>
  <c r="G623" i="1"/>
  <c r="F623" i="1"/>
  <c r="E623" i="1"/>
  <c r="D623" i="1"/>
  <c r="C623" i="1"/>
  <c r="B623" i="1"/>
  <c r="H622" i="1"/>
  <c r="G622" i="1"/>
  <c r="F622" i="1"/>
  <c r="E622" i="1"/>
  <c r="D622" i="1"/>
  <c r="C622" i="1"/>
  <c r="B622" i="1"/>
  <c r="H621" i="1"/>
  <c r="G621" i="1"/>
  <c r="F621" i="1"/>
  <c r="E621" i="1"/>
  <c r="D621" i="1"/>
  <c r="C621" i="1"/>
  <c r="B621" i="1"/>
  <c r="H620" i="1"/>
  <c r="G620" i="1"/>
  <c r="F620" i="1"/>
  <c r="E620" i="1"/>
  <c r="D620" i="1"/>
  <c r="C620" i="1"/>
  <c r="B620" i="1"/>
  <c r="H619" i="1"/>
  <c r="G619" i="1"/>
  <c r="F619" i="1"/>
  <c r="E619" i="1"/>
  <c r="D619" i="1"/>
  <c r="C619" i="1"/>
  <c r="B619" i="1"/>
  <c r="H618" i="1"/>
  <c r="G618" i="1"/>
  <c r="F618" i="1"/>
  <c r="E618" i="1"/>
  <c r="D618" i="1"/>
  <c r="C618" i="1"/>
  <c r="B618" i="1"/>
  <c r="H617" i="1"/>
  <c r="G617" i="1"/>
  <c r="F617" i="1"/>
  <c r="E617" i="1"/>
  <c r="D617" i="1"/>
  <c r="C617" i="1"/>
  <c r="B617" i="1"/>
  <c r="H616" i="1"/>
  <c r="G616" i="1"/>
  <c r="F616" i="1"/>
  <c r="E616" i="1"/>
  <c r="D616" i="1"/>
  <c r="C616" i="1"/>
  <c r="B616" i="1"/>
  <c r="H615" i="1"/>
  <c r="G615" i="1"/>
  <c r="F615" i="1"/>
  <c r="E615" i="1"/>
  <c r="D615" i="1"/>
  <c r="C615" i="1"/>
  <c r="B615" i="1"/>
  <c r="H614" i="1"/>
  <c r="G614" i="1"/>
  <c r="F614" i="1"/>
  <c r="E614" i="1"/>
  <c r="D614" i="1"/>
  <c r="C614" i="1"/>
  <c r="B614" i="1"/>
  <c r="H613" i="1"/>
  <c r="G613" i="1"/>
  <c r="F613" i="1"/>
  <c r="E613" i="1"/>
  <c r="D613" i="1"/>
  <c r="C613" i="1"/>
  <c r="B613" i="1"/>
  <c r="H612" i="1"/>
  <c r="G612" i="1"/>
  <c r="F612" i="1"/>
  <c r="E612" i="1"/>
  <c r="D612" i="1"/>
  <c r="C612" i="1"/>
  <c r="B612" i="1"/>
  <c r="H611" i="1"/>
  <c r="G611" i="1"/>
  <c r="F611" i="1"/>
  <c r="E611" i="1"/>
  <c r="D611" i="1"/>
  <c r="C611" i="1"/>
  <c r="B611" i="1"/>
  <c r="H610" i="1"/>
  <c r="G610" i="1"/>
  <c r="F610" i="1"/>
  <c r="E610" i="1"/>
  <c r="D610" i="1"/>
  <c r="C610" i="1"/>
  <c r="B610" i="1"/>
  <c r="H609" i="1"/>
  <c r="G609" i="1"/>
  <c r="F609" i="1"/>
  <c r="E609" i="1"/>
  <c r="D609" i="1"/>
  <c r="C609" i="1"/>
  <c r="B609" i="1"/>
  <c r="H608" i="1"/>
  <c r="G608" i="1"/>
  <c r="F608" i="1"/>
  <c r="E608" i="1"/>
  <c r="D608" i="1"/>
  <c r="C608" i="1"/>
  <c r="B608" i="1"/>
  <c r="H607" i="1"/>
  <c r="G607" i="1"/>
  <c r="F607" i="1"/>
  <c r="E607" i="1"/>
  <c r="D607" i="1"/>
  <c r="C607" i="1"/>
  <c r="B607" i="1"/>
  <c r="H606" i="1"/>
  <c r="G606" i="1"/>
  <c r="F606" i="1"/>
  <c r="E606" i="1"/>
  <c r="D606" i="1"/>
  <c r="C606" i="1"/>
  <c r="B606" i="1"/>
  <c r="H605" i="1"/>
  <c r="G605" i="1"/>
  <c r="F605" i="1"/>
  <c r="E605" i="1"/>
  <c r="D605" i="1"/>
  <c r="C605" i="1"/>
  <c r="B605" i="1"/>
  <c r="H604" i="1"/>
  <c r="G604" i="1"/>
  <c r="F604" i="1"/>
  <c r="E604" i="1"/>
  <c r="D604" i="1"/>
  <c r="C604" i="1"/>
  <c r="B604" i="1"/>
  <c r="H603" i="1"/>
  <c r="G603" i="1"/>
  <c r="F603" i="1"/>
  <c r="E603" i="1"/>
  <c r="D603" i="1"/>
  <c r="C603" i="1"/>
  <c r="B603" i="1"/>
  <c r="H602" i="1"/>
  <c r="G602" i="1"/>
  <c r="F602" i="1"/>
  <c r="E602" i="1"/>
  <c r="D602" i="1"/>
  <c r="C602" i="1"/>
  <c r="B602" i="1"/>
  <c r="H601" i="1"/>
  <c r="G601" i="1"/>
  <c r="F601" i="1"/>
  <c r="E601" i="1"/>
  <c r="D601" i="1"/>
  <c r="C601" i="1"/>
  <c r="B601" i="1"/>
  <c r="H600" i="1"/>
  <c r="G600" i="1"/>
  <c r="F600" i="1"/>
  <c r="E600" i="1"/>
  <c r="D600" i="1"/>
  <c r="C600" i="1"/>
  <c r="B600" i="1"/>
  <c r="H599" i="1"/>
  <c r="G599" i="1"/>
  <c r="F599" i="1"/>
  <c r="E599" i="1"/>
  <c r="D599" i="1"/>
  <c r="C599" i="1"/>
  <c r="B599" i="1"/>
  <c r="H598" i="1"/>
  <c r="G598" i="1"/>
  <c r="F598" i="1"/>
  <c r="E598" i="1"/>
  <c r="D598" i="1"/>
  <c r="C598" i="1"/>
  <c r="B598" i="1"/>
  <c r="H597" i="1"/>
  <c r="G597" i="1"/>
  <c r="F597" i="1"/>
  <c r="E597" i="1"/>
  <c r="D597" i="1"/>
  <c r="C597" i="1"/>
  <c r="B597" i="1"/>
  <c r="H596" i="1"/>
  <c r="G596" i="1"/>
  <c r="F596" i="1"/>
  <c r="E596" i="1"/>
  <c r="D596" i="1"/>
  <c r="C596" i="1"/>
  <c r="B596" i="1"/>
  <c r="H595" i="1"/>
  <c r="G595" i="1"/>
  <c r="F595" i="1"/>
  <c r="E595" i="1"/>
  <c r="D595" i="1"/>
  <c r="C595" i="1"/>
  <c r="B595" i="1"/>
  <c r="H594" i="1"/>
  <c r="G594" i="1"/>
  <c r="F594" i="1"/>
  <c r="E594" i="1"/>
  <c r="D594" i="1"/>
  <c r="C594" i="1"/>
  <c r="B594" i="1"/>
  <c r="H593" i="1"/>
  <c r="G593" i="1"/>
  <c r="F593" i="1"/>
  <c r="E593" i="1"/>
  <c r="D593" i="1"/>
  <c r="C593" i="1"/>
  <c r="B593" i="1"/>
  <c r="H592" i="1"/>
  <c r="G592" i="1"/>
  <c r="F592" i="1"/>
  <c r="E592" i="1"/>
  <c r="D592" i="1"/>
  <c r="C592" i="1"/>
  <c r="B592" i="1"/>
  <c r="H591" i="1"/>
  <c r="G591" i="1"/>
  <c r="F591" i="1"/>
  <c r="E591" i="1"/>
  <c r="D591" i="1"/>
  <c r="C591" i="1"/>
  <c r="B591" i="1"/>
  <c r="H590" i="1"/>
  <c r="G590" i="1"/>
  <c r="F590" i="1"/>
  <c r="E590" i="1"/>
  <c r="D590" i="1"/>
  <c r="C590" i="1"/>
  <c r="B590" i="1"/>
  <c r="H589" i="1"/>
  <c r="G589" i="1"/>
  <c r="F589" i="1"/>
  <c r="E589" i="1"/>
  <c r="D589" i="1"/>
  <c r="C589" i="1"/>
  <c r="B589" i="1"/>
  <c r="H588" i="1"/>
  <c r="G588" i="1"/>
  <c r="F588" i="1"/>
  <c r="E588" i="1"/>
  <c r="D588" i="1"/>
  <c r="C588" i="1"/>
  <c r="B588" i="1"/>
  <c r="H587" i="1"/>
  <c r="G587" i="1"/>
  <c r="F587" i="1"/>
  <c r="E587" i="1"/>
  <c r="D587" i="1"/>
  <c r="C587" i="1"/>
  <c r="B587" i="1"/>
  <c r="H586" i="1"/>
  <c r="G586" i="1"/>
  <c r="F586" i="1"/>
  <c r="E586" i="1"/>
  <c r="D586" i="1"/>
  <c r="C586" i="1"/>
  <c r="B586" i="1"/>
  <c r="H585" i="1"/>
  <c r="G585" i="1"/>
  <c r="F585" i="1"/>
  <c r="E585" i="1"/>
  <c r="D585" i="1"/>
  <c r="C585" i="1"/>
  <c r="B585" i="1"/>
  <c r="H584" i="1"/>
  <c r="G584" i="1"/>
  <c r="F584" i="1"/>
  <c r="E584" i="1"/>
  <c r="D584" i="1"/>
  <c r="C584" i="1"/>
  <c r="B584" i="1"/>
  <c r="H583" i="1"/>
  <c r="G583" i="1"/>
  <c r="F583" i="1"/>
  <c r="E583" i="1"/>
  <c r="D583" i="1"/>
  <c r="C583" i="1"/>
  <c r="B583" i="1"/>
  <c r="H582" i="1"/>
  <c r="G582" i="1"/>
  <c r="F582" i="1"/>
  <c r="E582" i="1"/>
  <c r="D582" i="1"/>
  <c r="C582" i="1"/>
  <c r="B582" i="1"/>
  <c r="H581" i="1"/>
  <c r="G581" i="1"/>
  <c r="F581" i="1"/>
  <c r="E581" i="1"/>
  <c r="D581" i="1"/>
  <c r="C581" i="1"/>
  <c r="B581" i="1"/>
  <c r="H580" i="1"/>
  <c r="G580" i="1"/>
  <c r="F580" i="1"/>
  <c r="E580" i="1"/>
  <c r="D580" i="1"/>
  <c r="C580" i="1"/>
  <c r="B580" i="1"/>
  <c r="H579" i="1"/>
  <c r="G579" i="1"/>
  <c r="F579" i="1"/>
  <c r="E579" i="1"/>
  <c r="D579" i="1"/>
  <c r="C579" i="1"/>
  <c r="B579" i="1"/>
  <c r="H578" i="1"/>
  <c r="G578" i="1"/>
  <c r="F578" i="1"/>
  <c r="E578" i="1"/>
  <c r="D578" i="1"/>
  <c r="C578" i="1"/>
  <c r="B578" i="1"/>
  <c r="H577" i="1"/>
  <c r="G577" i="1"/>
  <c r="F577" i="1"/>
  <c r="E577" i="1"/>
  <c r="D577" i="1"/>
  <c r="C577" i="1"/>
  <c r="B577" i="1"/>
  <c r="H576" i="1"/>
  <c r="G576" i="1"/>
  <c r="F576" i="1"/>
  <c r="E576" i="1"/>
  <c r="D576" i="1"/>
  <c r="C576" i="1"/>
  <c r="B576" i="1"/>
  <c r="H575" i="1"/>
  <c r="G575" i="1"/>
  <c r="F575" i="1"/>
  <c r="E575" i="1"/>
  <c r="D575" i="1"/>
  <c r="C575" i="1"/>
  <c r="B575" i="1"/>
  <c r="H574" i="1"/>
  <c r="G574" i="1"/>
  <c r="F574" i="1"/>
  <c r="E574" i="1"/>
  <c r="D574" i="1"/>
  <c r="C574" i="1"/>
  <c r="B574" i="1"/>
  <c r="H573" i="1"/>
  <c r="G573" i="1"/>
  <c r="F573" i="1"/>
  <c r="E573" i="1"/>
  <c r="D573" i="1"/>
  <c r="C573" i="1"/>
  <c r="B573" i="1"/>
  <c r="H572" i="1"/>
  <c r="G572" i="1"/>
  <c r="F572" i="1"/>
  <c r="E572" i="1"/>
  <c r="D572" i="1"/>
  <c r="C572" i="1"/>
  <c r="B572" i="1"/>
  <c r="H571" i="1"/>
  <c r="G571" i="1"/>
  <c r="F571" i="1"/>
  <c r="E571" i="1"/>
  <c r="D571" i="1"/>
  <c r="C571" i="1"/>
  <c r="B571" i="1"/>
  <c r="H570" i="1"/>
  <c r="G570" i="1"/>
  <c r="F570" i="1"/>
  <c r="E570" i="1"/>
  <c r="D570" i="1"/>
  <c r="C570" i="1"/>
  <c r="B570" i="1"/>
  <c r="H569" i="1"/>
  <c r="G569" i="1"/>
  <c r="F569" i="1"/>
  <c r="E569" i="1"/>
  <c r="D569" i="1"/>
  <c r="C569" i="1"/>
  <c r="B569" i="1"/>
  <c r="H568" i="1"/>
  <c r="G568" i="1"/>
  <c r="F568" i="1"/>
  <c r="E568" i="1"/>
  <c r="D568" i="1"/>
  <c r="C568" i="1"/>
  <c r="B568" i="1"/>
  <c r="H567" i="1"/>
  <c r="G567" i="1"/>
  <c r="F567" i="1"/>
  <c r="E567" i="1"/>
  <c r="D567" i="1"/>
  <c r="C567" i="1"/>
  <c r="B567" i="1"/>
  <c r="H566" i="1"/>
  <c r="G566" i="1"/>
  <c r="F566" i="1"/>
  <c r="E566" i="1"/>
  <c r="D566" i="1"/>
  <c r="C566" i="1"/>
  <c r="B566" i="1"/>
  <c r="H565" i="1"/>
  <c r="G565" i="1"/>
  <c r="F565" i="1"/>
  <c r="E565" i="1"/>
  <c r="D565" i="1"/>
  <c r="C565" i="1"/>
  <c r="B565" i="1"/>
  <c r="H564" i="1"/>
  <c r="G564" i="1"/>
  <c r="F564" i="1"/>
  <c r="E564" i="1"/>
  <c r="D564" i="1"/>
  <c r="C564" i="1"/>
  <c r="B564" i="1"/>
  <c r="H563" i="1"/>
  <c r="G563" i="1"/>
  <c r="F563" i="1"/>
  <c r="E563" i="1"/>
  <c r="D563" i="1"/>
  <c r="C563" i="1"/>
  <c r="B563" i="1"/>
  <c r="H562" i="1"/>
  <c r="G562" i="1"/>
  <c r="F562" i="1"/>
  <c r="E562" i="1"/>
  <c r="D562" i="1"/>
  <c r="C562" i="1"/>
  <c r="B562" i="1"/>
  <c r="H561" i="1"/>
  <c r="G561" i="1"/>
  <c r="F561" i="1"/>
  <c r="E561" i="1"/>
  <c r="D561" i="1"/>
  <c r="C561" i="1"/>
  <c r="B561" i="1"/>
  <c r="H560" i="1"/>
  <c r="G560" i="1"/>
  <c r="F560" i="1"/>
  <c r="E560" i="1"/>
  <c r="D560" i="1"/>
  <c r="C560" i="1"/>
  <c r="B560" i="1"/>
  <c r="H559" i="1"/>
  <c r="G559" i="1"/>
  <c r="F559" i="1"/>
  <c r="E559" i="1"/>
  <c r="D559" i="1"/>
  <c r="C559" i="1"/>
  <c r="B559" i="1"/>
  <c r="H558" i="1"/>
  <c r="G558" i="1"/>
  <c r="F558" i="1"/>
  <c r="E558" i="1"/>
  <c r="D558" i="1"/>
  <c r="C558" i="1"/>
  <c r="B558" i="1"/>
  <c r="H557" i="1"/>
  <c r="G557" i="1"/>
  <c r="F557" i="1"/>
  <c r="E557" i="1"/>
  <c r="D557" i="1"/>
  <c r="C557" i="1"/>
  <c r="B557" i="1"/>
  <c r="H556" i="1"/>
  <c r="G556" i="1"/>
  <c r="F556" i="1"/>
  <c r="E556" i="1"/>
  <c r="D556" i="1"/>
  <c r="C556" i="1"/>
  <c r="B556" i="1"/>
  <c r="H555" i="1"/>
  <c r="G555" i="1"/>
  <c r="F555" i="1"/>
  <c r="E555" i="1"/>
  <c r="D555" i="1"/>
  <c r="C555" i="1"/>
  <c r="B555" i="1"/>
  <c r="H554" i="1"/>
  <c r="G554" i="1"/>
  <c r="F554" i="1"/>
  <c r="E554" i="1"/>
  <c r="D554" i="1"/>
  <c r="C554" i="1"/>
  <c r="B554" i="1"/>
  <c r="H553" i="1"/>
  <c r="G553" i="1"/>
  <c r="F553" i="1"/>
  <c r="E553" i="1"/>
  <c r="D553" i="1"/>
  <c r="C553" i="1"/>
  <c r="B553" i="1"/>
  <c r="H552" i="1"/>
  <c r="G552" i="1"/>
  <c r="F552" i="1"/>
  <c r="E552" i="1"/>
  <c r="D552" i="1"/>
  <c r="C552" i="1"/>
  <c r="B552" i="1"/>
  <c r="H551" i="1"/>
  <c r="G551" i="1"/>
  <c r="F551" i="1"/>
  <c r="E551" i="1"/>
  <c r="D551" i="1"/>
  <c r="C551" i="1"/>
  <c r="B551" i="1"/>
  <c r="H550" i="1"/>
  <c r="G550" i="1"/>
  <c r="F550" i="1"/>
  <c r="E550" i="1"/>
  <c r="D550" i="1"/>
  <c r="C550" i="1"/>
  <c r="B550" i="1"/>
  <c r="H549" i="1"/>
  <c r="G549" i="1"/>
  <c r="F549" i="1"/>
  <c r="E549" i="1"/>
  <c r="D549" i="1"/>
  <c r="C549" i="1"/>
  <c r="B549" i="1"/>
  <c r="H548" i="1"/>
  <c r="G548" i="1"/>
  <c r="F548" i="1"/>
  <c r="E548" i="1"/>
  <c r="D548" i="1"/>
  <c r="C548" i="1"/>
  <c r="B548" i="1"/>
  <c r="H547" i="1"/>
  <c r="G547" i="1"/>
  <c r="F547" i="1"/>
  <c r="E547" i="1"/>
  <c r="D547" i="1"/>
  <c r="C547" i="1"/>
  <c r="B547" i="1"/>
  <c r="H546" i="1"/>
  <c r="G546" i="1"/>
  <c r="F546" i="1"/>
  <c r="E546" i="1"/>
  <c r="D546" i="1"/>
  <c r="C546" i="1"/>
  <c r="B546" i="1"/>
  <c r="H545" i="1"/>
  <c r="G545" i="1"/>
  <c r="F545" i="1"/>
  <c r="E545" i="1"/>
  <c r="D545" i="1"/>
  <c r="C545" i="1"/>
  <c r="B545" i="1"/>
  <c r="H544" i="1"/>
  <c r="G544" i="1"/>
  <c r="F544" i="1"/>
  <c r="E544" i="1"/>
  <c r="D544" i="1"/>
  <c r="C544" i="1"/>
  <c r="B544" i="1"/>
  <c r="H543" i="1"/>
  <c r="G543" i="1"/>
  <c r="F543" i="1"/>
  <c r="E543" i="1"/>
  <c r="D543" i="1"/>
  <c r="C543" i="1"/>
  <c r="B543" i="1"/>
  <c r="H542" i="1"/>
  <c r="G542" i="1"/>
  <c r="F542" i="1"/>
  <c r="E542" i="1"/>
  <c r="D542" i="1"/>
  <c r="C542" i="1"/>
  <c r="B542" i="1"/>
  <c r="H541" i="1"/>
  <c r="G541" i="1"/>
  <c r="F541" i="1"/>
  <c r="E541" i="1"/>
  <c r="D541" i="1"/>
  <c r="C541" i="1"/>
  <c r="B541" i="1"/>
  <c r="H540" i="1"/>
  <c r="G540" i="1"/>
  <c r="F540" i="1"/>
  <c r="E540" i="1"/>
  <c r="D540" i="1"/>
  <c r="C540" i="1"/>
  <c r="B540" i="1"/>
  <c r="H539" i="1"/>
  <c r="G539" i="1"/>
  <c r="F539" i="1"/>
  <c r="E539" i="1"/>
  <c r="D539" i="1"/>
  <c r="C539" i="1"/>
  <c r="B539" i="1"/>
  <c r="H538" i="1"/>
  <c r="G538" i="1"/>
  <c r="F538" i="1"/>
  <c r="E538" i="1"/>
  <c r="D538" i="1"/>
  <c r="C538" i="1"/>
  <c r="B538" i="1"/>
  <c r="H537" i="1"/>
  <c r="G537" i="1"/>
  <c r="F537" i="1"/>
  <c r="E537" i="1"/>
  <c r="D537" i="1"/>
  <c r="C537" i="1"/>
  <c r="B537" i="1"/>
  <c r="H536" i="1"/>
  <c r="G536" i="1"/>
  <c r="F536" i="1"/>
  <c r="E536" i="1"/>
  <c r="D536" i="1"/>
  <c r="C536" i="1"/>
  <c r="B536" i="1"/>
  <c r="H535" i="1"/>
  <c r="G535" i="1"/>
  <c r="F535" i="1"/>
  <c r="E535" i="1"/>
  <c r="D535" i="1"/>
  <c r="C535" i="1"/>
  <c r="B535" i="1"/>
  <c r="H534" i="1"/>
  <c r="G534" i="1"/>
  <c r="F534" i="1"/>
  <c r="E534" i="1"/>
  <c r="D534" i="1"/>
  <c r="C534" i="1"/>
  <c r="B534" i="1"/>
  <c r="H533" i="1"/>
  <c r="G533" i="1"/>
  <c r="F533" i="1"/>
  <c r="E533" i="1"/>
  <c r="D533" i="1"/>
  <c r="C533" i="1"/>
  <c r="B533" i="1"/>
  <c r="H532" i="1"/>
  <c r="G532" i="1"/>
  <c r="F532" i="1"/>
  <c r="E532" i="1"/>
  <c r="D532" i="1"/>
  <c r="C532" i="1"/>
  <c r="B532" i="1"/>
  <c r="H531" i="1"/>
  <c r="G531" i="1"/>
  <c r="F531" i="1"/>
  <c r="E531" i="1"/>
  <c r="D531" i="1"/>
  <c r="C531" i="1"/>
  <c r="B531" i="1"/>
  <c r="H530" i="1"/>
  <c r="G530" i="1"/>
  <c r="F530" i="1"/>
  <c r="E530" i="1"/>
  <c r="D530" i="1"/>
  <c r="C530" i="1"/>
  <c r="B530" i="1"/>
  <c r="H529" i="1"/>
  <c r="G529" i="1"/>
  <c r="F529" i="1"/>
  <c r="E529" i="1"/>
  <c r="D529" i="1"/>
  <c r="C529" i="1"/>
  <c r="B529" i="1"/>
  <c r="H528" i="1"/>
  <c r="G528" i="1"/>
  <c r="F528" i="1"/>
  <c r="E528" i="1"/>
  <c r="D528" i="1"/>
  <c r="C528" i="1"/>
  <c r="B528" i="1"/>
  <c r="H527" i="1"/>
  <c r="G527" i="1"/>
  <c r="F527" i="1"/>
  <c r="E527" i="1"/>
  <c r="D527" i="1"/>
  <c r="C527" i="1"/>
  <c r="B527" i="1"/>
  <c r="H526" i="1"/>
  <c r="G526" i="1"/>
  <c r="F526" i="1"/>
  <c r="E526" i="1"/>
  <c r="D526" i="1"/>
  <c r="C526" i="1"/>
  <c r="B526" i="1"/>
  <c r="H525" i="1"/>
  <c r="G525" i="1"/>
  <c r="F525" i="1"/>
  <c r="E525" i="1"/>
  <c r="D525" i="1"/>
  <c r="C525" i="1"/>
  <c r="B525" i="1"/>
  <c r="H524" i="1"/>
  <c r="G524" i="1"/>
  <c r="F524" i="1"/>
  <c r="E524" i="1"/>
  <c r="D524" i="1"/>
  <c r="C524" i="1"/>
  <c r="B524" i="1"/>
  <c r="H523" i="1"/>
  <c r="G523" i="1"/>
  <c r="F523" i="1"/>
  <c r="E523" i="1"/>
  <c r="D523" i="1"/>
  <c r="C523" i="1"/>
  <c r="B523" i="1"/>
  <c r="H522" i="1"/>
  <c r="G522" i="1"/>
  <c r="F522" i="1"/>
  <c r="E522" i="1"/>
  <c r="D522" i="1"/>
  <c r="C522" i="1"/>
  <c r="B522" i="1"/>
  <c r="H521" i="1"/>
  <c r="G521" i="1"/>
  <c r="F521" i="1"/>
  <c r="E521" i="1"/>
  <c r="D521" i="1"/>
  <c r="C521" i="1"/>
  <c r="B521" i="1"/>
  <c r="H520" i="1"/>
  <c r="G520" i="1"/>
  <c r="F520" i="1"/>
  <c r="E520" i="1"/>
  <c r="D520" i="1"/>
  <c r="C520" i="1"/>
  <c r="B520" i="1"/>
  <c r="H519" i="1"/>
  <c r="G519" i="1"/>
  <c r="F519" i="1"/>
  <c r="E519" i="1"/>
  <c r="D519" i="1"/>
  <c r="C519" i="1"/>
  <c r="B519" i="1"/>
  <c r="H518" i="1"/>
  <c r="G518" i="1"/>
  <c r="F518" i="1"/>
  <c r="E518" i="1"/>
  <c r="D518" i="1"/>
  <c r="C518" i="1"/>
  <c r="B518" i="1"/>
  <c r="H517" i="1"/>
  <c r="G517" i="1"/>
  <c r="F517" i="1"/>
  <c r="E517" i="1"/>
  <c r="D517" i="1"/>
  <c r="C517" i="1"/>
  <c r="B517" i="1"/>
  <c r="H516" i="1"/>
  <c r="G516" i="1"/>
  <c r="F516" i="1"/>
  <c r="E516" i="1"/>
  <c r="D516" i="1"/>
  <c r="C516" i="1"/>
  <c r="B516" i="1"/>
  <c r="H515" i="1"/>
  <c r="G515" i="1"/>
  <c r="F515" i="1"/>
  <c r="E515" i="1"/>
  <c r="D515" i="1"/>
  <c r="C515" i="1"/>
  <c r="B515" i="1"/>
  <c r="H514" i="1"/>
  <c r="G514" i="1"/>
  <c r="F514" i="1"/>
  <c r="E514" i="1"/>
  <c r="D514" i="1"/>
  <c r="C514" i="1"/>
  <c r="B514" i="1"/>
  <c r="H513" i="1"/>
  <c r="G513" i="1"/>
  <c r="F513" i="1"/>
  <c r="E513" i="1"/>
  <c r="D513" i="1"/>
  <c r="C513" i="1"/>
  <c r="B513" i="1"/>
  <c r="H512" i="1"/>
  <c r="G512" i="1"/>
  <c r="F512" i="1"/>
  <c r="E512" i="1"/>
  <c r="D512" i="1"/>
  <c r="C512" i="1"/>
  <c r="B512" i="1"/>
  <c r="H511" i="1"/>
  <c r="G511" i="1"/>
  <c r="F511" i="1"/>
  <c r="E511" i="1"/>
  <c r="D511" i="1"/>
  <c r="C511" i="1"/>
  <c r="B511" i="1"/>
  <c r="H510" i="1"/>
  <c r="G510" i="1"/>
  <c r="F510" i="1"/>
  <c r="E510" i="1"/>
  <c r="D510" i="1"/>
  <c r="C510" i="1"/>
  <c r="B510" i="1"/>
  <c r="H509" i="1"/>
  <c r="G509" i="1"/>
  <c r="F509" i="1"/>
  <c r="E509" i="1"/>
  <c r="D509" i="1"/>
  <c r="C509" i="1"/>
  <c r="B509" i="1"/>
  <c r="H508" i="1"/>
  <c r="G508" i="1"/>
  <c r="F508" i="1"/>
  <c r="E508" i="1"/>
  <c r="D508" i="1"/>
  <c r="C508" i="1"/>
  <c r="B508" i="1"/>
  <c r="H507" i="1"/>
  <c r="G507" i="1"/>
  <c r="F507" i="1"/>
  <c r="E507" i="1"/>
  <c r="D507" i="1"/>
  <c r="C507" i="1"/>
  <c r="B507" i="1"/>
  <c r="H506" i="1"/>
  <c r="G506" i="1"/>
  <c r="F506" i="1"/>
  <c r="E506" i="1"/>
  <c r="D506" i="1"/>
  <c r="C506" i="1"/>
  <c r="B506" i="1"/>
  <c r="H505" i="1"/>
  <c r="G505" i="1"/>
  <c r="F505" i="1"/>
  <c r="E505" i="1"/>
  <c r="D505" i="1"/>
  <c r="C505" i="1"/>
  <c r="B505" i="1"/>
  <c r="H504" i="1"/>
  <c r="G504" i="1"/>
  <c r="F504" i="1"/>
  <c r="E504" i="1"/>
  <c r="D504" i="1"/>
  <c r="C504" i="1"/>
  <c r="B504" i="1"/>
  <c r="H503" i="1"/>
  <c r="G503" i="1"/>
  <c r="F503" i="1"/>
  <c r="E503" i="1"/>
  <c r="D503" i="1"/>
  <c r="C503" i="1"/>
  <c r="B503" i="1"/>
  <c r="H502" i="1"/>
  <c r="G502" i="1"/>
  <c r="F502" i="1"/>
  <c r="E502" i="1"/>
  <c r="D502" i="1"/>
  <c r="C502" i="1"/>
  <c r="B502" i="1"/>
  <c r="H501" i="1"/>
  <c r="G501" i="1"/>
  <c r="F501" i="1"/>
  <c r="E501" i="1"/>
  <c r="D501" i="1"/>
  <c r="C501" i="1"/>
  <c r="B501" i="1"/>
  <c r="H500" i="1"/>
  <c r="G500" i="1"/>
  <c r="F500" i="1"/>
  <c r="E500" i="1"/>
  <c r="D500" i="1"/>
  <c r="C500" i="1"/>
  <c r="B500" i="1"/>
  <c r="H499" i="1"/>
  <c r="G499" i="1"/>
  <c r="F499" i="1"/>
  <c r="E499" i="1"/>
  <c r="D499" i="1"/>
  <c r="C499" i="1"/>
  <c r="B499" i="1"/>
  <c r="H498" i="1"/>
  <c r="G498" i="1"/>
  <c r="F498" i="1"/>
  <c r="E498" i="1"/>
  <c r="D498" i="1"/>
  <c r="C498" i="1"/>
  <c r="B498" i="1"/>
  <c r="H497" i="1"/>
  <c r="G497" i="1"/>
  <c r="F497" i="1"/>
  <c r="E497" i="1"/>
  <c r="D497" i="1"/>
  <c r="C497" i="1"/>
  <c r="B497" i="1"/>
  <c r="H496" i="1"/>
  <c r="G496" i="1"/>
  <c r="F496" i="1"/>
  <c r="E496" i="1"/>
  <c r="D496" i="1"/>
  <c r="C496" i="1"/>
  <c r="B496" i="1"/>
  <c r="H495" i="1"/>
  <c r="G495" i="1"/>
  <c r="F495" i="1"/>
  <c r="E495" i="1"/>
  <c r="D495" i="1"/>
  <c r="C495" i="1"/>
  <c r="B495" i="1"/>
  <c r="H494" i="1"/>
  <c r="G494" i="1"/>
  <c r="F494" i="1"/>
  <c r="E494" i="1"/>
  <c r="D494" i="1"/>
  <c r="C494" i="1"/>
  <c r="B494" i="1"/>
  <c r="H493" i="1"/>
  <c r="G493" i="1"/>
  <c r="F493" i="1"/>
  <c r="E493" i="1"/>
  <c r="D493" i="1"/>
  <c r="C493" i="1"/>
  <c r="B493" i="1"/>
  <c r="H492" i="1"/>
  <c r="G492" i="1"/>
  <c r="F492" i="1"/>
  <c r="E492" i="1"/>
  <c r="D492" i="1"/>
  <c r="C492" i="1"/>
  <c r="B492" i="1"/>
  <c r="H491" i="1"/>
  <c r="G491" i="1"/>
  <c r="F491" i="1"/>
  <c r="E491" i="1"/>
  <c r="D491" i="1"/>
  <c r="C491" i="1"/>
  <c r="B491" i="1"/>
  <c r="H490" i="1"/>
  <c r="G490" i="1"/>
  <c r="F490" i="1"/>
  <c r="E490" i="1"/>
  <c r="D490" i="1"/>
  <c r="C490" i="1"/>
  <c r="B490" i="1"/>
  <c r="H489" i="1"/>
  <c r="G489" i="1"/>
  <c r="F489" i="1"/>
  <c r="E489" i="1"/>
  <c r="D489" i="1"/>
  <c r="C489" i="1"/>
  <c r="B489" i="1"/>
  <c r="H488" i="1"/>
  <c r="G488" i="1"/>
  <c r="F488" i="1"/>
  <c r="E488" i="1"/>
  <c r="D488" i="1"/>
  <c r="C488" i="1"/>
  <c r="B488" i="1"/>
  <c r="H487" i="1"/>
  <c r="G487" i="1"/>
  <c r="F487" i="1"/>
  <c r="E487" i="1"/>
  <c r="D487" i="1"/>
  <c r="C487" i="1"/>
  <c r="B487" i="1"/>
  <c r="H486" i="1"/>
  <c r="G486" i="1"/>
  <c r="F486" i="1"/>
  <c r="E486" i="1"/>
  <c r="D486" i="1"/>
  <c r="C486" i="1"/>
  <c r="B486" i="1"/>
  <c r="H485" i="1"/>
  <c r="G485" i="1"/>
  <c r="F485" i="1"/>
  <c r="E485" i="1"/>
  <c r="D485" i="1"/>
  <c r="C485" i="1"/>
  <c r="B485" i="1"/>
  <c r="H484" i="1"/>
  <c r="G484" i="1"/>
  <c r="F484" i="1"/>
  <c r="E484" i="1"/>
  <c r="D484" i="1"/>
  <c r="C484" i="1"/>
  <c r="B484" i="1"/>
  <c r="H483" i="1"/>
  <c r="G483" i="1"/>
  <c r="F483" i="1"/>
  <c r="E483" i="1"/>
  <c r="D483" i="1"/>
  <c r="C483" i="1"/>
  <c r="B483" i="1"/>
  <c r="H482" i="1"/>
  <c r="G482" i="1"/>
  <c r="F482" i="1"/>
  <c r="E482" i="1"/>
  <c r="D482" i="1"/>
  <c r="C482" i="1"/>
  <c r="B482" i="1"/>
  <c r="H481" i="1"/>
  <c r="G481" i="1"/>
  <c r="F481" i="1"/>
  <c r="E481" i="1"/>
  <c r="D481" i="1"/>
  <c r="C481" i="1"/>
  <c r="B481" i="1"/>
  <c r="H480" i="1"/>
  <c r="G480" i="1"/>
  <c r="F480" i="1"/>
  <c r="E480" i="1"/>
  <c r="D480" i="1"/>
  <c r="C480" i="1"/>
  <c r="B480" i="1"/>
  <c r="H479" i="1"/>
  <c r="G479" i="1"/>
  <c r="F479" i="1"/>
  <c r="E479" i="1"/>
  <c r="D479" i="1"/>
  <c r="C479" i="1"/>
  <c r="B479" i="1"/>
  <c r="H478" i="1"/>
  <c r="G478" i="1"/>
  <c r="F478" i="1"/>
  <c r="E478" i="1"/>
  <c r="D478" i="1"/>
  <c r="C478" i="1"/>
  <c r="B478" i="1"/>
  <c r="H477" i="1"/>
  <c r="G477" i="1"/>
  <c r="F477" i="1"/>
  <c r="E477" i="1"/>
  <c r="D477" i="1"/>
  <c r="C477" i="1"/>
  <c r="B477" i="1"/>
  <c r="H476" i="1"/>
  <c r="G476" i="1"/>
  <c r="F476" i="1"/>
  <c r="E476" i="1"/>
  <c r="D476" i="1"/>
  <c r="C476" i="1"/>
  <c r="B476" i="1"/>
  <c r="H475" i="1"/>
  <c r="G475" i="1"/>
  <c r="F475" i="1"/>
  <c r="E475" i="1"/>
  <c r="D475" i="1"/>
  <c r="C475" i="1"/>
  <c r="B475" i="1"/>
  <c r="H474" i="1"/>
  <c r="G474" i="1"/>
  <c r="F474" i="1"/>
  <c r="E474" i="1"/>
  <c r="D474" i="1"/>
  <c r="C474" i="1"/>
  <c r="B474" i="1"/>
  <c r="H473" i="1"/>
  <c r="G473" i="1"/>
  <c r="F473" i="1"/>
  <c r="E473" i="1"/>
  <c r="D473" i="1"/>
  <c r="C473" i="1"/>
  <c r="B473" i="1"/>
  <c r="H472" i="1"/>
  <c r="G472" i="1"/>
  <c r="F472" i="1"/>
  <c r="E472" i="1"/>
  <c r="D472" i="1"/>
  <c r="C472" i="1"/>
  <c r="B472" i="1"/>
  <c r="H471" i="1"/>
  <c r="G471" i="1"/>
  <c r="F471" i="1"/>
  <c r="E471" i="1"/>
  <c r="D471" i="1"/>
  <c r="C471" i="1"/>
  <c r="B471" i="1"/>
  <c r="H470" i="1"/>
  <c r="G470" i="1"/>
  <c r="F470" i="1"/>
  <c r="E470" i="1"/>
  <c r="D470" i="1"/>
  <c r="C470" i="1"/>
  <c r="B470" i="1"/>
  <c r="H469" i="1"/>
  <c r="G469" i="1"/>
  <c r="F469" i="1"/>
  <c r="E469" i="1"/>
  <c r="D469" i="1"/>
  <c r="C469" i="1"/>
  <c r="B469" i="1"/>
  <c r="H468" i="1"/>
  <c r="G468" i="1"/>
  <c r="F468" i="1"/>
  <c r="E468" i="1"/>
  <c r="D468" i="1"/>
  <c r="C468" i="1"/>
  <c r="B468" i="1"/>
  <c r="H467" i="1"/>
  <c r="G467" i="1"/>
  <c r="F467" i="1"/>
  <c r="E467" i="1"/>
  <c r="D467" i="1"/>
  <c r="C467" i="1"/>
  <c r="B467" i="1"/>
  <c r="H466" i="1"/>
  <c r="G466" i="1"/>
  <c r="F466" i="1"/>
  <c r="E466" i="1"/>
  <c r="D466" i="1"/>
  <c r="C466" i="1"/>
  <c r="B466" i="1"/>
  <c r="H465" i="1"/>
  <c r="G465" i="1"/>
  <c r="F465" i="1"/>
  <c r="E465" i="1"/>
  <c r="D465" i="1"/>
  <c r="C465" i="1"/>
  <c r="B465" i="1"/>
  <c r="H464" i="1"/>
  <c r="G464" i="1"/>
  <c r="F464" i="1"/>
  <c r="E464" i="1"/>
  <c r="D464" i="1"/>
  <c r="C464" i="1"/>
  <c r="B464" i="1"/>
  <c r="H463" i="1"/>
  <c r="G463" i="1"/>
  <c r="F463" i="1"/>
  <c r="E463" i="1"/>
  <c r="D463" i="1"/>
  <c r="C463" i="1"/>
  <c r="B463" i="1"/>
  <c r="H462" i="1"/>
  <c r="G462" i="1"/>
  <c r="F462" i="1"/>
  <c r="E462" i="1"/>
  <c r="D462" i="1"/>
  <c r="C462" i="1"/>
  <c r="B462" i="1"/>
  <c r="H461" i="1"/>
  <c r="G461" i="1"/>
  <c r="F461" i="1"/>
  <c r="E461" i="1"/>
  <c r="D461" i="1"/>
  <c r="C461" i="1"/>
  <c r="B461" i="1"/>
  <c r="H460" i="1"/>
  <c r="G460" i="1"/>
  <c r="F460" i="1"/>
  <c r="E460" i="1"/>
  <c r="D460" i="1"/>
  <c r="C460" i="1"/>
  <c r="B460" i="1"/>
  <c r="H459" i="1"/>
  <c r="G459" i="1"/>
  <c r="F459" i="1"/>
  <c r="E459" i="1"/>
  <c r="D459" i="1"/>
  <c r="C459" i="1"/>
  <c r="B459" i="1"/>
  <c r="H458" i="1"/>
  <c r="G458" i="1"/>
  <c r="F458" i="1"/>
  <c r="E458" i="1"/>
  <c r="D458" i="1"/>
  <c r="C458" i="1"/>
  <c r="B458" i="1"/>
  <c r="H457" i="1"/>
  <c r="G457" i="1"/>
  <c r="F457" i="1"/>
  <c r="E457" i="1"/>
  <c r="D457" i="1"/>
  <c r="C457" i="1"/>
  <c r="B457" i="1"/>
  <c r="H456" i="1"/>
  <c r="G456" i="1"/>
  <c r="F456" i="1"/>
  <c r="E456" i="1"/>
  <c r="D456" i="1"/>
  <c r="C456" i="1"/>
  <c r="B456" i="1"/>
  <c r="H455" i="1"/>
  <c r="G455" i="1"/>
  <c r="F455" i="1"/>
  <c r="E455" i="1"/>
  <c r="D455" i="1"/>
  <c r="C455" i="1"/>
  <c r="B455" i="1"/>
  <c r="H454" i="1"/>
  <c r="G454" i="1"/>
  <c r="F454" i="1"/>
  <c r="E454" i="1"/>
  <c r="D454" i="1"/>
  <c r="C454" i="1"/>
  <c r="B454" i="1"/>
  <c r="H453" i="1"/>
  <c r="G453" i="1"/>
  <c r="F453" i="1"/>
  <c r="E453" i="1"/>
  <c r="D453" i="1"/>
  <c r="C453" i="1"/>
  <c r="B453" i="1"/>
  <c r="H452" i="1"/>
  <c r="G452" i="1"/>
  <c r="F452" i="1"/>
  <c r="E452" i="1"/>
  <c r="D452" i="1"/>
  <c r="C452" i="1"/>
  <c r="B452" i="1"/>
  <c r="H451" i="1"/>
  <c r="G451" i="1"/>
  <c r="F451" i="1"/>
  <c r="E451" i="1"/>
  <c r="D451" i="1"/>
  <c r="C451" i="1"/>
  <c r="B451" i="1"/>
  <c r="H450" i="1"/>
  <c r="G450" i="1"/>
  <c r="F450" i="1"/>
  <c r="E450" i="1"/>
  <c r="D450" i="1"/>
  <c r="C450" i="1"/>
  <c r="B450" i="1"/>
  <c r="H449" i="1"/>
  <c r="G449" i="1"/>
  <c r="F449" i="1"/>
  <c r="E449" i="1"/>
  <c r="D449" i="1"/>
  <c r="C449" i="1"/>
  <c r="B449" i="1"/>
  <c r="H448" i="1"/>
  <c r="G448" i="1"/>
  <c r="F448" i="1"/>
  <c r="E448" i="1"/>
  <c r="D448" i="1"/>
  <c r="C448" i="1"/>
  <c r="B448" i="1"/>
  <c r="H447" i="1"/>
  <c r="G447" i="1"/>
  <c r="F447" i="1"/>
  <c r="E447" i="1"/>
  <c r="D447" i="1"/>
  <c r="C447" i="1"/>
  <c r="B447" i="1"/>
  <c r="H446" i="1"/>
  <c r="G446" i="1"/>
  <c r="F446" i="1"/>
  <c r="E446" i="1"/>
  <c r="D446" i="1"/>
  <c r="C446" i="1"/>
  <c r="B446" i="1"/>
  <c r="H445" i="1"/>
  <c r="G445" i="1"/>
  <c r="F445" i="1"/>
  <c r="E445" i="1"/>
  <c r="D445" i="1"/>
  <c r="C445" i="1"/>
  <c r="B445" i="1"/>
  <c r="H444" i="1"/>
  <c r="G444" i="1"/>
  <c r="F444" i="1"/>
  <c r="E444" i="1"/>
  <c r="D444" i="1"/>
  <c r="C444" i="1"/>
  <c r="B444" i="1"/>
  <c r="H443" i="1"/>
  <c r="G443" i="1"/>
  <c r="F443" i="1"/>
  <c r="E443" i="1"/>
  <c r="D443" i="1"/>
  <c r="C443" i="1"/>
  <c r="B443" i="1"/>
  <c r="H442" i="1"/>
  <c r="G442" i="1"/>
  <c r="F442" i="1"/>
  <c r="E442" i="1"/>
  <c r="D442" i="1"/>
  <c r="C442" i="1"/>
  <c r="B442" i="1"/>
  <c r="H441" i="1"/>
  <c r="G441" i="1"/>
  <c r="F441" i="1"/>
  <c r="E441" i="1"/>
  <c r="D441" i="1"/>
  <c r="C441" i="1"/>
  <c r="B441" i="1"/>
  <c r="H440" i="1"/>
  <c r="G440" i="1"/>
  <c r="F440" i="1"/>
  <c r="E440" i="1"/>
  <c r="D440" i="1"/>
  <c r="C440" i="1"/>
  <c r="B440" i="1"/>
  <c r="H439" i="1"/>
  <c r="G439" i="1"/>
  <c r="F439" i="1"/>
  <c r="E439" i="1"/>
  <c r="D439" i="1"/>
  <c r="C439" i="1"/>
  <c r="B439" i="1"/>
  <c r="H438" i="1"/>
  <c r="G438" i="1"/>
  <c r="F438" i="1"/>
  <c r="E438" i="1"/>
  <c r="D438" i="1"/>
  <c r="C438" i="1"/>
  <c r="B438" i="1"/>
  <c r="H437" i="1"/>
  <c r="G437" i="1"/>
  <c r="F437" i="1"/>
  <c r="E437" i="1"/>
  <c r="D437" i="1"/>
  <c r="C437" i="1"/>
  <c r="B437" i="1"/>
  <c r="H436" i="1"/>
  <c r="G436" i="1"/>
  <c r="F436" i="1"/>
  <c r="E436" i="1"/>
  <c r="D436" i="1"/>
  <c r="C436" i="1"/>
  <c r="B436" i="1"/>
  <c r="H435" i="1"/>
  <c r="G435" i="1"/>
  <c r="F435" i="1"/>
  <c r="E435" i="1"/>
  <c r="D435" i="1"/>
  <c r="C435" i="1"/>
  <c r="B435" i="1"/>
  <c r="H434" i="1"/>
  <c r="G434" i="1"/>
  <c r="F434" i="1"/>
  <c r="E434" i="1"/>
  <c r="D434" i="1"/>
  <c r="C434" i="1"/>
  <c r="B434" i="1"/>
  <c r="H433" i="1"/>
  <c r="G433" i="1"/>
  <c r="F433" i="1"/>
  <c r="E433" i="1"/>
  <c r="D433" i="1"/>
  <c r="C433" i="1"/>
  <c r="B433" i="1"/>
  <c r="H432" i="1"/>
  <c r="G432" i="1"/>
  <c r="F432" i="1"/>
  <c r="E432" i="1"/>
  <c r="D432" i="1"/>
  <c r="C432" i="1"/>
  <c r="B432" i="1"/>
  <c r="H431" i="1"/>
  <c r="G431" i="1"/>
  <c r="F431" i="1"/>
  <c r="E431" i="1"/>
  <c r="D431" i="1"/>
  <c r="C431" i="1"/>
  <c r="B431" i="1"/>
  <c r="H430" i="1"/>
  <c r="G430" i="1"/>
  <c r="F430" i="1"/>
  <c r="E430" i="1"/>
  <c r="D430" i="1"/>
  <c r="C430" i="1"/>
  <c r="B430" i="1"/>
  <c r="H429" i="1"/>
  <c r="G429" i="1"/>
  <c r="F429" i="1"/>
  <c r="E429" i="1"/>
  <c r="D429" i="1"/>
  <c r="C429" i="1"/>
  <c r="B429" i="1"/>
  <c r="H428" i="1"/>
  <c r="G428" i="1"/>
  <c r="F428" i="1"/>
  <c r="E428" i="1"/>
  <c r="D428" i="1"/>
  <c r="C428" i="1"/>
  <c r="B428" i="1"/>
  <c r="H427" i="1"/>
  <c r="G427" i="1"/>
  <c r="F427" i="1"/>
  <c r="E427" i="1"/>
  <c r="D427" i="1"/>
  <c r="C427" i="1"/>
  <c r="B427" i="1"/>
  <c r="H426" i="1"/>
  <c r="G426" i="1"/>
  <c r="F426" i="1"/>
  <c r="E426" i="1"/>
  <c r="D426" i="1"/>
  <c r="C426" i="1"/>
  <c r="B426" i="1"/>
  <c r="H425" i="1"/>
  <c r="G425" i="1"/>
  <c r="F425" i="1"/>
  <c r="E425" i="1"/>
  <c r="D425" i="1"/>
  <c r="C425" i="1"/>
  <c r="B425" i="1"/>
  <c r="H424" i="1"/>
  <c r="G424" i="1"/>
  <c r="F424" i="1"/>
  <c r="E424" i="1"/>
  <c r="D424" i="1"/>
  <c r="C424" i="1"/>
  <c r="B424" i="1"/>
  <c r="H423" i="1"/>
  <c r="G423" i="1"/>
  <c r="F423" i="1"/>
  <c r="E423" i="1"/>
  <c r="D423" i="1"/>
  <c r="C423" i="1"/>
  <c r="B423" i="1"/>
  <c r="H422" i="1"/>
  <c r="G422" i="1"/>
  <c r="F422" i="1"/>
  <c r="E422" i="1"/>
  <c r="D422" i="1"/>
  <c r="C422" i="1"/>
  <c r="B422" i="1"/>
  <c r="H421" i="1"/>
  <c r="G421" i="1"/>
  <c r="F421" i="1"/>
  <c r="E421" i="1"/>
  <c r="D421" i="1"/>
  <c r="C421" i="1"/>
  <c r="B421" i="1"/>
  <c r="H420" i="1"/>
  <c r="G420" i="1"/>
  <c r="F420" i="1"/>
  <c r="E420" i="1"/>
  <c r="D420" i="1"/>
  <c r="C420" i="1"/>
  <c r="B420" i="1"/>
  <c r="H419" i="1"/>
  <c r="G419" i="1"/>
  <c r="F419" i="1"/>
  <c r="E419" i="1"/>
  <c r="D419" i="1"/>
  <c r="C419" i="1"/>
  <c r="B419" i="1"/>
  <c r="H418" i="1"/>
  <c r="G418" i="1"/>
  <c r="F418" i="1"/>
  <c r="E418" i="1"/>
  <c r="D418" i="1"/>
  <c r="C418" i="1"/>
  <c r="B418" i="1"/>
  <c r="H417" i="1"/>
  <c r="G417" i="1"/>
  <c r="F417" i="1"/>
  <c r="E417" i="1"/>
  <c r="D417" i="1"/>
  <c r="C417" i="1"/>
  <c r="B417" i="1"/>
  <c r="H416" i="1"/>
  <c r="G416" i="1"/>
  <c r="F416" i="1"/>
  <c r="E416" i="1"/>
  <c r="D416" i="1"/>
  <c r="C416" i="1"/>
  <c r="B416" i="1"/>
  <c r="H415" i="1"/>
  <c r="G415" i="1"/>
  <c r="F415" i="1"/>
  <c r="E415" i="1"/>
  <c r="D415" i="1"/>
  <c r="C415" i="1"/>
  <c r="B415" i="1"/>
  <c r="H414" i="1"/>
  <c r="G414" i="1"/>
  <c r="F414" i="1"/>
  <c r="E414" i="1"/>
  <c r="D414" i="1"/>
  <c r="C414" i="1"/>
  <c r="B414" i="1"/>
  <c r="H413" i="1"/>
  <c r="G413" i="1"/>
  <c r="F413" i="1"/>
  <c r="E413" i="1"/>
  <c r="D413" i="1"/>
  <c r="C413" i="1"/>
  <c r="B413" i="1"/>
  <c r="H412" i="1"/>
  <c r="G412" i="1"/>
  <c r="F412" i="1"/>
  <c r="E412" i="1"/>
  <c r="D412" i="1"/>
  <c r="C412" i="1"/>
  <c r="B412" i="1"/>
  <c r="H411" i="1"/>
  <c r="G411" i="1"/>
  <c r="F411" i="1"/>
  <c r="E411" i="1"/>
  <c r="D411" i="1"/>
  <c r="C411" i="1"/>
  <c r="B411" i="1"/>
  <c r="H410" i="1"/>
  <c r="G410" i="1"/>
  <c r="F410" i="1"/>
  <c r="E410" i="1"/>
  <c r="D410" i="1"/>
  <c r="C410" i="1"/>
  <c r="B410" i="1"/>
  <c r="H409" i="1"/>
  <c r="G409" i="1"/>
  <c r="F409" i="1"/>
  <c r="E409" i="1"/>
  <c r="D409" i="1"/>
  <c r="C409" i="1"/>
  <c r="B409" i="1"/>
  <c r="H408" i="1"/>
  <c r="G408" i="1"/>
  <c r="F408" i="1"/>
  <c r="E408" i="1"/>
  <c r="D408" i="1"/>
  <c r="C408" i="1"/>
  <c r="B408" i="1"/>
  <c r="H407" i="1"/>
  <c r="G407" i="1"/>
  <c r="F407" i="1"/>
  <c r="E407" i="1"/>
  <c r="D407" i="1"/>
  <c r="C407" i="1"/>
  <c r="B407" i="1"/>
  <c r="H406" i="1"/>
  <c r="G406" i="1"/>
  <c r="F406" i="1"/>
  <c r="E406" i="1"/>
  <c r="D406" i="1"/>
  <c r="C406" i="1"/>
  <c r="B406" i="1"/>
  <c r="H405" i="1"/>
  <c r="G405" i="1"/>
  <c r="F405" i="1"/>
  <c r="E405" i="1"/>
  <c r="D405" i="1"/>
  <c r="C405" i="1"/>
  <c r="B405" i="1"/>
  <c r="H404" i="1"/>
  <c r="G404" i="1"/>
  <c r="F404" i="1"/>
  <c r="E404" i="1"/>
  <c r="D404" i="1"/>
  <c r="C404" i="1"/>
  <c r="B404" i="1"/>
  <c r="H403" i="1"/>
  <c r="G403" i="1"/>
  <c r="F403" i="1"/>
  <c r="E403" i="1"/>
  <c r="D403" i="1"/>
  <c r="C403" i="1"/>
  <c r="B403" i="1"/>
  <c r="H402" i="1"/>
  <c r="G402" i="1"/>
  <c r="F402" i="1"/>
  <c r="E402" i="1"/>
  <c r="D402" i="1"/>
  <c r="C402" i="1"/>
  <c r="B402" i="1"/>
  <c r="H401" i="1"/>
  <c r="G401" i="1"/>
  <c r="F401" i="1"/>
  <c r="E401" i="1"/>
  <c r="D401" i="1"/>
  <c r="C401" i="1"/>
  <c r="B401" i="1"/>
  <c r="H400" i="1"/>
  <c r="G400" i="1"/>
  <c r="F400" i="1"/>
  <c r="E400" i="1"/>
  <c r="D400" i="1"/>
  <c r="C400" i="1"/>
  <c r="B400" i="1"/>
  <c r="H399" i="1"/>
  <c r="G399" i="1"/>
  <c r="F399" i="1"/>
  <c r="E399" i="1"/>
  <c r="D399" i="1"/>
  <c r="C399" i="1"/>
  <c r="B399" i="1"/>
  <c r="H398" i="1"/>
  <c r="G398" i="1"/>
  <c r="F398" i="1"/>
  <c r="E398" i="1"/>
  <c r="D398" i="1"/>
  <c r="C398" i="1"/>
  <c r="B398" i="1"/>
  <c r="H397" i="1"/>
  <c r="G397" i="1"/>
  <c r="F397" i="1"/>
  <c r="E397" i="1"/>
  <c r="D397" i="1"/>
  <c r="C397" i="1"/>
  <c r="B397" i="1"/>
  <c r="H396" i="1"/>
  <c r="G396" i="1"/>
  <c r="F396" i="1"/>
  <c r="E396" i="1"/>
  <c r="D396" i="1"/>
  <c r="C396" i="1"/>
  <c r="B396" i="1"/>
  <c r="H395" i="1"/>
  <c r="G395" i="1"/>
  <c r="F395" i="1"/>
  <c r="E395" i="1"/>
  <c r="D395" i="1"/>
  <c r="C395" i="1"/>
  <c r="B395" i="1"/>
  <c r="H394" i="1"/>
  <c r="G394" i="1"/>
  <c r="F394" i="1"/>
  <c r="E394" i="1"/>
  <c r="D394" i="1"/>
  <c r="C394" i="1"/>
  <c r="B394" i="1"/>
  <c r="H393" i="1"/>
  <c r="G393" i="1"/>
  <c r="F393" i="1"/>
  <c r="E393" i="1"/>
  <c r="D393" i="1"/>
  <c r="C393" i="1"/>
  <c r="B393" i="1"/>
  <c r="H392" i="1"/>
  <c r="G392" i="1"/>
  <c r="F392" i="1"/>
  <c r="E392" i="1"/>
  <c r="D392" i="1"/>
  <c r="C392" i="1"/>
  <c r="B392" i="1"/>
  <c r="H391" i="1"/>
  <c r="G391" i="1"/>
  <c r="F391" i="1"/>
  <c r="E391" i="1"/>
  <c r="D391" i="1"/>
  <c r="C391" i="1"/>
  <c r="B391" i="1"/>
  <c r="H390" i="1"/>
  <c r="G390" i="1"/>
  <c r="F390" i="1"/>
  <c r="E390" i="1"/>
  <c r="D390" i="1"/>
  <c r="C390" i="1"/>
  <c r="B390" i="1"/>
  <c r="H389" i="1"/>
  <c r="G389" i="1"/>
  <c r="F389" i="1"/>
  <c r="E389" i="1"/>
  <c r="D389" i="1"/>
  <c r="C389" i="1"/>
  <c r="B389" i="1"/>
  <c r="H388" i="1"/>
  <c r="G388" i="1"/>
  <c r="F388" i="1"/>
  <c r="E388" i="1"/>
  <c r="D388" i="1"/>
  <c r="C388" i="1"/>
  <c r="B388" i="1"/>
  <c r="H387" i="1"/>
  <c r="G387" i="1"/>
  <c r="F387" i="1"/>
  <c r="E387" i="1"/>
  <c r="D387" i="1"/>
  <c r="C387" i="1"/>
  <c r="B387" i="1"/>
  <c r="H386" i="1"/>
  <c r="G386" i="1"/>
  <c r="F386" i="1"/>
  <c r="E386" i="1"/>
  <c r="D386" i="1"/>
  <c r="C386" i="1"/>
  <c r="B386" i="1"/>
  <c r="H385" i="1"/>
  <c r="G385" i="1"/>
  <c r="F385" i="1"/>
  <c r="E385" i="1"/>
  <c r="D385" i="1"/>
  <c r="C385" i="1"/>
  <c r="B385" i="1"/>
  <c r="H384" i="1"/>
  <c r="G384" i="1"/>
  <c r="F384" i="1"/>
  <c r="E384" i="1"/>
  <c r="D384" i="1"/>
  <c r="C384" i="1"/>
  <c r="B384" i="1"/>
  <c r="H383" i="1"/>
  <c r="G383" i="1"/>
  <c r="F383" i="1"/>
  <c r="E383" i="1"/>
  <c r="D383" i="1"/>
  <c r="C383" i="1"/>
  <c r="B383" i="1"/>
  <c r="H382" i="1"/>
  <c r="G382" i="1"/>
  <c r="F382" i="1"/>
  <c r="E382" i="1"/>
  <c r="D382" i="1"/>
  <c r="C382" i="1"/>
  <c r="B382" i="1"/>
  <c r="H381" i="1"/>
  <c r="G381" i="1"/>
  <c r="F381" i="1"/>
  <c r="E381" i="1"/>
  <c r="D381" i="1"/>
  <c r="C381" i="1"/>
  <c r="B381" i="1"/>
  <c r="H380" i="1"/>
  <c r="G380" i="1"/>
  <c r="F380" i="1"/>
  <c r="E380" i="1"/>
  <c r="D380" i="1"/>
  <c r="C380" i="1"/>
  <c r="B380" i="1"/>
  <c r="H379" i="1"/>
  <c r="G379" i="1"/>
  <c r="F379" i="1"/>
  <c r="E379" i="1"/>
  <c r="D379" i="1"/>
  <c r="C379" i="1"/>
  <c r="B379" i="1"/>
  <c r="H378" i="1"/>
  <c r="G378" i="1"/>
  <c r="F378" i="1"/>
  <c r="E378" i="1"/>
  <c r="D378" i="1"/>
  <c r="C378" i="1"/>
  <c r="B378" i="1"/>
  <c r="H377" i="1"/>
  <c r="G377" i="1"/>
  <c r="F377" i="1"/>
  <c r="E377" i="1"/>
  <c r="D377" i="1"/>
  <c r="C377" i="1"/>
  <c r="B377" i="1"/>
  <c r="H376" i="1"/>
  <c r="G376" i="1"/>
  <c r="F376" i="1"/>
  <c r="E376" i="1"/>
  <c r="D376" i="1"/>
  <c r="C376" i="1"/>
  <c r="B376" i="1"/>
  <c r="H375" i="1"/>
  <c r="G375" i="1"/>
  <c r="F375" i="1"/>
  <c r="E375" i="1"/>
  <c r="D375" i="1"/>
  <c r="C375" i="1"/>
  <c r="B375" i="1"/>
  <c r="H374" i="1"/>
  <c r="G374" i="1"/>
  <c r="F374" i="1"/>
  <c r="E374" i="1"/>
  <c r="D374" i="1"/>
  <c r="C374" i="1"/>
  <c r="B374" i="1"/>
  <c r="H373" i="1"/>
  <c r="G373" i="1"/>
  <c r="F373" i="1"/>
  <c r="E373" i="1"/>
  <c r="D373" i="1"/>
  <c r="C373" i="1"/>
  <c r="B373" i="1"/>
  <c r="H372" i="1"/>
  <c r="G372" i="1"/>
  <c r="F372" i="1"/>
  <c r="E372" i="1"/>
  <c r="D372" i="1"/>
  <c r="C372" i="1"/>
  <c r="B372" i="1"/>
  <c r="H371" i="1"/>
  <c r="G371" i="1"/>
  <c r="F371" i="1"/>
  <c r="E371" i="1"/>
  <c r="D371" i="1"/>
  <c r="C371" i="1"/>
  <c r="B371" i="1"/>
  <c r="H370" i="1"/>
  <c r="G370" i="1"/>
  <c r="F370" i="1"/>
  <c r="E370" i="1"/>
  <c r="D370" i="1"/>
  <c r="C370" i="1"/>
  <c r="B370" i="1"/>
  <c r="H369" i="1"/>
  <c r="G369" i="1"/>
  <c r="F369" i="1"/>
  <c r="E369" i="1"/>
  <c r="D369" i="1"/>
  <c r="C369" i="1"/>
  <c r="B369" i="1"/>
  <c r="H368" i="1"/>
  <c r="G368" i="1"/>
  <c r="F368" i="1"/>
  <c r="E368" i="1"/>
  <c r="D368" i="1"/>
  <c r="C368" i="1"/>
  <c r="B368" i="1"/>
  <c r="H367" i="1"/>
  <c r="G367" i="1"/>
  <c r="F367" i="1"/>
  <c r="E367" i="1"/>
  <c r="D367" i="1"/>
  <c r="C367" i="1"/>
  <c r="B367" i="1"/>
  <c r="H366" i="1"/>
  <c r="G366" i="1"/>
  <c r="F366" i="1"/>
  <c r="E366" i="1"/>
  <c r="D366" i="1"/>
  <c r="C366" i="1"/>
  <c r="B366" i="1"/>
  <c r="H365" i="1"/>
  <c r="G365" i="1"/>
  <c r="F365" i="1"/>
  <c r="E365" i="1"/>
  <c r="D365" i="1"/>
  <c r="C365" i="1"/>
  <c r="B365" i="1"/>
  <c r="H364" i="1"/>
  <c r="G364" i="1"/>
  <c r="F364" i="1"/>
  <c r="E364" i="1"/>
  <c r="D364" i="1"/>
  <c r="C364" i="1"/>
  <c r="B364" i="1"/>
  <c r="H363" i="1"/>
  <c r="G363" i="1"/>
  <c r="F363" i="1"/>
  <c r="E363" i="1"/>
  <c r="D363" i="1"/>
  <c r="C363" i="1"/>
  <c r="B363" i="1"/>
  <c r="H362" i="1"/>
  <c r="G362" i="1"/>
  <c r="F362" i="1"/>
  <c r="E362" i="1"/>
  <c r="D362" i="1"/>
  <c r="C362" i="1"/>
  <c r="B362" i="1"/>
  <c r="H361" i="1"/>
  <c r="G361" i="1"/>
  <c r="F361" i="1"/>
  <c r="E361" i="1"/>
  <c r="D361" i="1"/>
  <c r="C361" i="1"/>
  <c r="B361" i="1"/>
  <c r="H360" i="1"/>
  <c r="G360" i="1"/>
  <c r="F360" i="1"/>
  <c r="E360" i="1"/>
  <c r="D360" i="1"/>
  <c r="C360" i="1"/>
  <c r="B360" i="1"/>
  <c r="H359" i="1"/>
  <c r="G359" i="1"/>
  <c r="F359" i="1"/>
  <c r="E359" i="1"/>
  <c r="D359" i="1"/>
  <c r="C359" i="1"/>
  <c r="B359" i="1"/>
  <c r="H358" i="1"/>
  <c r="G358" i="1"/>
  <c r="F358" i="1"/>
  <c r="E358" i="1"/>
  <c r="D358" i="1"/>
  <c r="C358" i="1"/>
  <c r="B358" i="1"/>
  <c r="H357" i="1"/>
  <c r="G357" i="1"/>
  <c r="F357" i="1"/>
  <c r="E357" i="1"/>
  <c r="D357" i="1"/>
  <c r="C357" i="1"/>
  <c r="B357" i="1"/>
  <c r="H356" i="1"/>
  <c r="G356" i="1"/>
  <c r="F356" i="1"/>
  <c r="E356" i="1"/>
  <c r="D356" i="1"/>
  <c r="C356" i="1"/>
  <c r="B356" i="1"/>
  <c r="H355" i="1"/>
  <c r="G355" i="1"/>
  <c r="F355" i="1"/>
  <c r="E355" i="1"/>
  <c r="D355" i="1"/>
  <c r="C355" i="1"/>
  <c r="B355" i="1"/>
  <c r="H354" i="1"/>
  <c r="G354" i="1"/>
  <c r="F354" i="1"/>
  <c r="E354" i="1"/>
  <c r="D354" i="1"/>
  <c r="C354" i="1"/>
  <c r="B354" i="1"/>
  <c r="H353" i="1"/>
  <c r="G353" i="1"/>
  <c r="F353" i="1"/>
  <c r="E353" i="1"/>
  <c r="D353" i="1"/>
  <c r="C353" i="1"/>
  <c r="B353" i="1"/>
  <c r="H352" i="1"/>
  <c r="G352" i="1"/>
  <c r="F352" i="1"/>
  <c r="E352" i="1"/>
  <c r="D352" i="1"/>
  <c r="C352" i="1"/>
  <c r="B352" i="1"/>
  <c r="H351" i="1"/>
  <c r="G351" i="1"/>
  <c r="F351" i="1"/>
  <c r="E351" i="1"/>
  <c r="D351" i="1"/>
  <c r="C351" i="1"/>
  <c r="B351" i="1"/>
  <c r="H350" i="1"/>
  <c r="G350" i="1"/>
  <c r="F350" i="1"/>
  <c r="E350" i="1"/>
  <c r="D350" i="1"/>
  <c r="C350" i="1"/>
  <c r="B350" i="1"/>
  <c r="H349" i="1"/>
  <c r="G349" i="1"/>
  <c r="F349" i="1"/>
  <c r="E349" i="1"/>
  <c r="D349" i="1"/>
  <c r="C349" i="1"/>
  <c r="B349" i="1"/>
  <c r="H348" i="1"/>
  <c r="G348" i="1"/>
  <c r="F348" i="1"/>
  <c r="E348" i="1"/>
  <c r="D348" i="1"/>
  <c r="C348" i="1"/>
  <c r="B348" i="1"/>
  <c r="H347" i="1"/>
  <c r="G347" i="1"/>
  <c r="F347" i="1"/>
  <c r="E347" i="1"/>
  <c r="D347" i="1"/>
  <c r="C347" i="1"/>
  <c r="B347" i="1"/>
  <c r="H346" i="1"/>
  <c r="G346" i="1"/>
  <c r="F346" i="1"/>
  <c r="E346" i="1"/>
  <c r="D346" i="1"/>
  <c r="C346" i="1"/>
  <c r="B346" i="1"/>
  <c r="H345" i="1"/>
  <c r="G345" i="1"/>
  <c r="F345" i="1"/>
  <c r="E345" i="1"/>
  <c r="D345" i="1"/>
  <c r="C345" i="1"/>
  <c r="B345" i="1"/>
  <c r="H344" i="1"/>
  <c r="G344" i="1"/>
  <c r="F344" i="1"/>
  <c r="E344" i="1"/>
  <c r="D344" i="1"/>
  <c r="C344" i="1"/>
  <c r="B344" i="1"/>
  <c r="H343" i="1"/>
  <c r="G343" i="1"/>
  <c r="F343" i="1"/>
  <c r="E343" i="1"/>
  <c r="D343" i="1"/>
  <c r="C343" i="1"/>
  <c r="B343" i="1"/>
  <c r="H342" i="1"/>
  <c r="G342" i="1"/>
  <c r="F342" i="1"/>
  <c r="E342" i="1"/>
  <c r="D342" i="1"/>
  <c r="C342" i="1"/>
  <c r="B342" i="1"/>
  <c r="H341" i="1"/>
  <c r="G341" i="1"/>
  <c r="F341" i="1"/>
  <c r="E341" i="1"/>
  <c r="D341" i="1"/>
  <c r="C341" i="1"/>
  <c r="B341" i="1"/>
  <c r="H340" i="1"/>
  <c r="G340" i="1"/>
  <c r="F340" i="1"/>
  <c r="E340" i="1"/>
  <c r="D340" i="1"/>
  <c r="C340" i="1"/>
  <c r="B340" i="1"/>
  <c r="H339" i="1"/>
  <c r="G339" i="1"/>
  <c r="F339" i="1"/>
  <c r="E339" i="1"/>
  <c r="D339" i="1"/>
  <c r="C339" i="1"/>
  <c r="B339" i="1"/>
  <c r="H338" i="1"/>
  <c r="G338" i="1"/>
  <c r="F338" i="1"/>
  <c r="E338" i="1"/>
  <c r="D338" i="1"/>
  <c r="C338" i="1"/>
  <c r="B338" i="1"/>
  <c r="H337" i="1"/>
  <c r="G337" i="1"/>
  <c r="F337" i="1"/>
  <c r="E337" i="1"/>
  <c r="D337" i="1"/>
  <c r="C337" i="1"/>
  <c r="B337" i="1"/>
  <c r="H336" i="1"/>
  <c r="G336" i="1"/>
  <c r="F336" i="1"/>
  <c r="E336" i="1"/>
  <c r="D336" i="1"/>
  <c r="C336" i="1"/>
  <c r="B336" i="1"/>
  <c r="H335" i="1"/>
  <c r="G335" i="1"/>
  <c r="F335" i="1"/>
  <c r="E335" i="1"/>
  <c r="D335" i="1"/>
  <c r="C335" i="1"/>
  <c r="B335" i="1"/>
  <c r="H334" i="1"/>
  <c r="G334" i="1"/>
  <c r="F334" i="1"/>
  <c r="E334" i="1"/>
  <c r="D334" i="1"/>
  <c r="C334" i="1"/>
  <c r="B334" i="1"/>
  <c r="H333" i="1"/>
  <c r="G333" i="1"/>
  <c r="F333" i="1"/>
  <c r="E333" i="1"/>
  <c r="D333" i="1"/>
  <c r="C333" i="1"/>
  <c r="B333" i="1"/>
  <c r="H332" i="1"/>
  <c r="G332" i="1"/>
  <c r="F332" i="1"/>
  <c r="E332" i="1"/>
  <c r="D332" i="1"/>
  <c r="C332" i="1"/>
  <c r="B332" i="1"/>
  <c r="H331" i="1"/>
  <c r="G331" i="1"/>
  <c r="F331" i="1"/>
  <c r="E331" i="1"/>
  <c r="D331" i="1"/>
  <c r="C331" i="1"/>
  <c r="B331" i="1"/>
  <c r="H330" i="1"/>
  <c r="G330" i="1"/>
  <c r="F330" i="1"/>
  <c r="E330" i="1"/>
  <c r="D330" i="1"/>
  <c r="C330" i="1"/>
  <c r="B330" i="1"/>
  <c r="H329" i="1"/>
  <c r="G329" i="1"/>
  <c r="F329" i="1"/>
  <c r="E329" i="1"/>
  <c r="D329" i="1"/>
  <c r="C329" i="1"/>
  <c r="B329" i="1"/>
  <c r="H328" i="1"/>
  <c r="G328" i="1"/>
  <c r="F328" i="1"/>
  <c r="E328" i="1"/>
  <c r="D328" i="1"/>
  <c r="C328" i="1"/>
  <c r="B328" i="1"/>
  <c r="H327" i="1"/>
  <c r="G327" i="1"/>
  <c r="F327" i="1"/>
  <c r="E327" i="1"/>
  <c r="D327" i="1"/>
  <c r="C327" i="1"/>
  <c r="B327" i="1"/>
  <c r="H326" i="1"/>
  <c r="G326" i="1"/>
  <c r="F326" i="1"/>
  <c r="E326" i="1"/>
  <c r="D326" i="1"/>
  <c r="C326" i="1"/>
  <c r="B326" i="1"/>
  <c r="H325" i="1"/>
  <c r="G325" i="1"/>
  <c r="F325" i="1"/>
  <c r="E325" i="1"/>
  <c r="D325" i="1"/>
  <c r="C325" i="1"/>
  <c r="B325" i="1"/>
  <c r="H324" i="1"/>
  <c r="G324" i="1"/>
  <c r="F324" i="1"/>
  <c r="E324" i="1"/>
  <c r="D324" i="1"/>
  <c r="C324" i="1"/>
  <c r="B324" i="1"/>
  <c r="H323" i="1"/>
  <c r="G323" i="1"/>
  <c r="F323" i="1"/>
  <c r="E323" i="1"/>
  <c r="D323" i="1"/>
  <c r="C323" i="1"/>
  <c r="B323" i="1"/>
  <c r="H322" i="1"/>
  <c r="G322" i="1"/>
  <c r="F322" i="1"/>
  <c r="E322" i="1"/>
  <c r="D322" i="1"/>
  <c r="C322" i="1"/>
  <c r="B322" i="1"/>
  <c r="H321" i="1"/>
  <c r="G321" i="1"/>
  <c r="F321" i="1"/>
  <c r="E321" i="1"/>
  <c r="D321" i="1"/>
  <c r="C321" i="1"/>
  <c r="B321" i="1"/>
  <c r="H320" i="1"/>
  <c r="G320" i="1"/>
  <c r="F320" i="1"/>
  <c r="E320" i="1"/>
  <c r="D320" i="1"/>
  <c r="C320" i="1"/>
  <c r="B320" i="1"/>
  <c r="H319" i="1"/>
  <c r="G319" i="1"/>
  <c r="F319" i="1"/>
  <c r="E319" i="1"/>
  <c r="D319" i="1"/>
  <c r="C319" i="1"/>
  <c r="B319" i="1"/>
  <c r="H318" i="1"/>
  <c r="G318" i="1"/>
  <c r="F318" i="1"/>
  <c r="E318" i="1"/>
  <c r="D318" i="1"/>
  <c r="C318" i="1"/>
  <c r="B318" i="1"/>
  <c r="H317" i="1"/>
  <c r="G317" i="1"/>
  <c r="F317" i="1"/>
  <c r="E317" i="1"/>
  <c r="D317" i="1"/>
  <c r="C317" i="1"/>
  <c r="B317" i="1"/>
  <c r="H316" i="1"/>
  <c r="G316" i="1"/>
  <c r="F316" i="1"/>
  <c r="E316" i="1"/>
  <c r="D316" i="1"/>
  <c r="C316" i="1"/>
  <c r="B316" i="1"/>
  <c r="H315" i="1"/>
  <c r="G315" i="1"/>
  <c r="F315" i="1"/>
  <c r="E315" i="1"/>
  <c r="D315" i="1"/>
  <c r="C315" i="1"/>
  <c r="B315" i="1"/>
  <c r="H314" i="1"/>
  <c r="G314" i="1"/>
  <c r="F314" i="1"/>
  <c r="E314" i="1"/>
  <c r="D314" i="1"/>
  <c r="C314" i="1"/>
  <c r="B314" i="1"/>
  <c r="H313" i="1"/>
  <c r="G313" i="1"/>
  <c r="F313" i="1"/>
  <c r="E313" i="1"/>
  <c r="D313" i="1"/>
  <c r="C313" i="1"/>
  <c r="B313" i="1"/>
  <c r="H312" i="1"/>
  <c r="G312" i="1"/>
  <c r="F312" i="1"/>
  <c r="E312" i="1"/>
  <c r="D312" i="1"/>
  <c r="C312" i="1"/>
  <c r="B312" i="1"/>
  <c r="H311" i="1"/>
  <c r="G311" i="1"/>
  <c r="F311" i="1"/>
  <c r="E311" i="1"/>
  <c r="D311" i="1"/>
  <c r="C311" i="1"/>
  <c r="B311" i="1"/>
  <c r="H310" i="1"/>
  <c r="G310" i="1"/>
  <c r="F310" i="1"/>
  <c r="E310" i="1"/>
  <c r="D310" i="1"/>
  <c r="C310" i="1"/>
  <c r="B310" i="1"/>
  <c r="H309" i="1"/>
  <c r="G309" i="1"/>
  <c r="F309" i="1"/>
  <c r="E309" i="1"/>
  <c r="D309" i="1"/>
  <c r="C309" i="1"/>
  <c r="B309" i="1"/>
  <c r="H308" i="1"/>
  <c r="G308" i="1"/>
  <c r="F308" i="1"/>
  <c r="E308" i="1"/>
  <c r="D308" i="1"/>
  <c r="C308" i="1"/>
  <c r="B308" i="1"/>
  <c r="H307" i="1"/>
  <c r="G307" i="1"/>
  <c r="F307" i="1"/>
  <c r="E307" i="1"/>
  <c r="D307" i="1"/>
  <c r="C307" i="1"/>
  <c r="B307" i="1"/>
  <c r="H306" i="1"/>
  <c r="G306" i="1"/>
  <c r="F306" i="1"/>
  <c r="E306" i="1"/>
  <c r="D306" i="1"/>
  <c r="C306" i="1"/>
  <c r="B306" i="1"/>
  <c r="H305" i="1"/>
  <c r="G305" i="1"/>
  <c r="F305" i="1"/>
  <c r="E305" i="1"/>
  <c r="D305" i="1"/>
  <c r="C305" i="1"/>
  <c r="B305" i="1"/>
  <c r="H304" i="1"/>
  <c r="G304" i="1"/>
  <c r="F304" i="1"/>
  <c r="E304" i="1"/>
  <c r="D304" i="1"/>
  <c r="C304" i="1"/>
  <c r="B304" i="1"/>
  <c r="H303" i="1"/>
  <c r="G303" i="1"/>
  <c r="F303" i="1"/>
  <c r="E303" i="1"/>
  <c r="D303" i="1"/>
  <c r="C303" i="1"/>
  <c r="B303" i="1"/>
  <c r="H302" i="1"/>
  <c r="G302" i="1"/>
  <c r="F302" i="1"/>
  <c r="E302" i="1"/>
  <c r="D302" i="1"/>
  <c r="C302" i="1"/>
  <c r="B302" i="1"/>
  <c r="H301" i="1"/>
  <c r="G301" i="1"/>
  <c r="F301" i="1"/>
  <c r="E301" i="1"/>
  <c r="D301" i="1"/>
  <c r="C301" i="1"/>
  <c r="B301" i="1"/>
  <c r="H300" i="1"/>
  <c r="G300" i="1"/>
  <c r="F300" i="1"/>
  <c r="E300" i="1"/>
  <c r="D300" i="1"/>
  <c r="C300" i="1"/>
  <c r="B300" i="1"/>
  <c r="H299" i="1"/>
  <c r="G299" i="1"/>
  <c r="F299" i="1"/>
  <c r="E299" i="1"/>
  <c r="D299" i="1"/>
  <c r="C299" i="1"/>
  <c r="B299" i="1"/>
  <c r="H298" i="1"/>
  <c r="G298" i="1"/>
  <c r="F298" i="1"/>
  <c r="E298" i="1"/>
  <c r="D298" i="1"/>
  <c r="C298" i="1"/>
  <c r="B298" i="1"/>
  <c r="H297" i="1"/>
  <c r="G297" i="1"/>
  <c r="F297" i="1"/>
  <c r="E297" i="1"/>
  <c r="D297" i="1"/>
  <c r="C297" i="1"/>
  <c r="B297" i="1"/>
  <c r="H296" i="1"/>
  <c r="G296" i="1"/>
  <c r="F296" i="1"/>
  <c r="E296" i="1"/>
  <c r="D296" i="1"/>
  <c r="C296" i="1"/>
  <c r="B296" i="1"/>
  <c r="H295" i="1"/>
  <c r="G295" i="1"/>
  <c r="F295" i="1"/>
  <c r="E295" i="1"/>
  <c r="D295" i="1"/>
  <c r="C295" i="1"/>
  <c r="B295" i="1"/>
  <c r="H294" i="1"/>
  <c r="G294" i="1"/>
  <c r="F294" i="1"/>
  <c r="E294" i="1"/>
  <c r="D294" i="1"/>
  <c r="C294" i="1"/>
  <c r="B294" i="1"/>
  <c r="H293" i="1"/>
  <c r="G293" i="1"/>
  <c r="F293" i="1"/>
  <c r="E293" i="1"/>
  <c r="D293" i="1"/>
  <c r="C293" i="1"/>
  <c r="B293" i="1"/>
  <c r="H292" i="1"/>
  <c r="G292" i="1"/>
  <c r="F292" i="1"/>
  <c r="E292" i="1"/>
  <c r="D292" i="1"/>
  <c r="C292" i="1"/>
  <c r="B292" i="1"/>
  <c r="H291" i="1"/>
  <c r="G291" i="1"/>
  <c r="F291" i="1"/>
  <c r="E291" i="1"/>
  <c r="D291" i="1"/>
  <c r="C291" i="1"/>
  <c r="B291" i="1"/>
  <c r="H290" i="1"/>
  <c r="G290" i="1"/>
  <c r="F290" i="1"/>
  <c r="E290" i="1"/>
  <c r="D290" i="1"/>
  <c r="C290" i="1"/>
  <c r="B290" i="1"/>
  <c r="H289" i="1"/>
  <c r="G289" i="1"/>
  <c r="F289" i="1"/>
  <c r="E289" i="1"/>
  <c r="D289" i="1"/>
  <c r="C289" i="1"/>
  <c r="B289" i="1"/>
  <c r="H288" i="1"/>
  <c r="G288" i="1"/>
  <c r="F288" i="1"/>
  <c r="E288" i="1"/>
  <c r="D288" i="1"/>
  <c r="C288" i="1"/>
  <c r="B288" i="1"/>
  <c r="H287" i="1"/>
  <c r="G287" i="1"/>
  <c r="F287" i="1"/>
  <c r="E287" i="1"/>
  <c r="D287" i="1"/>
  <c r="C287" i="1"/>
  <c r="B287" i="1"/>
  <c r="H286" i="1"/>
  <c r="G286" i="1"/>
  <c r="F286" i="1"/>
  <c r="E286" i="1"/>
  <c r="D286" i="1"/>
  <c r="C286" i="1"/>
  <c r="B286" i="1"/>
  <c r="H285" i="1"/>
  <c r="G285" i="1"/>
  <c r="F285" i="1"/>
  <c r="E285" i="1"/>
  <c r="D285" i="1"/>
  <c r="C285" i="1"/>
  <c r="B285" i="1"/>
  <c r="H284" i="1"/>
  <c r="G284" i="1"/>
  <c r="F284" i="1"/>
  <c r="E284" i="1"/>
  <c r="D284" i="1"/>
  <c r="C284" i="1"/>
  <c r="B284" i="1"/>
  <c r="H283" i="1"/>
  <c r="G283" i="1"/>
  <c r="F283" i="1"/>
  <c r="E283" i="1"/>
  <c r="D283" i="1"/>
  <c r="C283" i="1"/>
  <c r="B283" i="1"/>
  <c r="H282" i="1"/>
  <c r="G282" i="1"/>
  <c r="F282" i="1"/>
  <c r="E282" i="1"/>
  <c r="D282" i="1"/>
  <c r="C282" i="1"/>
  <c r="B282" i="1"/>
  <c r="H281" i="1"/>
  <c r="G281" i="1"/>
  <c r="F281" i="1"/>
  <c r="E281" i="1"/>
  <c r="D281" i="1"/>
  <c r="C281" i="1"/>
  <c r="B281" i="1"/>
  <c r="H280" i="1"/>
  <c r="G280" i="1"/>
  <c r="F280" i="1"/>
  <c r="E280" i="1"/>
  <c r="D280" i="1"/>
  <c r="C280" i="1"/>
  <c r="B280" i="1"/>
  <c r="H279" i="1"/>
  <c r="G279" i="1"/>
  <c r="F279" i="1"/>
  <c r="E279" i="1"/>
  <c r="D279" i="1"/>
  <c r="C279" i="1"/>
  <c r="B279" i="1"/>
  <c r="H278" i="1"/>
  <c r="G278" i="1"/>
  <c r="F278" i="1"/>
  <c r="E278" i="1"/>
  <c r="D278" i="1"/>
  <c r="C278" i="1"/>
  <c r="B278" i="1"/>
  <c r="H277" i="1"/>
  <c r="G277" i="1"/>
  <c r="F277" i="1"/>
  <c r="E277" i="1"/>
  <c r="D277" i="1"/>
  <c r="C277" i="1"/>
  <c r="B277" i="1"/>
  <c r="H276" i="1"/>
  <c r="G276" i="1"/>
  <c r="F276" i="1"/>
  <c r="E276" i="1"/>
  <c r="D276" i="1"/>
  <c r="C276" i="1"/>
  <c r="B276" i="1"/>
  <c r="H275" i="1"/>
  <c r="G275" i="1"/>
  <c r="F275" i="1"/>
  <c r="E275" i="1"/>
  <c r="D275" i="1"/>
  <c r="C275" i="1"/>
  <c r="B275" i="1"/>
  <c r="H274" i="1"/>
  <c r="G274" i="1"/>
  <c r="F274" i="1"/>
  <c r="E274" i="1"/>
  <c r="D274" i="1"/>
  <c r="C274" i="1"/>
  <c r="B274" i="1"/>
  <c r="H273" i="1"/>
  <c r="G273" i="1"/>
  <c r="F273" i="1"/>
  <c r="E273" i="1"/>
  <c r="D273" i="1"/>
  <c r="C273" i="1"/>
  <c r="B273" i="1"/>
  <c r="H272" i="1"/>
  <c r="G272" i="1"/>
  <c r="F272" i="1"/>
  <c r="E272" i="1"/>
  <c r="D272" i="1"/>
  <c r="C272" i="1"/>
  <c r="B272" i="1"/>
  <c r="H271" i="1"/>
  <c r="G271" i="1"/>
  <c r="F271" i="1"/>
  <c r="E271" i="1"/>
  <c r="D271" i="1"/>
  <c r="C271" i="1"/>
  <c r="B271" i="1"/>
  <c r="H270" i="1"/>
  <c r="G270" i="1"/>
  <c r="F270" i="1"/>
  <c r="E270" i="1"/>
  <c r="D270" i="1"/>
  <c r="C270" i="1"/>
  <c r="B270" i="1"/>
  <c r="H269" i="1"/>
  <c r="G269" i="1"/>
  <c r="F269" i="1"/>
  <c r="E269" i="1"/>
  <c r="D269" i="1"/>
  <c r="C269" i="1"/>
  <c r="B269" i="1"/>
  <c r="H268" i="1"/>
  <c r="G268" i="1"/>
  <c r="F268" i="1"/>
  <c r="E268" i="1"/>
  <c r="D268" i="1"/>
  <c r="C268" i="1"/>
  <c r="B268" i="1"/>
  <c r="H267" i="1"/>
  <c r="G267" i="1"/>
  <c r="F267" i="1"/>
  <c r="E267" i="1"/>
  <c r="D267" i="1"/>
  <c r="C267" i="1"/>
  <c r="B267" i="1"/>
  <c r="H266" i="1"/>
  <c r="G266" i="1"/>
  <c r="F266" i="1"/>
  <c r="E266" i="1"/>
  <c r="D266" i="1"/>
  <c r="C266" i="1"/>
  <c r="B266" i="1"/>
  <c r="H265" i="1"/>
  <c r="G265" i="1"/>
  <c r="F265" i="1"/>
  <c r="E265" i="1"/>
  <c r="D265" i="1"/>
  <c r="C265" i="1"/>
  <c r="B265" i="1"/>
  <c r="H264" i="1"/>
  <c r="G264" i="1"/>
  <c r="F264" i="1"/>
  <c r="E264" i="1"/>
  <c r="D264" i="1"/>
  <c r="C264" i="1"/>
  <c r="B264" i="1"/>
  <c r="H263" i="1"/>
  <c r="G263" i="1"/>
  <c r="F263" i="1"/>
  <c r="E263" i="1"/>
  <c r="D263" i="1"/>
  <c r="C263" i="1"/>
  <c r="B263" i="1"/>
  <c r="H262" i="1"/>
  <c r="G262" i="1"/>
  <c r="F262" i="1"/>
  <c r="E262" i="1"/>
  <c r="D262" i="1"/>
  <c r="C262" i="1"/>
  <c r="B262" i="1"/>
  <c r="H261" i="1"/>
  <c r="G261" i="1"/>
  <c r="F261" i="1"/>
  <c r="E261" i="1"/>
  <c r="D261" i="1"/>
  <c r="C261" i="1"/>
  <c r="B261" i="1"/>
  <c r="H260" i="1"/>
  <c r="G260" i="1"/>
  <c r="F260" i="1"/>
  <c r="E260" i="1"/>
  <c r="D260" i="1"/>
  <c r="C260" i="1"/>
  <c r="B260" i="1"/>
  <c r="H259" i="1"/>
  <c r="G259" i="1"/>
  <c r="F259" i="1"/>
  <c r="E259" i="1"/>
  <c r="D259" i="1"/>
  <c r="C259" i="1"/>
  <c r="B259" i="1"/>
  <c r="H258" i="1"/>
  <c r="G258" i="1"/>
  <c r="F258" i="1"/>
  <c r="E258" i="1"/>
  <c r="D258" i="1"/>
  <c r="C258" i="1"/>
  <c r="B258" i="1"/>
  <c r="H257" i="1"/>
  <c r="G257" i="1"/>
  <c r="F257" i="1"/>
  <c r="E257" i="1"/>
  <c r="D257" i="1"/>
  <c r="C257" i="1"/>
  <c r="B257" i="1"/>
  <c r="H256" i="1"/>
  <c r="G256" i="1"/>
  <c r="F256" i="1"/>
  <c r="E256" i="1"/>
  <c r="D256" i="1"/>
  <c r="C256" i="1"/>
  <c r="B256" i="1"/>
  <c r="H255" i="1"/>
  <c r="G255" i="1"/>
  <c r="F255" i="1"/>
  <c r="E255" i="1"/>
  <c r="D255" i="1"/>
  <c r="C255" i="1"/>
  <c r="B255" i="1"/>
  <c r="H254" i="1"/>
  <c r="G254" i="1"/>
  <c r="F254" i="1"/>
  <c r="E254" i="1"/>
  <c r="D254" i="1"/>
  <c r="C254" i="1"/>
  <c r="B254" i="1"/>
  <c r="H253" i="1"/>
  <c r="G253" i="1"/>
  <c r="F253" i="1"/>
  <c r="E253" i="1"/>
  <c r="D253" i="1"/>
  <c r="C253" i="1"/>
  <c r="B253" i="1"/>
  <c r="H252" i="1"/>
  <c r="G252" i="1"/>
  <c r="F252" i="1"/>
  <c r="E252" i="1"/>
  <c r="D252" i="1"/>
  <c r="C252" i="1"/>
  <c r="B252" i="1"/>
  <c r="H251" i="1"/>
  <c r="G251" i="1"/>
  <c r="F251" i="1"/>
  <c r="E251" i="1"/>
  <c r="D251" i="1"/>
  <c r="C251" i="1"/>
  <c r="B251" i="1"/>
  <c r="H250" i="1"/>
  <c r="G250" i="1"/>
  <c r="F250" i="1"/>
  <c r="E250" i="1"/>
  <c r="D250" i="1"/>
  <c r="C250" i="1"/>
  <c r="B250" i="1"/>
  <c r="H249" i="1"/>
  <c r="G249" i="1"/>
  <c r="F249" i="1"/>
  <c r="E249" i="1"/>
  <c r="D249" i="1"/>
  <c r="C249" i="1"/>
  <c r="B249" i="1"/>
  <c r="H248" i="1"/>
  <c r="G248" i="1"/>
  <c r="F248" i="1"/>
  <c r="E248" i="1"/>
  <c r="D248" i="1"/>
  <c r="C248" i="1"/>
  <c r="B248" i="1"/>
  <c r="H247" i="1"/>
  <c r="G247" i="1"/>
  <c r="F247" i="1"/>
  <c r="E247" i="1"/>
  <c r="D247" i="1"/>
  <c r="C247" i="1"/>
  <c r="B247" i="1"/>
  <c r="H246" i="1"/>
  <c r="G246" i="1"/>
  <c r="F246" i="1"/>
  <c r="E246" i="1"/>
  <c r="D246" i="1"/>
  <c r="C246" i="1"/>
  <c r="B246" i="1"/>
  <c r="H245" i="1"/>
  <c r="G245" i="1"/>
  <c r="F245" i="1"/>
  <c r="E245" i="1"/>
  <c r="D245" i="1"/>
  <c r="C245" i="1"/>
  <c r="B245" i="1"/>
  <c r="H244" i="1"/>
  <c r="G244" i="1"/>
  <c r="F244" i="1"/>
  <c r="E244" i="1"/>
  <c r="D244" i="1"/>
  <c r="C244" i="1"/>
  <c r="B244" i="1"/>
  <c r="H243" i="1"/>
  <c r="G243" i="1"/>
  <c r="F243" i="1"/>
  <c r="E243" i="1"/>
  <c r="D243" i="1"/>
  <c r="C243" i="1"/>
  <c r="B243" i="1"/>
  <c r="H242" i="1"/>
  <c r="G242" i="1"/>
  <c r="F242" i="1"/>
  <c r="E242" i="1"/>
  <c r="D242" i="1"/>
  <c r="C242" i="1"/>
  <c r="B242" i="1"/>
  <c r="H241" i="1"/>
  <c r="G241" i="1"/>
  <c r="F241" i="1"/>
  <c r="E241" i="1"/>
  <c r="D241" i="1"/>
  <c r="C241" i="1"/>
  <c r="B241" i="1"/>
  <c r="H240" i="1"/>
  <c r="G240" i="1"/>
  <c r="F240" i="1"/>
  <c r="E240" i="1"/>
  <c r="D240" i="1"/>
  <c r="C240" i="1"/>
  <c r="B240" i="1"/>
  <c r="H239" i="1"/>
  <c r="G239" i="1"/>
  <c r="F239" i="1"/>
  <c r="E239" i="1"/>
  <c r="D239" i="1"/>
  <c r="C239" i="1"/>
  <c r="B239" i="1"/>
  <c r="H238" i="1"/>
  <c r="G238" i="1"/>
  <c r="F238" i="1"/>
  <c r="E238" i="1"/>
  <c r="D238" i="1"/>
  <c r="C238" i="1"/>
  <c r="B238" i="1"/>
  <c r="H237" i="1"/>
  <c r="G237" i="1"/>
  <c r="F237" i="1"/>
  <c r="E237" i="1"/>
  <c r="D237" i="1"/>
  <c r="C237" i="1"/>
  <c r="B237" i="1"/>
  <c r="H236" i="1"/>
  <c r="G236" i="1"/>
  <c r="F236" i="1"/>
  <c r="E236" i="1"/>
  <c r="D236" i="1"/>
  <c r="C236" i="1"/>
  <c r="B236" i="1"/>
  <c r="H235" i="1"/>
  <c r="G235" i="1"/>
  <c r="F235" i="1"/>
  <c r="E235" i="1"/>
  <c r="D235" i="1"/>
  <c r="C235" i="1"/>
  <c r="B235" i="1"/>
  <c r="H234" i="1"/>
  <c r="G234" i="1"/>
  <c r="F234" i="1"/>
  <c r="E234" i="1"/>
  <c r="D234" i="1"/>
  <c r="C234" i="1"/>
  <c r="B234" i="1"/>
  <c r="H233" i="1"/>
  <c r="G233" i="1"/>
  <c r="F233" i="1"/>
  <c r="E233" i="1"/>
  <c r="D233" i="1"/>
  <c r="C233" i="1"/>
  <c r="B233" i="1"/>
  <c r="H232" i="1"/>
  <c r="G232" i="1"/>
  <c r="F232" i="1"/>
  <c r="E232" i="1"/>
  <c r="D232" i="1"/>
  <c r="C232" i="1"/>
  <c r="B232" i="1"/>
  <c r="H231" i="1"/>
  <c r="G231" i="1"/>
  <c r="F231" i="1"/>
  <c r="E231" i="1"/>
  <c r="D231" i="1"/>
  <c r="C231" i="1"/>
  <c r="B231" i="1"/>
  <c r="H230" i="1"/>
  <c r="G230" i="1"/>
  <c r="F230" i="1"/>
  <c r="E230" i="1"/>
  <c r="D230" i="1"/>
  <c r="C230" i="1"/>
  <c r="B230" i="1"/>
  <c r="H229" i="1"/>
  <c r="G229" i="1"/>
  <c r="F229" i="1"/>
  <c r="E229" i="1"/>
  <c r="D229" i="1"/>
  <c r="C229" i="1"/>
  <c r="B229" i="1"/>
  <c r="H228" i="1"/>
  <c r="G228" i="1"/>
  <c r="F228" i="1"/>
  <c r="E228" i="1"/>
  <c r="D228" i="1"/>
  <c r="C228" i="1"/>
  <c r="B228" i="1"/>
  <c r="H227" i="1"/>
  <c r="G227" i="1"/>
  <c r="F227" i="1"/>
  <c r="E227" i="1"/>
  <c r="D227" i="1"/>
  <c r="C227" i="1"/>
  <c r="B227" i="1"/>
  <c r="H226" i="1"/>
  <c r="G226" i="1"/>
  <c r="F226" i="1"/>
  <c r="E226" i="1"/>
  <c r="D226" i="1"/>
  <c r="C226" i="1"/>
  <c r="B226" i="1"/>
  <c r="H225" i="1"/>
  <c r="G225" i="1"/>
  <c r="F225" i="1"/>
  <c r="E225" i="1"/>
  <c r="D225" i="1"/>
  <c r="C225" i="1"/>
  <c r="B225" i="1"/>
  <c r="H224" i="1"/>
  <c r="G224" i="1"/>
  <c r="F224" i="1"/>
  <c r="E224" i="1"/>
  <c r="D224" i="1"/>
  <c r="C224" i="1"/>
  <c r="B224" i="1"/>
  <c r="H223" i="1"/>
  <c r="G223" i="1"/>
  <c r="F223" i="1"/>
  <c r="E223" i="1"/>
  <c r="D223" i="1"/>
  <c r="C223" i="1"/>
  <c r="B223" i="1"/>
  <c r="H222" i="1"/>
  <c r="G222" i="1"/>
  <c r="F222" i="1"/>
  <c r="E222" i="1"/>
  <c r="D222" i="1"/>
  <c r="C222" i="1"/>
  <c r="B222" i="1"/>
  <c r="H221" i="1"/>
  <c r="G221" i="1"/>
  <c r="F221" i="1"/>
  <c r="E221" i="1"/>
  <c r="D221" i="1"/>
  <c r="C221" i="1"/>
  <c r="B221" i="1"/>
  <c r="H220" i="1"/>
  <c r="G220" i="1"/>
  <c r="F220" i="1"/>
  <c r="E220" i="1"/>
  <c r="D220" i="1"/>
  <c r="C220" i="1"/>
  <c r="B220" i="1"/>
  <c r="H219" i="1"/>
  <c r="G219" i="1"/>
  <c r="F219" i="1"/>
  <c r="E219" i="1"/>
  <c r="D219" i="1"/>
  <c r="C219" i="1"/>
  <c r="B219" i="1"/>
  <c r="H218" i="1"/>
  <c r="G218" i="1"/>
  <c r="F218" i="1"/>
  <c r="E218" i="1"/>
  <c r="D218" i="1"/>
  <c r="C218" i="1"/>
  <c r="B218" i="1"/>
  <c r="H217" i="1"/>
  <c r="G217" i="1"/>
  <c r="F217" i="1"/>
  <c r="E217" i="1"/>
  <c r="D217" i="1"/>
  <c r="C217" i="1"/>
  <c r="B217" i="1"/>
  <c r="H216" i="1"/>
  <c r="G216" i="1"/>
  <c r="F216" i="1"/>
  <c r="E216" i="1"/>
  <c r="D216" i="1"/>
  <c r="C216" i="1"/>
  <c r="B216" i="1"/>
  <c r="H215" i="1"/>
  <c r="G215" i="1"/>
  <c r="F215" i="1"/>
  <c r="E215" i="1"/>
  <c r="D215" i="1"/>
  <c r="C215" i="1"/>
  <c r="B215" i="1"/>
  <c r="H214" i="1"/>
  <c r="G214" i="1"/>
  <c r="F214" i="1"/>
  <c r="E214" i="1"/>
  <c r="D214" i="1"/>
  <c r="C214" i="1"/>
  <c r="B214" i="1"/>
  <c r="H213" i="1"/>
  <c r="G213" i="1"/>
  <c r="F213" i="1"/>
  <c r="E213" i="1"/>
  <c r="D213" i="1"/>
  <c r="C213" i="1"/>
  <c r="B213" i="1"/>
  <c r="H212" i="1"/>
  <c r="G212" i="1"/>
  <c r="F212" i="1"/>
  <c r="E212" i="1"/>
  <c r="D212" i="1"/>
  <c r="C212" i="1"/>
  <c r="B212" i="1"/>
  <c r="H211" i="1"/>
  <c r="G211" i="1"/>
  <c r="F211" i="1"/>
  <c r="E211" i="1"/>
  <c r="D211" i="1"/>
  <c r="C211" i="1"/>
  <c r="B211" i="1"/>
  <c r="H210" i="1"/>
  <c r="G210" i="1"/>
  <c r="F210" i="1"/>
  <c r="E210" i="1"/>
  <c r="D210" i="1"/>
  <c r="C210" i="1"/>
  <c r="B210" i="1"/>
  <c r="H209" i="1"/>
  <c r="G209" i="1"/>
  <c r="F209" i="1"/>
  <c r="E209" i="1"/>
  <c r="D209" i="1"/>
  <c r="C209" i="1"/>
  <c r="B209" i="1"/>
  <c r="H208" i="1"/>
  <c r="G208" i="1"/>
  <c r="F208" i="1"/>
  <c r="E208" i="1"/>
  <c r="D208" i="1"/>
  <c r="C208" i="1"/>
  <c r="B208" i="1"/>
  <c r="H207" i="1"/>
  <c r="G207" i="1"/>
  <c r="F207" i="1"/>
  <c r="E207" i="1"/>
  <c r="D207" i="1"/>
  <c r="C207" i="1"/>
  <c r="B207" i="1"/>
  <c r="H206" i="1"/>
  <c r="G206" i="1"/>
  <c r="F206" i="1"/>
  <c r="E206" i="1"/>
  <c r="D206" i="1"/>
  <c r="C206" i="1"/>
  <c r="B206" i="1"/>
  <c r="H205" i="1"/>
  <c r="G205" i="1"/>
  <c r="F205" i="1"/>
  <c r="E205" i="1"/>
  <c r="D205" i="1"/>
  <c r="C205" i="1"/>
  <c r="B205" i="1"/>
  <c r="H204" i="1"/>
  <c r="G204" i="1"/>
  <c r="F204" i="1"/>
  <c r="E204" i="1"/>
  <c r="D204" i="1"/>
  <c r="C204" i="1"/>
  <c r="B204" i="1"/>
  <c r="H203" i="1"/>
  <c r="G203" i="1"/>
  <c r="F203" i="1"/>
  <c r="E203" i="1"/>
  <c r="D203" i="1"/>
  <c r="C203" i="1"/>
  <c r="B203" i="1"/>
  <c r="H202" i="1"/>
  <c r="G202" i="1"/>
  <c r="F202" i="1"/>
  <c r="E202" i="1"/>
  <c r="D202" i="1"/>
  <c r="C202" i="1"/>
  <c r="B202" i="1"/>
  <c r="H201" i="1"/>
  <c r="G201" i="1"/>
  <c r="F201" i="1"/>
  <c r="E201" i="1"/>
  <c r="D201" i="1"/>
  <c r="C201" i="1"/>
  <c r="B201" i="1"/>
  <c r="H200" i="1"/>
  <c r="G200" i="1"/>
  <c r="F200" i="1"/>
  <c r="E200" i="1"/>
  <c r="D200" i="1"/>
  <c r="C200" i="1"/>
  <c r="B200" i="1"/>
  <c r="H199" i="1"/>
  <c r="G199" i="1"/>
  <c r="F199" i="1"/>
  <c r="E199" i="1"/>
  <c r="D199" i="1"/>
  <c r="C199" i="1"/>
  <c r="B199" i="1"/>
  <c r="H198" i="1"/>
  <c r="G198" i="1"/>
  <c r="F198" i="1"/>
  <c r="E198" i="1"/>
  <c r="D198" i="1"/>
  <c r="C198" i="1"/>
  <c r="B198" i="1"/>
  <c r="H197" i="1"/>
  <c r="G197" i="1"/>
  <c r="F197" i="1"/>
  <c r="E197" i="1"/>
  <c r="D197" i="1"/>
  <c r="C197" i="1"/>
  <c r="B197" i="1"/>
  <c r="H196" i="1"/>
  <c r="G196" i="1"/>
  <c r="F196" i="1"/>
  <c r="E196" i="1"/>
  <c r="D196" i="1"/>
  <c r="C196" i="1"/>
  <c r="B196" i="1"/>
  <c r="H195" i="1"/>
  <c r="G195" i="1"/>
  <c r="F195" i="1"/>
  <c r="E195" i="1"/>
  <c r="D195" i="1"/>
  <c r="C195" i="1"/>
  <c r="B195" i="1"/>
  <c r="H194" i="1"/>
  <c r="G194" i="1"/>
  <c r="F194" i="1"/>
  <c r="E194" i="1"/>
  <c r="D194" i="1"/>
  <c r="C194" i="1"/>
  <c r="B194" i="1"/>
  <c r="H193" i="1"/>
  <c r="G193" i="1"/>
  <c r="F193" i="1"/>
  <c r="E193" i="1"/>
  <c r="D193" i="1"/>
  <c r="C193" i="1"/>
  <c r="B193" i="1"/>
  <c r="H192" i="1"/>
  <c r="G192" i="1"/>
  <c r="F192" i="1"/>
  <c r="E192" i="1"/>
  <c r="D192" i="1"/>
  <c r="C192" i="1"/>
  <c r="B192" i="1"/>
  <c r="H191" i="1"/>
  <c r="G191" i="1"/>
  <c r="F191" i="1"/>
  <c r="E191" i="1"/>
  <c r="D191" i="1"/>
  <c r="C191" i="1"/>
  <c r="B191" i="1"/>
  <c r="H190" i="1"/>
  <c r="G190" i="1"/>
  <c r="F190" i="1"/>
  <c r="E190" i="1"/>
  <c r="D190" i="1"/>
  <c r="C190" i="1"/>
  <c r="B190" i="1"/>
  <c r="H189" i="1"/>
  <c r="G189" i="1"/>
  <c r="F189" i="1"/>
  <c r="E189" i="1"/>
  <c r="D189" i="1"/>
  <c r="C189" i="1"/>
  <c r="B189" i="1"/>
  <c r="H188" i="1"/>
  <c r="G188" i="1"/>
  <c r="F188" i="1"/>
  <c r="E188" i="1"/>
  <c r="D188" i="1"/>
  <c r="C188" i="1"/>
  <c r="B188" i="1"/>
  <c r="H187" i="1"/>
  <c r="G187" i="1"/>
  <c r="F187" i="1"/>
  <c r="E187" i="1"/>
  <c r="D187" i="1"/>
  <c r="C187" i="1"/>
  <c r="B187" i="1"/>
  <c r="H186" i="1"/>
  <c r="G186" i="1"/>
  <c r="F186" i="1"/>
  <c r="E186" i="1"/>
  <c r="D186" i="1"/>
  <c r="C186" i="1"/>
  <c r="B186" i="1"/>
  <c r="H185" i="1"/>
  <c r="G185" i="1"/>
  <c r="F185" i="1"/>
  <c r="E185" i="1"/>
  <c r="D185" i="1"/>
  <c r="C185" i="1"/>
  <c r="B185" i="1"/>
  <c r="H184" i="1"/>
  <c r="G184" i="1"/>
  <c r="F184" i="1"/>
  <c r="E184" i="1"/>
  <c r="D184" i="1"/>
  <c r="C184" i="1"/>
  <c r="B184" i="1"/>
  <c r="H183" i="1"/>
  <c r="G183" i="1"/>
  <c r="F183" i="1"/>
  <c r="E183" i="1"/>
  <c r="D183" i="1"/>
  <c r="C183" i="1"/>
  <c r="B183" i="1"/>
  <c r="H182" i="1"/>
  <c r="G182" i="1"/>
  <c r="F182" i="1"/>
  <c r="E182" i="1"/>
  <c r="D182" i="1"/>
  <c r="C182" i="1"/>
  <c r="B182" i="1"/>
  <c r="H181" i="1"/>
  <c r="G181" i="1"/>
  <c r="F181" i="1"/>
  <c r="E181" i="1"/>
  <c r="D181" i="1"/>
  <c r="C181" i="1"/>
  <c r="B181" i="1"/>
  <c r="H180" i="1"/>
  <c r="G180" i="1"/>
  <c r="F180" i="1"/>
  <c r="E180" i="1"/>
  <c r="D180" i="1"/>
  <c r="C180" i="1"/>
  <c r="B180" i="1"/>
  <c r="H179" i="1"/>
  <c r="G179" i="1"/>
  <c r="F179" i="1"/>
  <c r="E179" i="1"/>
  <c r="D179" i="1"/>
  <c r="C179" i="1"/>
  <c r="B179" i="1"/>
  <c r="H178" i="1"/>
  <c r="G178" i="1"/>
  <c r="F178" i="1"/>
  <c r="E178" i="1"/>
  <c r="D178" i="1"/>
  <c r="C178" i="1"/>
  <c r="B178" i="1"/>
  <c r="H177" i="1"/>
  <c r="G177" i="1"/>
  <c r="F177" i="1"/>
  <c r="E177" i="1"/>
  <c r="D177" i="1"/>
  <c r="C177" i="1"/>
  <c r="B177" i="1"/>
  <c r="H176" i="1"/>
  <c r="G176" i="1"/>
  <c r="F176" i="1"/>
  <c r="E176" i="1"/>
  <c r="D176" i="1"/>
  <c r="C176" i="1"/>
  <c r="B176" i="1"/>
  <c r="H175" i="1"/>
  <c r="G175" i="1"/>
  <c r="F175" i="1"/>
  <c r="E175" i="1"/>
  <c r="D175" i="1"/>
  <c r="C175" i="1"/>
  <c r="B175" i="1"/>
  <c r="H174" i="1"/>
  <c r="G174" i="1"/>
  <c r="F174" i="1"/>
  <c r="E174" i="1"/>
  <c r="D174" i="1"/>
  <c r="C174" i="1"/>
  <c r="B174" i="1"/>
  <c r="H173" i="1"/>
  <c r="G173" i="1"/>
  <c r="F173" i="1"/>
  <c r="E173" i="1"/>
  <c r="D173" i="1"/>
  <c r="C173" i="1"/>
  <c r="B173" i="1"/>
  <c r="H172" i="1"/>
  <c r="G172" i="1"/>
  <c r="F172" i="1"/>
  <c r="E172" i="1"/>
  <c r="D172" i="1"/>
  <c r="C172" i="1"/>
  <c r="B172" i="1"/>
  <c r="H171" i="1"/>
  <c r="G171" i="1"/>
  <c r="F171" i="1"/>
  <c r="E171" i="1"/>
  <c r="D171" i="1"/>
  <c r="C171" i="1"/>
  <c r="B171" i="1"/>
  <c r="H170" i="1"/>
  <c r="G170" i="1"/>
  <c r="F170" i="1"/>
  <c r="E170" i="1"/>
  <c r="D170" i="1"/>
  <c r="C170" i="1"/>
  <c r="B170" i="1"/>
  <c r="H169" i="1"/>
  <c r="G169" i="1"/>
  <c r="F169" i="1"/>
  <c r="E169" i="1"/>
  <c r="D169" i="1"/>
  <c r="C169" i="1"/>
  <c r="B169" i="1"/>
  <c r="H168" i="1"/>
  <c r="G168" i="1"/>
  <c r="F168" i="1"/>
  <c r="E168" i="1"/>
  <c r="D168" i="1"/>
  <c r="C168" i="1"/>
  <c r="B168" i="1"/>
  <c r="H167" i="1"/>
  <c r="G167" i="1"/>
  <c r="F167" i="1"/>
  <c r="E167" i="1"/>
  <c r="D167" i="1"/>
  <c r="C167" i="1"/>
  <c r="B167" i="1"/>
  <c r="H166" i="1"/>
  <c r="G166" i="1"/>
  <c r="F166" i="1"/>
  <c r="E166" i="1"/>
  <c r="D166" i="1"/>
  <c r="C166" i="1"/>
  <c r="B166" i="1"/>
  <c r="H165" i="1"/>
  <c r="G165" i="1"/>
  <c r="F165" i="1"/>
  <c r="E165" i="1"/>
  <c r="D165" i="1"/>
  <c r="C165" i="1"/>
  <c r="B165" i="1"/>
  <c r="H164" i="1"/>
  <c r="G164" i="1"/>
  <c r="F164" i="1"/>
  <c r="E164" i="1"/>
  <c r="D164" i="1"/>
  <c r="C164" i="1"/>
  <c r="B164" i="1"/>
  <c r="H163" i="1"/>
  <c r="G163" i="1"/>
  <c r="F163" i="1"/>
  <c r="E163" i="1"/>
  <c r="D163" i="1"/>
  <c r="C163" i="1"/>
  <c r="B163" i="1"/>
  <c r="H162" i="1"/>
  <c r="G162" i="1"/>
  <c r="F162" i="1"/>
  <c r="E162" i="1"/>
  <c r="D162" i="1"/>
  <c r="C162" i="1"/>
  <c r="B162" i="1"/>
  <c r="H161" i="1"/>
  <c r="G161" i="1"/>
  <c r="F161" i="1"/>
  <c r="E161" i="1"/>
  <c r="D161" i="1"/>
  <c r="C161" i="1"/>
  <c r="B161" i="1"/>
  <c r="H160" i="1"/>
  <c r="G160" i="1"/>
  <c r="F160" i="1"/>
  <c r="E160" i="1"/>
  <c r="D160" i="1"/>
  <c r="C160" i="1"/>
  <c r="B160" i="1"/>
  <c r="H159" i="1"/>
  <c r="G159" i="1"/>
  <c r="F159" i="1"/>
  <c r="E159" i="1"/>
  <c r="D159" i="1"/>
  <c r="C159" i="1"/>
  <c r="B159" i="1"/>
  <c r="H158" i="1"/>
  <c r="G158" i="1"/>
  <c r="F158" i="1"/>
  <c r="E158" i="1"/>
  <c r="D158" i="1"/>
  <c r="C158" i="1"/>
  <c r="B158" i="1"/>
  <c r="H157" i="1"/>
  <c r="G157" i="1"/>
  <c r="F157" i="1"/>
  <c r="E157" i="1"/>
  <c r="D157" i="1"/>
  <c r="C157" i="1"/>
  <c r="B157" i="1"/>
  <c r="H156" i="1"/>
  <c r="G156" i="1"/>
  <c r="F156" i="1"/>
  <c r="E156" i="1"/>
  <c r="D156" i="1"/>
  <c r="C156" i="1"/>
  <c r="B156" i="1"/>
  <c r="H155" i="1"/>
  <c r="G155" i="1"/>
  <c r="F155" i="1"/>
  <c r="E155" i="1"/>
  <c r="D155" i="1"/>
  <c r="C155" i="1"/>
  <c r="B155" i="1"/>
  <c r="H154" i="1"/>
  <c r="G154" i="1"/>
  <c r="F154" i="1"/>
  <c r="E154" i="1"/>
  <c r="D154" i="1"/>
  <c r="C154" i="1"/>
  <c r="B154" i="1"/>
  <c r="H153" i="1"/>
  <c r="G153" i="1"/>
  <c r="F153" i="1"/>
  <c r="E153" i="1"/>
  <c r="D153" i="1"/>
  <c r="C153" i="1"/>
  <c r="B153" i="1"/>
  <c r="H152" i="1"/>
  <c r="G152" i="1"/>
  <c r="F152" i="1"/>
  <c r="E152" i="1"/>
  <c r="D152" i="1"/>
  <c r="C152" i="1"/>
  <c r="B152" i="1"/>
  <c r="H151" i="1"/>
  <c r="G151" i="1"/>
  <c r="F151" i="1"/>
  <c r="E151" i="1"/>
  <c r="D151" i="1"/>
  <c r="C151" i="1"/>
  <c r="B151" i="1"/>
  <c r="H150" i="1"/>
  <c r="G150" i="1"/>
  <c r="F150" i="1"/>
  <c r="E150" i="1"/>
  <c r="D150" i="1"/>
  <c r="C150" i="1"/>
  <c r="B150" i="1"/>
  <c r="H149" i="1"/>
  <c r="G149" i="1"/>
  <c r="F149" i="1"/>
  <c r="E149" i="1"/>
  <c r="D149" i="1"/>
  <c r="C149" i="1"/>
  <c r="B149" i="1"/>
  <c r="H148" i="1"/>
  <c r="G148" i="1"/>
  <c r="F148" i="1"/>
  <c r="E148" i="1"/>
  <c r="D148" i="1"/>
  <c r="C148" i="1"/>
  <c r="B148" i="1"/>
  <c r="H147" i="1"/>
  <c r="G147" i="1"/>
  <c r="F147" i="1"/>
  <c r="E147" i="1"/>
  <c r="D147" i="1"/>
  <c r="C147" i="1"/>
  <c r="B147" i="1"/>
  <c r="H146" i="1"/>
  <c r="G146" i="1"/>
  <c r="F146" i="1"/>
  <c r="E146" i="1"/>
  <c r="D146" i="1"/>
  <c r="C146" i="1"/>
  <c r="B146" i="1"/>
  <c r="H145" i="1"/>
  <c r="G145" i="1"/>
  <c r="F145" i="1"/>
  <c r="E145" i="1"/>
  <c r="D145" i="1"/>
  <c r="C145" i="1"/>
  <c r="B145" i="1"/>
  <c r="H144" i="1"/>
  <c r="G144" i="1"/>
  <c r="F144" i="1"/>
  <c r="E144" i="1"/>
  <c r="D144" i="1"/>
  <c r="C144" i="1"/>
  <c r="B144" i="1"/>
  <c r="H143" i="1"/>
  <c r="G143" i="1"/>
  <c r="F143" i="1"/>
  <c r="E143" i="1"/>
  <c r="D143" i="1"/>
  <c r="C143" i="1"/>
  <c r="B143" i="1"/>
  <c r="H142" i="1"/>
  <c r="G142" i="1"/>
  <c r="F142" i="1"/>
  <c r="E142" i="1"/>
  <c r="D142" i="1"/>
  <c r="C142" i="1"/>
  <c r="B142" i="1"/>
  <c r="H141" i="1"/>
  <c r="G141" i="1"/>
  <c r="F141" i="1"/>
  <c r="E141" i="1"/>
  <c r="D141" i="1"/>
  <c r="C141" i="1"/>
  <c r="B141" i="1"/>
  <c r="H140" i="1"/>
  <c r="G140" i="1"/>
  <c r="F140" i="1"/>
  <c r="E140" i="1"/>
  <c r="D140" i="1"/>
  <c r="C140" i="1"/>
  <c r="B140" i="1"/>
  <c r="H139" i="1"/>
  <c r="G139" i="1"/>
  <c r="F139" i="1"/>
  <c r="E139" i="1"/>
  <c r="D139" i="1"/>
  <c r="C139" i="1"/>
  <c r="B139" i="1"/>
  <c r="H138" i="1"/>
  <c r="G138" i="1"/>
  <c r="F138" i="1"/>
  <c r="E138" i="1"/>
  <c r="D138" i="1"/>
  <c r="C138" i="1"/>
  <c r="B138" i="1"/>
  <c r="H137" i="1"/>
  <c r="G137" i="1"/>
  <c r="F137" i="1"/>
  <c r="E137" i="1"/>
  <c r="D137" i="1"/>
  <c r="C137" i="1"/>
  <c r="B137" i="1"/>
  <c r="H136" i="1"/>
  <c r="G136" i="1"/>
  <c r="F136" i="1"/>
  <c r="E136" i="1"/>
  <c r="D136" i="1"/>
  <c r="C136" i="1"/>
  <c r="B136" i="1"/>
  <c r="H135" i="1"/>
  <c r="G135" i="1"/>
  <c r="F135" i="1"/>
  <c r="E135" i="1"/>
  <c r="D135" i="1"/>
  <c r="C135" i="1"/>
  <c r="B135" i="1"/>
  <c r="H134" i="1"/>
  <c r="G134" i="1"/>
  <c r="F134" i="1"/>
  <c r="E134" i="1"/>
  <c r="D134" i="1"/>
  <c r="C134" i="1"/>
  <c r="B134" i="1"/>
  <c r="H133" i="1"/>
  <c r="G133" i="1"/>
  <c r="F133" i="1"/>
  <c r="E133" i="1"/>
  <c r="D133" i="1"/>
  <c r="C133" i="1"/>
  <c r="B133" i="1"/>
  <c r="H132" i="1"/>
  <c r="G132" i="1"/>
  <c r="F132" i="1"/>
  <c r="E132" i="1"/>
  <c r="D132" i="1"/>
  <c r="C132" i="1"/>
  <c r="B132" i="1"/>
  <c r="H131" i="1"/>
  <c r="G131" i="1"/>
  <c r="F131" i="1"/>
  <c r="E131" i="1"/>
  <c r="D131" i="1"/>
  <c r="C131" i="1"/>
  <c r="B131" i="1"/>
  <c r="H130" i="1"/>
  <c r="G130" i="1"/>
  <c r="F130" i="1"/>
  <c r="E130" i="1"/>
  <c r="D130" i="1"/>
  <c r="C130" i="1"/>
  <c r="B130" i="1"/>
  <c r="H129" i="1"/>
  <c r="G129" i="1"/>
  <c r="F129" i="1"/>
  <c r="E129" i="1"/>
  <c r="D129" i="1"/>
  <c r="C129" i="1"/>
  <c r="B129" i="1"/>
  <c r="H128" i="1"/>
  <c r="G128" i="1"/>
  <c r="F128" i="1"/>
  <c r="E128" i="1"/>
  <c r="D128" i="1"/>
  <c r="C128" i="1"/>
  <c r="B128" i="1"/>
  <c r="H127" i="1"/>
  <c r="G127" i="1"/>
  <c r="F127" i="1"/>
  <c r="E127" i="1"/>
  <c r="D127" i="1"/>
  <c r="C127" i="1"/>
  <c r="B127" i="1"/>
  <c r="H126" i="1"/>
  <c r="G126" i="1"/>
  <c r="F126" i="1"/>
  <c r="E126" i="1"/>
  <c r="D126" i="1"/>
  <c r="C126" i="1"/>
  <c r="B126" i="1"/>
  <c r="H125" i="1"/>
  <c r="G125" i="1"/>
  <c r="F125" i="1"/>
  <c r="E125" i="1"/>
  <c r="D125" i="1"/>
  <c r="C125" i="1"/>
  <c r="B125" i="1"/>
  <c r="H124" i="1"/>
  <c r="G124" i="1"/>
  <c r="F124" i="1"/>
  <c r="E124" i="1"/>
  <c r="D124" i="1"/>
  <c r="C124" i="1"/>
  <c r="B124" i="1"/>
  <c r="H123" i="1"/>
  <c r="G123" i="1"/>
  <c r="F123" i="1"/>
  <c r="E123" i="1"/>
  <c r="D123" i="1"/>
  <c r="C123" i="1"/>
  <c r="B123" i="1"/>
  <c r="H122" i="1"/>
  <c r="G122" i="1"/>
  <c r="F122" i="1"/>
  <c r="E122" i="1"/>
  <c r="D122" i="1"/>
  <c r="C122" i="1"/>
  <c r="B122" i="1"/>
  <c r="H121" i="1"/>
  <c r="G121" i="1"/>
  <c r="F121" i="1"/>
  <c r="E121" i="1"/>
  <c r="D121" i="1"/>
  <c r="C121" i="1"/>
  <c r="B121" i="1"/>
  <c r="H120" i="1"/>
  <c r="G120" i="1"/>
  <c r="F120" i="1"/>
  <c r="E120" i="1"/>
  <c r="D120" i="1"/>
  <c r="C120" i="1"/>
  <c r="B120" i="1"/>
  <c r="H119" i="1"/>
  <c r="G119" i="1"/>
  <c r="F119" i="1"/>
  <c r="E119" i="1"/>
  <c r="D119" i="1"/>
  <c r="C119" i="1"/>
  <c r="B119" i="1"/>
  <c r="H118" i="1"/>
  <c r="G118" i="1"/>
  <c r="F118" i="1"/>
  <c r="E118" i="1"/>
  <c r="D118" i="1"/>
  <c r="C118" i="1"/>
  <c r="B118" i="1"/>
  <c r="H117" i="1"/>
  <c r="G117" i="1"/>
  <c r="F117" i="1"/>
  <c r="E117" i="1"/>
  <c r="D117" i="1"/>
  <c r="C117" i="1"/>
  <c r="B117" i="1"/>
  <c r="H116" i="1"/>
  <c r="G116" i="1"/>
  <c r="F116" i="1"/>
  <c r="E116" i="1"/>
  <c r="D116" i="1"/>
  <c r="C116" i="1"/>
  <c r="B116" i="1"/>
  <c r="H115" i="1"/>
  <c r="G115" i="1"/>
  <c r="F115" i="1"/>
  <c r="E115" i="1"/>
  <c r="D115" i="1"/>
  <c r="C115" i="1"/>
  <c r="B115" i="1"/>
  <c r="H114" i="1"/>
  <c r="G114" i="1"/>
  <c r="F114" i="1"/>
  <c r="E114" i="1"/>
  <c r="D114" i="1"/>
  <c r="C114" i="1"/>
  <c r="B114" i="1"/>
  <c r="H113" i="1"/>
  <c r="G113" i="1"/>
  <c r="F113" i="1"/>
  <c r="E113" i="1"/>
  <c r="D113" i="1"/>
  <c r="C113" i="1"/>
  <c r="B113" i="1"/>
  <c r="H112" i="1"/>
  <c r="G112" i="1"/>
  <c r="F112" i="1"/>
  <c r="E112" i="1"/>
  <c r="D112" i="1"/>
  <c r="C112" i="1"/>
  <c r="B112" i="1"/>
  <c r="H111" i="1"/>
  <c r="G111" i="1"/>
  <c r="F111" i="1"/>
  <c r="E111" i="1"/>
  <c r="D111" i="1"/>
  <c r="C111" i="1"/>
  <c r="B111" i="1"/>
  <c r="H110" i="1"/>
  <c r="G110" i="1"/>
  <c r="F110" i="1"/>
  <c r="E110" i="1"/>
  <c r="D110" i="1"/>
  <c r="C110" i="1"/>
  <c r="B110" i="1"/>
  <c r="H109" i="1"/>
  <c r="G109" i="1"/>
  <c r="F109" i="1"/>
  <c r="E109" i="1"/>
  <c r="D109" i="1"/>
  <c r="C109" i="1"/>
  <c r="B109" i="1"/>
  <c r="H108" i="1"/>
  <c r="G108" i="1"/>
  <c r="F108" i="1"/>
  <c r="E108" i="1"/>
  <c r="D108" i="1"/>
  <c r="C108" i="1"/>
  <c r="B108" i="1"/>
  <c r="H107" i="1"/>
  <c r="G107" i="1"/>
  <c r="F107" i="1"/>
  <c r="E107" i="1"/>
  <c r="D107" i="1"/>
  <c r="C107" i="1"/>
  <c r="B107" i="1"/>
  <c r="H106" i="1"/>
  <c r="G106" i="1"/>
  <c r="F106" i="1"/>
  <c r="E106" i="1"/>
  <c r="D106" i="1"/>
  <c r="C106" i="1"/>
  <c r="B106" i="1"/>
  <c r="H105" i="1"/>
  <c r="G105" i="1"/>
  <c r="F105" i="1"/>
  <c r="E105" i="1"/>
  <c r="D105" i="1"/>
  <c r="C105" i="1"/>
  <c r="B105" i="1"/>
  <c r="H104" i="1"/>
  <c r="G104" i="1"/>
  <c r="F104" i="1"/>
  <c r="E104" i="1"/>
  <c r="D104" i="1"/>
  <c r="C104" i="1"/>
  <c r="B104" i="1"/>
  <c r="H103" i="1"/>
  <c r="G103" i="1"/>
  <c r="F103" i="1"/>
  <c r="E103" i="1"/>
  <c r="D103" i="1"/>
  <c r="C103" i="1"/>
  <c r="B103" i="1"/>
  <c r="H102" i="1"/>
  <c r="G102" i="1"/>
  <c r="F102" i="1"/>
  <c r="E102" i="1"/>
  <c r="D102" i="1"/>
  <c r="C102" i="1"/>
  <c r="B102" i="1"/>
  <c r="H101" i="1"/>
  <c r="G101" i="1"/>
  <c r="F101" i="1"/>
  <c r="E101" i="1"/>
  <c r="D101" i="1"/>
  <c r="C101" i="1"/>
  <c r="B101" i="1"/>
  <c r="H100" i="1"/>
  <c r="G100" i="1"/>
  <c r="F100" i="1"/>
  <c r="E100" i="1"/>
  <c r="D100" i="1"/>
  <c r="C100" i="1"/>
  <c r="B100" i="1"/>
  <c r="H99" i="1"/>
  <c r="G99" i="1"/>
  <c r="F99" i="1"/>
  <c r="E99" i="1"/>
  <c r="D99" i="1"/>
  <c r="C99" i="1"/>
  <c r="B99" i="1"/>
  <c r="H98" i="1"/>
  <c r="G98" i="1"/>
  <c r="F98" i="1"/>
  <c r="E98" i="1"/>
  <c r="D98" i="1"/>
  <c r="C98" i="1"/>
  <c r="B98" i="1"/>
  <c r="H97" i="1"/>
  <c r="G97" i="1"/>
  <c r="F97" i="1"/>
  <c r="E97" i="1"/>
  <c r="D97" i="1"/>
  <c r="C97" i="1"/>
  <c r="B97" i="1"/>
  <c r="H96" i="1"/>
  <c r="G96" i="1"/>
  <c r="F96" i="1"/>
  <c r="E96" i="1"/>
  <c r="D96" i="1"/>
  <c r="C96" i="1"/>
  <c r="B96" i="1"/>
  <c r="H95" i="1"/>
  <c r="G95" i="1"/>
  <c r="F95" i="1"/>
  <c r="E95" i="1"/>
  <c r="D95" i="1"/>
  <c r="C95" i="1"/>
  <c r="B95" i="1"/>
  <c r="H94" i="1"/>
  <c r="G94" i="1"/>
  <c r="F94" i="1"/>
  <c r="E94" i="1"/>
  <c r="D94" i="1"/>
  <c r="C94" i="1"/>
  <c r="B94" i="1"/>
  <c r="H93" i="1"/>
  <c r="G93" i="1"/>
  <c r="F93" i="1"/>
  <c r="E93" i="1"/>
  <c r="D93" i="1"/>
  <c r="C93" i="1"/>
  <c r="B93" i="1"/>
  <c r="H92" i="1"/>
  <c r="G92" i="1"/>
  <c r="F92" i="1"/>
  <c r="E92" i="1"/>
  <c r="D92" i="1"/>
  <c r="C92" i="1"/>
  <c r="B92" i="1"/>
  <c r="H91" i="1"/>
  <c r="G91" i="1"/>
  <c r="F91" i="1"/>
  <c r="E91" i="1"/>
  <c r="D91" i="1"/>
  <c r="C91" i="1"/>
  <c r="B91" i="1"/>
  <c r="H90" i="1"/>
  <c r="G90" i="1"/>
  <c r="F90" i="1"/>
  <c r="E90" i="1"/>
  <c r="D90" i="1"/>
  <c r="C90" i="1"/>
  <c r="B90" i="1"/>
  <c r="H89" i="1"/>
  <c r="G89" i="1"/>
  <c r="F89" i="1"/>
  <c r="E89" i="1"/>
  <c r="D89" i="1"/>
  <c r="C89" i="1"/>
  <c r="B89" i="1"/>
  <c r="H88" i="1"/>
  <c r="G88" i="1"/>
  <c r="F88" i="1"/>
  <c r="E88" i="1"/>
  <c r="D88" i="1"/>
  <c r="C88" i="1"/>
  <c r="B88" i="1"/>
  <c r="H87" i="1"/>
  <c r="G87" i="1"/>
  <c r="F87" i="1"/>
  <c r="E87" i="1"/>
  <c r="D87" i="1"/>
  <c r="C87" i="1"/>
  <c r="B87" i="1"/>
  <c r="H86" i="1"/>
  <c r="G86" i="1"/>
  <c r="F86" i="1"/>
  <c r="E86" i="1"/>
  <c r="D86" i="1"/>
  <c r="C86" i="1"/>
  <c r="B86" i="1"/>
  <c r="H85" i="1"/>
  <c r="G85" i="1"/>
  <c r="F85" i="1"/>
  <c r="E85" i="1"/>
  <c r="D85" i="1"/>
  <c r="C85" i="1"/>
  <c r="B85" i="1"/>
  <c r="H84" i="1"/>
  <c r="G84" i="1"/>
  <c r="F84" i="1"/>
  <c r="E84" i="1"/>
  <c r="D84" i="1"/>
  <c r="C84" i="1"/>
  <c r="B84" i="1"/>
  <c r="H83" i="1"/>
  <c r="G83" i="1"/>
  <c r="F83" i="1"/>
  <c r="E83" i="1"/>
  <c r="D83" i="1"/>
  <c r="C83" i="1"/>
  <c r="B83" i="1"/>
  <c r="H82" i="1"/>
  <c r="G82" i="1"/>
  <c r="F82" i="1"/>
  <c r="E82" i="1"/>
  <c r="D82" i="1"/>
  <c r="C82" i="1"/>
  <c r="B82" i="1"/>
  <c r="H81" i="1"/>
  <c r="G81" i="1"/>
  <c r="F81" i="1"/>
  <c r="E81" i="1"/>
  <c r="D81" i="1"/>
  <c r="C81" i="1"/>
  <c r="B81" i="1"/>
  <c r="H80" i="1"/>
  <c r="G80" i="1"/>
  <c r="F80" i="1"/>
  <c r="E80" i="1"/>
  <c r="D80" i="1"/>
  <c r="C80" i="1"/>
  <c r="B80" i="1"/>
  <c r="H79" i="1"/>
  <c r="G79" i="1"/>
  <c r="F79" i="1"/>
  <c r="E79" i="1"/>
  <c r="D79" i="1"/>
  <c r="C79" i="1"/>
  <c r="B79" i="1"/>
  <c r="H78" i="1"/>
  <c r="G78" i="1"/>
  <c r="F78" i="1"/>
  <c r="E78" i="1"/>
  <c r="D78" i="1"/>
  <c r="C78" i="1"/>
  <c r="B78" i="1"/>
  <c r="H77" i="1"/>
  <c r="G77" i="1"/>
  <c r="F77" i="1"/>
  <c r="E77" i="1"/>
  <c r="D77" i="1"/>
  <c r="C77" i="1"/>
  <c r="B77" i="1"/>
  <c r="H76" i="1"/>
  <c r="G76" i="1"/>
  <c r="F76" i="1"/>
  <c r="E76" i="1"/>
  <c r="D76" i="1"/>
  <c r="C76" i="1"/>
  <c r="B76" i="1"/>
  <c r="H75" i="1"/>
  <c r="G75" i="1"/>
  <c r="F75" i="1"/>
  <c r="E75" i="1"/>
  <c r="D75" i="1"/>
  <c r="C75" i="1"/>
  <c r="B75" i="1"/>
  <c r="H74" i="1"/>
  <c r="G74" i="1"/>
  <c r="F74" i="1"/>
  <c r="E74" i="1"/>
  <c r="D74" i="1"/>
  <c r="C74" i="1"/>
  <c r="B74" i="1"/>
  <c r="H73" i="1"/>
  <c r="G73" i="1"/>
  <c r="F73" i="1"/>
  <c r="E73" i="1"/>
  <c r="D73" i="1"/>
  <c r="C73" i="1"/>
  <c r="B73" i="1"/>
  <c r="H72" i="1"/>
  <c r="G72" i="1"/>
  <c r="F72" i="1"/>
  <c r="E72" i="1"/>
  <c r="D72" i="1"/>
  <c r="C72" i="1"/>
  <c r="B72" i="1"/>
  <c r="H71" i="1"/>
  <c r="G71" i="1"/>
  <c r="F71" i="1"/>
  <c r="E71" i="1"/>
  <c r="D71" i="1"/>
  <c r="C71" i="1"/>
  <c r="B71" i="1"/>
  <c r="H70" i="1"/>
  <c r="G70" i="1"/>
  <c r="F70" i="1"/>
  <c r="E70" i="1"/>
  <c r="D70" i="1"/>
  <c r="C70" i="1"/>
  <c r="B70" i="1"/>
  <c r="H69" i="1"/>
  <c r="G69" i="1"/>
  <c r="F69" i="1"/>
  <c r="E69" i="1"/>
  <c r="D69" i="1"/>
  <c r="C69" i="1"/>
  <c r="B69" i="1"/>
  <c r="H68" i="1"/>
  <c r="G68" i="1"/>
  <c r="F68" i="1"/>
  <c r="E68" i="1"/>
  <c r="D68" i="1"/>
  <c r="C68" i="1"/>
  <c r="B68" i="1"/>
  <c r="H67" i="1"/>
  <c r="G67" i="1"/>
  <c r="F67" i="1"/>
  <c r="E67" i="1"/>
  <c r="D67" i="1"/>
  <c r="C67" i="1"/>
  <c r="B67" i="1"/>
  <c r="H66" i="1"/>
  <c r="G66" i="1"/>
  <c r="F66" i="1"/>
  <c r="E66" i="1"/>
  <c r="D66" i="1"/>
  <c r="C66" i="1"/>
  <c r="B66" i="1"/>
  <c r="H65" i="1"/>
  <c r="G65" i="1"/>
  <c r="F65" i="1"/>
  <c r="E65" i="1"/>
  <c r="D65" i="1"/>
  <c r="C65" i="1"/>
  <c r="B65" i="1"/>
  <c r="H64" i="1"/>
  <c r="G64" i="1"/>
  <c r="F64" i="1"/>
  <c r="E64" i="1"/>
  <c r="D64" i="1"/>
  <c r="C64" i="1"/>
  <c r="B64" i="1"/>
  <c r="H63" i="1"/>
  <c r="G63" i="1"/>
  <c r="F63" i="1"/>
  <c r="E63" i="1"/>
  <c r="D63" i="1"/>
  <c r="C63" i="1"/>
  <c r="B63" i="1"/>
  <c r="H62" i="1"/>
  <c r="G62" i="1"/>
  <c r="F62" i="1"/>
  <c r="E62" i="1"/>
  <c r="D62" i="1"/>
  <c r="C62" i="1"/>
  <c r="B62" i="1"/>
  <c r="H61" i="1"/>
  <c r="G61" i="1"/>
  <c r="F61" i="1"/>
  <c r="E61" i="1"/>
  <c r="D61" i="1"/>
  <c r="C61" i="1"/>
  <c r="B61" i="1"/>
  <c r="H60" i="1"/>
  <c r="G60" i="1"/>
  <c r="F60" i="1"/>
  <c r="E60" i="1"/>
  <c r="D60" i="1"/>
  <c r="C60" i="1"/>
  <c r="B60" i="1"/>
  <c r="H59" i="1"/>
  <c r="G59" i="1"/>
  <c r="F59" i="1"/>
  <c r="E59" i="1"/>
  <c r="D59" i="1"/>
  <c r="C59" i="1"/>
  <c r="B59" i="1"/>
  <c r="H58" i="1"/>
  <c r="G58" i="1"/>
  <c r="F58" i="1"/>
  <c r="E58" i="1"/>
  <c r="D58" i="1"/>
  <c r="C58" i="1"/>
  <c r="B58" i="1"/>
  <c r="H57" i="1"/>
  <c r="G57" i="1"/>
  <c r="F57" i="1"/>
  <c r="E57" i="1"/>
  <c r="D57" i="1"/>
  <c r="C57" i="1"/>
  <c r="B57" i="1"/>
  <c r="H56" i="1"/>
  <c r="G56" i="1"/>
  <c r="F56" i="1"/>
  <c r="E56" i="1"/>
  <c r="D56" i="1"/>
  <c r="C56" i="1"/>
  <c r="B56" i="1"/>
  <c r="H55" i="1"/>
  <c r="G55" i="1"/>
  <c r="F55" i="1"/>
  <c r="E55" i="1"/>
  <c r="D55" i="1"/>
  <c r="C55" i="1"/>
  <c r="B55" i="1"/>
  <c r="H54" i="1"/>
  <c r="G54" i="1"/>
  <c r="F54" i="1"/>
  <c r="E54" i="1"/>
  <c r="D54" i="1"/>
  <c r="C54" i="1"/>
  <c r="B54" i="1"/>
  <c r="H53" i="1"/>
  <c r="G53" i="1"/>
  <c r="F53" i="1"/>
  <c r="E53" i="1"/>
  <c r="D53" i="1"/>
  <c r="C53" i="1"/>
  <c r="B53" i="1"/>
  <c r="H52" i="1"/>
  <c r="G52" i="1"/>
  <c r="F52" i="1"/>
  <c r="E52" i="1"/>
  <c r="D52" i="1"/>
  <c r="C52" i="1"/>
  <c r="B52" i="1"/>
  <c r="H51" i="1"/>
  <c r="G51" i="1"/>
  <c r="F51" i="1"/>
  <c r="E51" i="1"/>
  <c r="D51" i="1"/>
  <c r="C51" i="1"/>
  <c r="B51" i="1"/>
  <c r="H50" i="1"/>
  <c r="G50" i="1"/>
  <c r="F50" i="1"/>
  <c r="E50" i="1"/>
  <c r="D50" i="1"/>
  <c r="C50" i="1"/>
  <c r="B50" i="1"/>
  <c r="H49" i="1"/>
  <c r="G49" i="1"/>
  <c r="F49" i="1"/>
  <c r="E49" i="1"/>
  <c r="D49" i="1"/>
  <c r="C49" i="1"/>
  <c r="B49" i="1"/>
  <c r="H48" i="1"/>
  <c r="G48" i="1"/>
  <c r="F48" i="1"/>
  <c r="E48" i="1"/>
  <c r="D48" i="1"/>
  <c r="C48" i="1"/>
  <c r="B48" i="1"/>
  <c r="H47" i="1"/>
  <c r="G47" i="1"/>
  <c r="F47" i="1"/>
  <c r="E47" i="1"/>
  <c r="D47" i="1"/>
  <c r="C47" i="1"/>
  <c r="B47" i="1"/>
  <c r="H46" i="1"/>
  <c r="G46" i="1"/>
  <c r="F46" i="1"/>
  <c r="E46" i="1"/>
  <c r="D46" i="1"/>
  <c r="C46" i="1"/>
  <c r="B46" i="1"/>
  <c r="H45" i="1"/>
  <c r="G45" i="1"/>
  <c r="F45" i="1"/>
  <c r="E45" i="1"/>
  <c r="D45" i="1"/>
  <c r="C45" i="1"/>
  <c r="B45" i="1"/>
  <c r="H44" i="1"/>
  <c r="G44" i="1"/>
  <c r="F44" i="1"/>
  <c r="E44" i="1"/>
  <c r="D44" i="1"/>
  <c r="C44" i="1"/>
  <c r="B44" i="1"/>
  <c r="H43" i="1"/>
  <c r="G43" i="1"/>
  <c r="F43" i="1"/>
  <c r="E43" i="1"/>
  <c r="D43" i="1"/>
  <c r="C43" i="1"/>
  <c r="B43" i="1"/>
  <c r="H42" i="1"/>
  <c r="G42" i="1"/>
  <c r="F42" i="1"/>
  <c r="E42" i="1"/>
  <c r="D42" i="1"/>
  <c r="C42" i="1"/>
  <c r="B42" i="1"/>
  <c r="H41" i="1"/>
  <c r="G41" i="1"/>
  <c r="F41" i="1"/>
  <c r="E41" i="1"/>
  <c r="D41" i="1"/>
  <c r="C41" i="1"/>
  <c r="B41" i="1"/>
  <c r="H40" i="1"/>
  <c r="G40" i="1"/>
  <c r="F40" i="1"/>
  <c r="E40" i="1"/>
  <c r="D40" i="1"/>
  <c r="C40" i="1"/>
  <c r="B40" i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37" i="1"/>
  <c r="G37" i="1"/>
  <c r="F37" i="1"/>
  <c r="E37" i="1"/>
  <c r="D37" i="1"/>
  <c r="C37" i="1"/>
  <c r="B37" i="1"/>
  <c r="H36" i="1"/>
  <c r="G36" i="1"/>
  <c r="F36" i="1"/>
  <c r="E36" i="1"/>
  <c r="D36" i="1"/>
  <c r="C36" i="1"/>
  <c r="B36" i="1"/>
  <c r="H35" i="1"/>
  <c r="G35" i="1"/>
  <c r="F35" i="1"/>
  <c r="E35" i="1"/>
  <c r="D35" i="1"/>
  <c r="C35" i="1"/>
  <c r="B35" i="1"/>
  <c r="H34" i="1"/>
  <c r="G34" i="1"/>
  <c r="F34" i="1"/>
  <c r="E34" i="1"/>
  <c r="D34" i="1"/>
  <c r="C34" i="1"/>
  <c r="B34" i="1"/>
  <c r="H33" i="1"/>
  <c r="G33" i="1"/>
  <c r="F33" i="1"/>
  <c r="E33" i="1"/>
  <c r="D33" i="1"/>
  <c r="C33" i="1"/>
  <c r="B33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B7" i="1"/>
  <c r="B6" i="1"/>
  <c r="B5" i="1"/>
</calcChain>
</file>

<file path=xl/sharedStrings.xml><?xml version="1.0" encoding="utf-8"?>
<sst xmlns="http://schemas.openxmlformats.org/spreadsheetml/2006/main" count="20" uniqueCount="19">
  <si>
    <t>11-bit ADC Table - accumulating output (Vout = previous Vout + LSB), 0 to 2400 mV input</t>
  </si>
  <si>
    <t>Vref / full scale (mV)</t>
  </si>
  <si>
    <t>Given by user</t>
  </si>
  <si>
    <t>Resolution (bits)</t>
  </si>
  <si>
    <t>Number of codes (2^bits)</t>
  </si>
  <si>
    <t>Formula</t>
  </si>
  <si>
    <t>Fixed value = LSB (mV) = Vref / 2^bits</t>
  </si>
  <si>
    <t>2400/2048 = 1.171875 mV, added at every 1 mV step</t>
  </si>
  <si>
    <t>Max 11-bit code</t>
  </si>
  <si>
    <t>2047; codes above this cannot be shown in 11 bits</t>
  </si>
  <si>
    <t>Blue = input, black = formula. Vin 0 mV: Vout=0. Each next 1 mV step: Vout = previous Vout + LSB. Binary built as 5+6 bits (Excel DEC2BIN max 10 bits). Vout keeps accumulating; the 11-bit code saturates at 2047.</t>
  </si>
  <si>
    <t>Vin (mV)</t>
  </si>
  <si>
    <t>Previous output (mV)</t>
  </si>
  <si>
    <t>Fixed value (mV)</t>
  </si>
  <si>
    <t>Vout (mV) = Previous + Fixed</t>
  </si>
  <si>
    <t>Code = Vout / LSB (decimal)</t>
  </si>
  <si>
    <t>Code (11-bit binary)</t>
  </si>
  <si>
    <t>Code (hex)</t>
  </si>
  <si>
    <t>Overflow (&gt;2047)?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</si>
</sst>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10"/>
      <color rgb="FF666666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6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0"/>
  <sheetViews>
    <sheetView tabSelected="1" zoomScaleNormal="100" workbookViewId="0">
      <pane ySplit="9" topLeftCell="A10" activePane="bottomLeft" state="frozen"/>
      <selection pane="bottomLeft"/>
    </sheetView>
  </sheetViews>
  <sheetFormatPr defaultColWidth="8.7109375" defaultRowHeight="15"/>
  <cols>
    <col min="1" max="1" width="30" customWidth="1"/>
    <col min="2" max="2" width="18" customWidth="1"/>
    <col min="3" max="3" width="16" customWidth="1"/>
    <col min="4" max="4" width="24" customWidth="1"/>
    <col min="5" max="6" width="22" customWidth="1"/>
    <col min="7" max="7" width="12" customWidth="1"/>
    <col min="8" max="8" width="16" customWidth="1"/>
  </cols>
  <sheetData>
    <row r="1" spans="1:8" ht="17.45">
      <c r="A1" s="1" t="s">
        <v>0</v>
      </c>
    </row>
    <row r="3" spans="1:8">
      <c r="A3" s="2" t="s">
        <v>1</v>
      </c>
      <c r="B3" s="3">
        <v>2400</v>
      </c>
      <c r="C3" s="4" t="s">
        <v>2</v>
      </c>
    </row>
    <row r="4" spans="1:8">
      <c r="A4" s="2" t="s">
        <v>3</v>
      </c>
      <c r="B4" s="3">
        <v>11</v>
      </c>
      <c r="C4" s="4" t="s">
        <v>2</v>
      </c>
    </row>
    <row r="5" spans="1:8">
      <c r="A5" s="2" t="s">
        <v>4</v>
      </c>
      <c r="B5" s="5">
        <f>2^B4</f>
        <v>2048</v>
      </c>
      <c r="C5" s="4" t="s">
        <v>5</v>
      </c>
    </row>
    <row r="6" spans="1:8">
      <c r="A6" s="2" t="s">
        <v>6</v>
      </c>
      <c r="B6" s="6">
        <f>B3/B5</f>
        <v>1.171875</v>
      </c>
      <c r="C6" s="4" t="s">
        <v>7</v>
      </c>
    </row>
    <row r="7" spans="1:8">
      <c r="A7" s="2" t="s">
        <v>8</v>
      </c>
      <c r="B7" s="5">
        <f>B5-1</f>
        <v>2047</v>
      </c>
      <c r="C7" s="4" t="s">
        <v>9</v>
      </c>
    </row>
    <row r="8" spans="1:8">
      <c r="A8" s="4" t="s">
        <v>10</v>
      </c>
    </row>
    <row r="9" spans="1:8" ht="45" customHeight="1">
      <c r="A9" s="7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</row>
    <row r="10" spans="1:8">
      <c r="A10" s="8">
        <v>0</v>
      </c>
      <c r="B10" s="9">
        <v>0</v>
      </c>
      <c r="C10" s="9">
        <v>0</v>
      </c>
      <c r="D10" s="9">
        <f>B10+C10</f>
        <v>0</v>
      </c>
      <c r="E10" s="8">
        <f>MIN($B$7,ROUND(D10/$B$6,0))</f>
        <v>0</v>
      </c>
      <c r="F10" s="8" t="str">
        <f>DEC2BIN(INT(E10/64),5)&amp;DEC2BIN(MOD(E10,64),6)</f>
        <v>00000000000</v>
      </c>
      <c r="G10" s="8" t="str">
        <f>DEC2HEX(E10,3)</f>
        <v>000</v>
      </c>
      <c r="H10" s="8" t="str">
        <f>IF(ROUND(D10/$B$6,0)&gt;$B$7,"YES","NO")</f>
        <v>NO</v>
      </c>
    </row>
    <row r="11" spans="1:8">
      <c r="A11" s="10">
        <v>1</v>
      </c>
      <c r="B11" s="11">
        <f>D10</f>
        <v>0</v>
      </c>
      <c r="C11" s="11">
        <f>$B$6</f>
        <v>1.171875</v>
      </c>
      <c r="D11" s="11">
        <f>B11+C11</f>
        <v>1.171875</v>
      </c>
      <c r="E11" s="10">
        <f>MIN($B$7,ROUND(D11/$B$6,0))</f>
        <v>1</v>
      </c>
      <c r="F11" s="10" t="str">
        <f>DEC2BIN(INT(E11/64),5)&amp;DEC2BIN(MOD(E11,64),6)</f>
        <v>00000000001</v>
      </c>
      <c r="G11" s="10" t="str">
        <f>DEC2HEX(E11,3)</f>
        <v>001</v>
      </c>
      <c r="H11" s="10" t="str">
        <f>IF(ROUND(D11/$B$6,0)&gt;$B$7,"YES","NO")</f>
        <v>NO</v>
      </c>
    </row>
    <row r="12" spans="1:8">
      <c r="A12" s="8">
        <v>2</v>
      </c>
      <c r="B12" s="9">
        <f>D11</f>
        <v>1.171875</v>
      </c>
      <c r="C12" s="9">
        <f>$B$6</f>
        <v>1.171875</v>
      </c>
      <c r="D12" s="9">
        <f>B12+C12</f>
        <v>2.34375</v>
      </c>
      <c r="E12" s="8">
        <f>MIN($B$7,ROUND(D12/$B$6,0))</f>
        <v>2</v>
      </c>
      <c r="F12" s="8" t="str">
        <f>DEC2BIN(INT(E12/64),5)&amp;DEC2BIN(MOD(E12,64),6)</f>
        <v>00000000010</v>
      </c>
      <c r="G12" s="8" t="str">
        <f>DEC2HEX(E12,3)</f>
        <v>002</v>
      </c>
      <c r="H12" s="8" t="str">
        <f>IF(ROUND(D12/$B$6,0)&gt;$B$7,"YES","NO")</f>
        <v>NO</v>
      </c>
    </row>
    <row r="13" spans="1:8">
      <c r="A13" s="10">
        <v>3</v>
      </c>
      <c r="B13" s="11">
        <f>D12</f>
        <v>2.34375</v>
      </c>
      <c r="C13" s="11">
        <f>$B$6</f>
        <v>1.171875</v>
      </c>
      <c r="D13" s="11">
        <f>B13+C13</f>
        <v>3.515625</v>
      </c>
      <c r="E13" s="10">
        <f>MIN($B$7,ROUND(D13/$B$6,0))</f>
        <v>3</v>
      </c>
      <c r="F13" s="10" t="str">
        <f>DEC2BIN(INT(E13/64),5)&amp;DEC2BIN(MOD(E13,64),6)</f>
        <v>00000000011</v>
      </c>
      <c r="G13" s="10" t="str">
        <f>DEC2HEX(E13,3)</f>
        <v>003</v>
      </c>
      <c r="H13" s="10" t="str">
        <f>IF(ROUND(D13/$B$6,0)&gt;$B$7,"YES","NO")</f>
        <v>NO</v>
      </c>
    </row>
    <row r="14" spans="1:8">
      <c r="A14" s="8">
        <v>4</v>
      </c>
      <c r="B14" s="9">
        <f>D13</f>
        <v>3.515625</v>
      </c>
      <c r="C14" s="9">
        <f>$B$6</f>
        <v>1.171875</v>
      </c>
      <c r="D14" s="9">
        <f>B14+C14</f>
        <v>4.6875</v>
      </c>
      <c r="E14" s="8">
        <f>MIN($B$7,ROUND(D14/$B$6,0))</f>
        <v>4</v>
      </c>
      <c r="F14" s="8" t="str">
        <f>DEC2BIN(INT(E14/64),5)&amp;DEC2BIN(MOD(E14,64),6)</f>
        <v>00000000100</v>
      </c>
      <c r="G14" s="8" t="str">
        <f>DEC2HEX(E14,3)</f>
        <v>004</v>
      </c>
      <c r="H14" s="8" t="str">
        <f>IF(ROUND(D14/$B$6,0)&gt;$B$7,"YES","NO")</f>
        <v>NO</v>
      </c>
    </row>
    <row r="15" spans="1:8">
      <c r="A15" s="10">
        <v>5</v>
      </c>
      <c r="B15" s="11">
        <f>D14</f>
        <v>4.6875</v>
      </c>
      <c r="C15" s="11">
        <f>$B$6</f>
        <v>1.171875</v>
      </c>
      <c r="D15" s="11">
        <f>B15+C15</f>
        <v>5.859375</v>
      </c>
      <c r="E15" s="10">
        <f>MIN($B$7,ROUND(D15/$B$6,0))</f>
        <v>5</v>
      </c>
      <c r="F15" s="10" t="str">
        <f>DEC2BIN(INT(E15/64),5)&amp;DEC2BIN(MOD(E15,64),6)</f>
        <v>00000000101</v>
      </c>
      <c r="G15" s="10" t="str">
        <f>DEC2HEX(E15,3)</f>
        <v>005</v>
      </c>
      <c r="H15" s="10" t="str">
        <f>IF(ROUND(D15/$B$6,0)&gt;$B$7,"YES","NO")</f>
        <v>NO</v>
      </c>
    </row>
    <row r="16" spans="1:8">
      <c r="A16" s="8">
        <v>6</v>
      </c>
      <c r="B16" s="9">
        <f>D15</f>
        <v>5.859375</v>
      </c>
      <c r="C16" s="9">
        <f>$B$6</f>
        <v>1.171875</v>
      </c>
      <c r="D16" s="9">
        <f>B16+C16</f>
        <v>7.03125</v>
      </c>
      <c r="E16" s="8">
        <f>MIN($B$7,ROUND(D16/$B$6,0))</f>
        <v>6</v>
      </c>
      <c r="F16" s="8" t="str">
        <f>DEC2BIN(INT(E16/64),5)&amp;DEC2BIN(MOD(E16,64),6)</f>
        <v>00000000110</v>
      </c>
      <c r="G16" s="8" t="str">
        <f>DEC2HEX(E16,3)</f>
        <v>006</v>
      </c>
      <c r="H16" s="8" t="str">
        <f>IF(ROUND(D16/$B$6,0)&gt;$B$7,"YES","NO")</f>
        <v>NO</v>
      </c>
    </row>
    <row r="17" spans="1:8">
      <c r="A17" s="10">
        <v>7</v>
      </c>
      <c r="B17" s="11">
        <f>D16</f>
        <v>7.03125</v>
      </c>
      <c r="C17" s="11">
        <f>$B$6</f>
        <v>1.171875</v>
      </c>
      <c r="D17" s="11">
        <f>B17+C17</f>
        <v>8.203125</v>
      </c>
      <c r="E17" s="10">
        <f>MIN($B$7,ROUND(D17/$B$6,0))</f>
        <v>7</v>
      </c>
      <c r="F17" s="10" t="str">
        <f>DEC2BIN(INT(E17/64),5)&amp;DEC2BIN(MOD(E17,64),6)</f>
        <v>00000000111</v>
      </c>
      <c r="G17" s="10" t="str">
        <f>DEC2HEX(E17,3)</f>
        <v>007</v>
      </c>
      <c r="H17" s="10" t="str">
        <f>IF(ROUND(D17/$B$6,0)&gt;$B$7,"YES","NO")</f>
        <v>NO</v>
      </c>
    </row>
    <row r="18" spans="1:8">
      <c r="A18" s="8">
        <v>8</v>
      </c>
      <c r="B18" s="9">
        <f>D17</f>
        <v>8.203125</v>
      </c>
      <c r="C18" s="9">
        <f>$B$6</f>
        <v>1.171875</v>
      </c>
      <c r="D18" s="9">
        <f>B18+C18</f>
        <v>9.375</v>
      </c>
      <c r="E18" s="8">
        <f>MIN($B$7,ROUND(D18/$B$6,0))</f>
        <v>8</v>
      </c>
      <c r="F18" s="8" t="str">
        <f>DEC2BIN(INT(E18/64),5)&amp;DEC2BIN(MOD(E18,64),6)</f>
        <v>00000001000</v>
      </c>
      <c r="G18" s="8" t="str">
        <f>DEC2HEX(E18,3)</f>
        <v>008</v>
      </c>
      <c r="H18" s="8" t="str">
        <f>IF(ROUND(D18/$B$6,0)&gt;$B$7,"YES","NO")</f>
        <v>NO</v>
      </c>
    </row>
    <row r="19" spans="1:8">
      <c r="A19" s="10">
        <v>9</v>
      </c>
      <c r="B19" s="11">
        <f>D18</f>
        <v>9.375</v>
      </c>
      <c r="C19" s="11">
        <f>$B$6</f>
        <v>1.171875</v>
      </c>
      <c r="D19" s="11">
        <f>B19+C19</f>
        <v>10.546875</v>
      </c>
      <c r="E19" s="10">
        <f>MIN($B$7,ROUND(D19/$B$6,0))</f>
        <v>9</v>
      </c>
      <c r="F19" s="10" t="str">
        <f>DEC2BIN(INT(E19/64),5)&amp;DEC2BIN(MOD(E19,64),6)</f>
        <v>00000001001</v>
      </c>
      <c r="G19" s="10" t="str">
        <f>DEC2HEX(E19,3)</f>
        <v>009</v>
      </c>
      <c r="H19" s="10" t="str">
        <f>IF(ROUND(D19/$B$6,0)&gt;$B$7,"YES","NO")</f>
        <v>NO</v>
      </c>
    </row>
    <row r="20" spans="1:8">
      <c r="A20" s="8">
        <v>10</v>
      </c>
      <c r="B20" s="9">
        <f>D19</f>
        <v>10.546875</v>
      </c>
      <c r="C20" s="9">
        <f>$B$6</f>
        <v>1.171875</v>
      </c>
      <c r="D20" s="9">
        <f>B20+C20</f>
        <v>11.71875</v>
      </c>
      <c r="E20" s="8">
        <f>MIN($B$7,ROUND(D20/$B$6,0))</f>
        <v>10</v>
      </c>
      <c r="F20" s="8" t="str">
        <f>DEC2BIN(INT(E20/64),5)&amp;DEC2BIN(MOD(E20,64),6)</f>
        <v>00000001010</v>
      </c>
      <c r="G20" s="8" t="str">
        <f>DEC2HEX(E20,3)</f>
        <v>00A</v>
      </c>
      <c r="H20" s="8" t="str">
        <f>IF(ROUND(D20/$B$6,0)&gt;$B$7,"YES","NO")</f>
        <v>NO</v>
      </c>
    </row>
    <row r="21" spans="1:8">
      <c r="A21" s="10">
        <v>11</v>
      </c>
      <c r="B21" s="11">
        <f>D20</f>
        <v>11.71875</v>
      </c>
      <c r="C21" s="11">
        <f>$B$6</f>
        <v>1.171875</v>
      </c>
      <c r="D21" s="11">
        <f>B21+C21</f>
        <v>12.890625</v>
      </c>
      <c r="E21" s="10">
        <f>MIN($B$7,ROUND(D21/$B$6,0))</f>
        <v>11</v>
      </c>
      <c r="F21" s="10" t="str">
        <f>DEC2BIN(INT(E21/64),5)&amp;DEC2BIN(MOD(E21,64),6)</f>
        <v>00000001011</v>
      </c>
      <c r="G21" s="10" t="str">
        <f>DEC2HEX(E21,3)</f>
        <v>00B</v>
      </c>
      <c r="H21" s="10" t="str">
        <f>IF(ROUND(D21/$B$6,0)&gt;$B$7,"YES","NO")</f>
        <v>NO</v>
      </c>
    </row>
    <row r="22" spans="1:8">
      <c r="A22" s="8">
        <v>12</v>
      </c>
      <c r="B22" s="9">
        <f>D21</f>
        <v>12.890625</v>
      </c>
      <c r="C22" s="9">
        <f>$B$6</f>
        <v>1.171875</v>
      </c>
      <c r="D22" s="9">
        <f>B22+C22</f>
        <v>14.0625</v>
      </c>
      <c r="E22" s="8">
        <f>MIN($B$7,ROUND(D22/$B$6,0))</f>
        <v>12</v>
      </c>
      <c r="F22" s="8" t="str">
        <f>DEC2BIN(INT(E22/64),5)&amp;DEC2BIN(MOD(E22,64),6)</f>
        <v>00000001100</v>
      </c>
      <c r="G22" s="8" t="str">
        <f>DEC2HEX(E22,3)</f>
        <v>00C</v>
      </c>
      <c r="H22" s="8" t="str">
        <f>IF(ROUND(D22/$B$6,0)&gt;$B$7,"YES","NO")</f>
        <v>NO</v>
      </c>
    </row>
    <row r="23" spans="1:8">
      <c r="A23" s="10">
        <v>13</v>
      </c>
      <c r="B23" s="11">
        <f>D22</f>
        <v>14.0625</v>
      </c>
      <c r="C23" s="11">
        <f>$B$6</f>
        <v>1.171875</v>
      </c>
      <c r="D23" s="11">
        <f>B23+C23</f>
        <v>15.234375</v>
      </c>
      <c r="E23" s="10">
        <f>MIN($B$7,ROUND(D23/$B$6,0))</f>
        <v>13</v>
      </c>
      <c r="F23" s="10" t="str">
        <f>DEC2BIN(INT(E23/64),5)&amp;DEC2BIN(MOD(E23,64),6)</f>
        <v>00000001101</v>
      </c>
      <c r="G23" s="10" t="str">
        <f>DEC2HEX(E23,3)</f>
        <v>00D</v>
      </c>
      <c r="H23" s="10" t="str">
        <f>IF(ROUND(D23/$B$6,0)&gt;$B$7,"YES","NO")</f>
        <v>NO</v>
      </c>
    </row>
    <row r="24" spans="1:8">
      <c r="A24" s="8">
        <v>14</v>
      </c>
      <c r="B24" s="9">
        <f>D23</f>
        <v>15.234375</v>
      </c>
      <c r="C24" s="9">
        <f>$B$6</f>
        <v>1.171875</v>
      </c>
      <c r="D24" s="9">
        <f>B24+C24</f>
        <v>16.40625</v>
      </c>
      <c r="E24" s="8">
        <f>MIN($B$7,ROUND(D24/$B$6,0))</f>
        <v>14</v>
      </c>
      <c r="F24" s="8" t="str">
        <f>DEC2BIN(INT(E24/64),5)&amp;DEC2BIN(MOD(E24,64),6)</f>
        <v>00000001110</v>
      </c>
      <c r="G24" s="8" t="str">
        <f>DEC2HEX(E24,3)</f>
        <v>00E</v>
      </c>
      <c r="H24" s="8" t="str">
        <f>IF(ROUND(D24/$B$6,0)&gt;$B$7,"YES","NO")</f>
        <v>NO</v>
      </c>
    </row>
    <row r="25" spans="1:8">
      <c r="A25" s="10">
        <v>15</v>
      </c>
      <c r="B25" s="11">
        <f>D24</f>
        <v>16.40625</v>
      </c>
      <c r="C25" s="11">
        <f>$B$6</f>
        <v>1.171875</v>
      </c>
      <c r="D25" s="11">
        <f>B25+C25</f>
        <v>17.578125</v>
      </c>
      <c r="E25" s="10">
        <f>MIN($B$7,ROUND(D25/$B$6,0))</f>
        <v>15</v>
      </c>
      <c r="F25" s="10" t="str">
        <f>DEC2BIN(INT(E25/64),5)&amp;DEC2BIN(MOD(E25,64),6)</f>
        <v>00000001111</v>
      </c>
      <c r="G25" s="10" t="str">
        <f>DEC2HEX(E25,3)</f>
        <v>00F</v>
      </c>
      <c r="H25" s="10" t="str">
        <f>IF(ROUND(D25/$B$6,0)&gt;$B$7,"YES","NO")</f>
        <v>NO</v>
      </c>
    </row>
    <row r="26" spans="1:8">
      <c r="A26" s="8">
        <v>16</v>
      </c>
      <c r="B26" s="9">
        <f>D25</f>
        <v>17.578125</v>
      </c>
      <c r="C26" s="9">
        <f>$B$6</f>
        <v>1.171875</v>
      </c>
      <c r="D26" s="9">
        <f>B26+C26</f>
        <v>18.75</v>
      </c>
      <c r="E26" s="8">
        <f>MIN($B$7,ROUND(D26/$B$6,0))</f>
        <v>16</v>
      </c>
      <c r="F26" s="8" t="str">
        <f>DEC2BIN(INT(E26/64),5)&amp;DEC2BIN(MOD(E26,64),6)</f>
        <v>00000010000</v>
      </c>
      <c r="G26" s="8" t="str">
        <f>DEC2HEX(E26,3)</f>
        <v>010</v>
      </c>
      <c r="H26" s="8" t="str">
        <f>IF(ROUND(D26/$B$6,0)&gt;$B$7,"YES","NO")</f>
        <v>NO</v>
      </c>
    </row>
    <row r="27" spans="1:8">
      <c r="A27" s="10">
        <v>17</v>
      </c>
      <c r="B27" s="11">
        <f>D26</f>
        <v>18.75</v>
      </c>
      <c r="C27" s="11">
        <f>$B$6</f>
        <v>1.171875</v>
      </c>
      <c r="D27" s="11">
        <f>B27+C27</f>
        <v>19.921875</v>
      </c>
      <c r="E27" s="10">
        <f>MIN($B$7,ROUND(D27/$B$6,0))</f>
        <v>17</v>
      </c>
      <c r="F27" s="10" t="str">
        <f>DEC2BIN(INT(E27/64),5)&amp;DEC2BIN(MOD(E27,64),6)</f>
        <v>00000010001</v>
      </c>
      <c r="G27" s="10" t="str">
        <f>DEC2HEX(E27,3)</f>
        <v>011</v>
      </c>
      <c r="H27" s="10" t="str">
        <f>IF(ROUND(D27/$B$6,0)&gt;$B$7,"YES","NO")</f>
        <v>NO</v>
      </c>
    </row>
    <row r="28" spans="1:8">
      <c r="A28" s="8">
        <v>18</v>
      </c>
      <c r="B28" s="9">
        <f>D27</f>
        <v>19.921875</v>
      </c>
      <c r="C28" s="9">
        <f>$B$6</f>
        <v>1.171875</v>
      </c>
      <c r="D28" s="9">
        <f>B28+C28</f>
        <v>21.09375</v>
      </c>
      <c r="E28" s="8">
        <f>MIN($B$7,ROUND(D28/$B$6,0))</f>
        <v>18</v>
      </c>
      <c r="F28" s="8" t="str">
        <f>DEC2BIN(INT(E28/64),5)&amp;DEC2BIN(MOD(E28,64),6)</f>
        <v>00000010010</v>
      </c>
      <c r="G28" s="8" t="str">
        <f>DEC2HEX(E28,3)</f>
        <v>012</v>
      </c>
      <c r="H28" s="8" t="str">
        <f>IF(ROUND(D28/$B$6,0)&gt;$B$7,"YES","NO")</f>
        <v>NO</v>
      </c>
    </row>
    <row r="29" spans="1:8">
      <c r="A29" s="10">
        <v>19</v>
      </c>
      <c r="B29" s="11">
        <f>D28</f>
        <v>21.09375</v>
      </c>
      <c r="C29" s="11">
        <f>$B$6</f>
        <v>1.171875</v>
      </c>
      <c r="D29" s="11">
        <f>B29+C29</f>
        <v>22.265625</v>
      </c>
      <c r="E29" s="10">
        <f>MIN($B$7,ROUND(D29/$B$6,0))</f>
        <v>19</v>
      </c>
      <c r="F29" s="10" t="str">
        <f>DEC2BIN(INT(E29/64),5)&amp;DEC2BIN(MOD(E29,64),6)</f>
        <v>00000010011</v>
      </c>
      <c r="G29" s="10" t="str">
        <f>DEC2HEX(E29,3)</f>
        <v>013</v>
      </c>
      <c r="H29" s="10" t="str">
        <f>IF(ROUND(D29/$B$6,0)&gt;$B$7,"YES","NO")</f>
        <v>NO</v>
      </c>
    </row>
    <row r="30" spans="1:8">
      <c r="A30" s="8">
        <v>20</v>
      </c>
      <c r="B30" s="9">
        <f>D29</f>
        <v>22.265625</v>
      </c>
      <c r="C30" s="9">
        <f>$B$6</f>
        <v>1.171875</v>
      </c>
      <c r="D30" s="9">
        <f>B30+C30</f>
        <v>23.4375</v>
      </c>
      <c r="E30" s="8">
        <f>MIN($B$7,ROUND(D30/$B$6,0))</f>
        <v>20</v>
      </c>
      <c r="F30" s="8" t="str">
        <f>DEC2BIN(INT(E30/64),5)&amp;DEC2BIN(MOD(E30,64),6)</f>
        <v>00000010100</v>
      </c>
      <c r="G30" s="8" t="str">
        <f>DEC2HEX(E30,3)</f>
        <v>014</v>
      </c>
      <c r="H30" s="8" t="str">
        <f>IF(ROUND(D30/$B$6,0)&gt;$B$7,"YES","NO")</f>
        <v>NO</v>
      </c>
    </row>
    <row r="31" spans="1:8">
      <c r="A31" s="10">
        <v>21</v>
      </c>
      <c r="B31" s="11">
        <f>D30</f>
        <v>23.4375</v>
      </c>
      <c r="C31" s="11">
        <f>$B$6</f>
        <v>1.171875</v>
      </c>
      <c r="D31" s="11">
        <f>B31+C31</f>
        <v>24.609375</v>
      </c>
      <c r="E31" s="10">
        <f>MIN($B$7,ROUND(D31/$B$6,0))</f>
        <v>21</v>
      </c>
      <c r="F31" s="10" t="str">
        <f>DEC2BIN(INT(E31/64),5)&amp;DEC2BIN(MOD(E31,64),6)</f>
        <v>00000010101</v>
      </c>
      <c r="G31" s="10" t="str">
        <f>DEC2HEX(E31,3)</f>
        <v>015</v>
      </c>
      <c r="H31" s="10" t="str">
        <f>IF(ROUND(D31/$B$6,0)&gt;$B$7,"YES","NO")</f>
        <v>NO</v>
      </c>
    </row>
    <row r="32" spans="1:8">
      <c r="A32" s="8">
        <v>22</v>
      </c>
      <c r="B32" s="9">
        <f>D31</f>
        <v>24.609375</v>
      </c>
      <c r="C32" s="9">
        <f>$B$6</f>
        <v>1.171875</v>
      </c>
      <c r="D32" s="9">
        <f>B32+C32</f>
        <v>25.78125</v>
      </c>
      <c r="E32" s="8">
        <f>MIN($B$7,ROUND(D32/$B$6,0))</f>
        <v>22</v>
      </c>
      <c r="F32" s="8" t="str">
        <f>DEC2BIN(INT(E32/64),5)&amp;DEC2BIN(MOD(E32,64),6)</f>
        <v>00000010110</v>
      </c>
      <c r="G32" s="8" t="str">
        <f>DEC2HEX(E32,3)</f>
        <v>016</v>
      </c>
      <c r="H32" s="8" t="str">
        <f>IF(ROUND(D32/$B$6,0)&gt;$B$7,"YES","NO")</f>
        <v>NO</v>
      </c>
    </row>
    <row r="33" spans="1:8">
      <c r="A33" s="10">
        <v>23</v>
      </c>
      <c r="B33" s="11">
        <f>D32</f>
        <v>25.78125</v>
      </c>
      <c r="C33" s="11">
        <f>$B$6</f>
        <v>1.171875</v>
      </c>
      <c r="D33" s="11">
        <f>B33+C33</f>
        <v>26.953125</v>
      </c>
      <c r="E33" s="10">
        <f>MIN($B$7,ROUND(D33/$B$6,0))</f>
        <v>23</v>
      </c>
      <c r="F33" s="10" t="str">
        <f>DEC2BIN(INT(E33/64),5)&amp;DEC2BIN(MOD(E33,64),6)</f>
        <v>00000010111</v>
      </c>
      <c r="G33" s="10" t="str">
        <f>DEC2HEX(E33,3)</f>
        <v>017</v>
      </c>
      <c r="H33" s="10" t="str">
        <f>IF(ROUND(D33/$B$6,0)&gt;$B$7,"YES","NO")</f>
        <v>NO</v>
      </c>
    </row>
    <row r="34" spans="1:8">
      <c r="A34" s="8">
        <v>24</v>
      </c>
      <c r="B34" s="9">
        <f>D33</f>
        <v>26.953125</v>
      </c>
      <c r="C34" s="9">
        <f>$B$6</f>
        <v>1.171875</v>
      </c>
      <c r="D34" s="9">
        <f>B34+C34</f>
        <v>28.125</v>
      </c>
      <c r="E34" s="8">
        <f>MIN($B$7,ROUND(D34/$B$6,0))</f>
        <v>24</v>
      </c>
      <c r="F34" s="8" t="str">
        <f>DEC2BIN(INT(E34/64),5)&amp;DEC2BIN(MOD(E34,64),6)</f>
        <v>00000011000</v>
      </c>
      <c r="G34" s="8" t="str">
        <f>DEC2HEX(E34,3)</f>
        <v>018</v>
      </c>
      <c r="H34" s="8" t="str">
        <f>IF(ROUND(D34/$B$6,0)&gt;$B$7,"YES","NO")</f>
        <v>NO</v>
      </c>
    </row>
    <row r="35" spans="1:8">
      <c r="A35" s="10">
        <v>25</v>
      </c>
      <c r="B35" s="11">
        <f>D34</f>
        <v>28.125</v>
      </c>
      <c r="C35" s="11">
        <f>$B$6</f>
        <v>1.171875</v>
      </c>
      <c r="D35" s="11">
        <f>B35+C35</f>
        <v>29.296875</v>
      </c>
      <c r="E35" s="10">
        <f>MIN($B$7,ROUND(D35/$B$6,0))</f>
        <v>25</v>
      </c>
      <c r="F35" s="10" t="str">
        <f>DEC2BIN(INT(E35/64),5)&amp;DEC2BIN(MOD(E35,64),6)</f>
        <v>00000011001</v>
      </c>
      <c r="G35" s="10" t="str">
        <f>DEC2HEX(E35,3)</f>
        <v>019</v>
      </c>
      <c r="H35" s="10" t="str">
        <f>IF(ROUND(D35/$B$6,0)&gt;$B$7,"YES","NO")</f>
        <v>NO</v>
      </c>
    </row>
    <row r="36" spans="1:8">
      <c r="A36" s="8">
        <v>26</v>
      </c>
      <c r="B36" s="9">
        <f>D35</f>
        <v>29.296875</v>
      </c>
      <c r="C36" s="9">
        <f>$B$6</f>
        <v>1.171875</v>
      </c>
      <c r="D36" s="9">
        <f>B36+C36</f>
        <v>30.46875</v>
      </c>
      <c r="E36" s="8">
        <f>MIN($B$7,ROUND(D36/$B$6,0))</f>
        <v>26</v>
      </c>
      <c r="F36" s="8" t="str">
        <f>DEC2BIN(INT(E36/64),5)&amp;DEC2BIN(MOD(E36,64),6)</f>
        <v>00000011010</v>
      </c>
      <c r="G36" s="8" t="str">
        <f>DEC2HEX(E36,3)</f>
        <v>01A</v>
      </c>
      <c r="H36" s="8" t="str">
        <f>IF(ROUND(D36/$B$6,0)&gt;$B$7,"YES","NO")</f>
        <v>NO</v>
      </c>
    </row>
    <row r="37" spans="1:8">
      <c r="A37" s="10">
        <v>27</v>
      </c>
      <c r="B37" s="11">
        <f>D36</f>
        <v>30.46875</v>
      </c>
      <c r="C37" s="11">
        <f>$B$6</f>
        <v>1.171875</v>
      </c>
      <c r="D37" s="11">
        <f>B37+C37</f>
        <v>31.640625</v>
      </c>
      <c r="E37" s="10">
        <f>MIN($B$7,ROUND(D37/$B$6,0))</f>
        <v>27</v>
      </c>
      <c r="F37" s="10" t="str">
        <f>DEC2BIN(INT(E37/64),5)&amp;DEC2BIN(MOD(E37,64),6)</f>
        <v>00000011011</v>
      </c>
      <c r="G37" s="10" t="str">
        <f>DEC2HEX(E37,3)</f>
        <v>01B</v>
      </c>
      <c r="H37" s="10" t="str">
        <f>IF(ROUND(D37/$B$6,0)&gt;$B$7,"YES","NO")</f>
        <v>NO</v>
      </c>
    </row>
    <row r="38" spans="1:8">
      <c r="A38" s="8">
        <v>28</v>
      </c>
      <c r="B38" s="9">
        <f>D37</f>
        <v>31.640625</v>
      </c>
      <c r="C38" s="9">
        <f>$B$6</f>
        <v>1.171875</v>
      </c>
      <c r="D38" s="9">
        <f>B38+C38</f>
        <v>32.8125</v>
      </c>
      <c r="E38" s="8">
        <f>MIN($B$7,ROUND(D38/$B$6,0))</f>
        <v>28</v>
      </c>
      <c r="F38" s="8" t="str">
        <f>DEC2BIN(INT(E38/64),5)&amp;DEC2BIN(MOD(E38,64),6)</f>
        <v>00000011100</v>
      </c>
      <c r="G38" s="8" t="str">
        <f>DEC2HEX(E38,3)</f>
        <v>01C</v>
      </c>
      <c r="H38" s="8" t="str">
        <f>IF(ROUND(D38/$B$6,0)&gt;$B$7,"YES","NO")</f>
        <v>NO</v>
      </c>
    </row>
    <row r="39" spans="1:8">
      <c r="A39" s="10">
        <v>29</v>
      </c>
      <c r="B39" s="11">
        <f>D38</f>
        <v>32.8125</v>
      </c>
      <c r="C39" s="11">
        <f>$B$6</f>
        <v>1.171875</v>
      </c>
      <c r="D39" s="11">
        <f>B39+C39</f>
        <v>33.984375</v>
      </c>
      <c r="E39" s="10">
        <f>MIN($B$7,ROUND(D39/$B$6,0))</f>
        <v>29</v>
      </c>
      <c r="F39" s="10" t="str">
        <f>DEC2BIN(INT(E39/64),5)&amp;DEC2BIN(MOD(E39,64),6)</f>
        <v>00000011101</v>
      </c>
      <c r="G39" s="10" t="str">
        <f>DEC2HEX(E39,3)</f>
        <v>01D</v>
      </c>
      <c r="H39" s="10" t="str">
        <f>IF(ROUND(D39/$B$6,0)&gt;$B$7,"YES","NO")</f>
        <v>NO</v>
      </c>
    </row>
    <row r="40" spans="1:8">
      <c r="A40" s="8">
        <v>30</v>
      </c>
      <c r="B40" s="9">
        <f>D39</f>
        <v>33.984375</v>
      </c>
      <c r="C40" s="9">
        <f>$B$6</f>
        <v>1.171875</v>
      </c>
      <c r="D40" s="9">
        <f>B40+C40</f>
        <v>35.15625</v>
      </c>
      <c r="E40" s="8">
        <f>MIN($B$7,ROUND(D40/$B$6,0))</f>
        <v>30</v>
      </c>
      <c r="F40" s="8" t="str">
        <f>DEC2BIN(INT(E40/64),5)&amp;DEC2BIN(MOD(E40,64),6)</f>
        <v>00000011110</v>
      </c>
      <c r="G40" s="8" t="str">
        <f>DEC2HEX(E40,3)</f>
        <v>01E</v>
      </c>
      <c r="H40" s="8" t="str">
        <f>IF(ROUND(D40/$B$6,0)&gt;$B$7,"YES","NO")</f>
        <v>NO</v>
      </c>
    </row>
    <row r="41" spans="1:8">
      <c r="A41" s="10">
        <v>31</v>
      </c>
      <c r="B41" s="11">
        <f>D40</f>
        <v>35.15625</v>
      </c>
      <c r="C41" s="11">
        <f>$B$6</f>
        <v>1.171875</v>
      </c>
      <c r="D41" s="11">
        <f>B41+C41</f>
        <v>36.328125</v>
      </c>
      <c r="E41" s="10">
        <f>MIN($B$7,ROUND(D41/$B$6,0))</f>
        <v>31</v>
      </c>
      <c r="F41" s="10" t="str">
        <f>DEC2BIN(INT(E41/64),5)&amp;DEC2BIN(MOD(E41,64),6)</f>
        <v>00000011111</v>
      </c>
      <c r="G41" s="10" t="str">
        <f>DEC2HEX(E41,3)</f>
        <v>01F</v>
      </c>
      <c r="H41" s="10" t="str">
        <f>IF(ROUND(D41/$B$6,0)&gt;$B$7,"YES","NO")</f>
        <v>NO</v>
      </c>
    </row>
    <row r="42" spans="1:8">
      <c r="A42" s="8">
        <v>32</v>
      </c>
      <c r="B42" s="9">
        <f>D41</f>
        <v>36.328125</v>
      </c>
      <c r="C42" s="9">
        <f>$B$6</f>
        <v>1.171875</v>
      </c>
      <c r="D42" s="9">
        <f>B42+C42</f>
        <v>37.5</v>
      </c>
      <c r="E42" s="8">
        <f>MIN($B$7,ROUND(D42/$B$6,0))</f>
        <v>32</v>
      </c>
      <c r="F42" s="8" t="str">
        <f>DEC2BIN(INT(E42/64),5)&amp;DEC2BIN(MOD(E42,64),6)</f>
        <v>00000100000</v>
      </c>
      <c r="G42" s="8" t="str">
        <f>DEC2HEX(E42,3)</f>
        <v>020</v>
      </c>
      <c r="H42" s="8" t="str">
        <f>IF(ROUND(D42/$B$6,0)&gt;$B$7,"YES","NO")</f>
        <v>NO</v>
      </c>
    </row>
    <row r="43" spans="1:8">
      <c r="A43" s="10">
        <v>33</v>
      </c>
      <c r="B43" s="11">
        <f>D42</f>
        <v>37.5</v>
      </c>
      <c r="C43" s="11">
        <f>$B$6</f>
        <v>1.171875</v>
      </c>
      <c r="D43" s="11">
        <f>B43+C43</f>
        <v>38.671875</v>
      </c>
      <c r="E43" s="10">
        <f>MIN($B$7,ROUND(D43/$B$6,0))</f>
        <v>33</v>
      </c>
      <c r="F43" s="10" t="str">
        <f>DEC2BIN(INT(E43/64),5)&amp;DEC2BIN(MOD(E43,64),6)</f>
        <v>00000100001</v>
      </c>
      <c r="G43" s="10" t="str">
        <f>DEC2HEX(E43,3)</f>
        <v>021</v>
      </c>
      <c r="H43" s="10" t="str">
        <f>IF(ROUND(D43/$B$6,0)&gt;$B$7,"YES","NO")</f>
        <v>NO</v>
      </c>
    </row>
    <row r="44" spans="1:8">
      <c r="A44" s="8">
        <v>34</v>
      </c>
      <c r="B44" s="9">
        <f>D43</f>
        <v>38.671875</v>
      </c>
      <c r="C44" s="9">
        <f>$B$6</f>
        <v>1.171875</v>
      </c>
      <c r="D44" s="9">
        <f>B44+C44</f>
        <v>39.84375</v>
      </c>
      <c r="E44" s="8">
        <f>MIN($B$7,ROUND(D44/$B$6,0))</f>
        <v>34</v>
      </c>
      <c r="F44" s="8" t="str">
        <f>DEC2BIN(INT(E44/64),5)&amp;DEC2BIN(MOD(E44,64),6)</f>
        <v>00000100010</v>
      </c>
      <c r="G44" s="8" t="str">
        <f>DEC2HEX(E44,3)</f>
        <v>022</v>
      </c>
      <c r="H44" s="8" t="str">
        <f>IF(ROUND(D44/$B$6,0)&gt;$B$7,"YES","NO")</f>
        <v>NO</v>
      </c>
    </row>
    <row r="45" spans="1:8">
      <c r="A45" s="10">
        <v>35</v>
      </c>
      <c r="B45" s="11">
        <f>D44</f>
        <v>39.84375</v>
      </c>
      <c r="C45" s="11">
        <f>$B$6</f>
        <v>1.171875</v>
      </c>
      <c r="D45" s="11">
        <f>B45+C45</f>
        <v>41.015625</v>
      </c>
      <c r="E45" s="10">
        <f>MIN($B$7,ROUND(D45/$B$6,0))</f>
        <v>35</v>
      </c>
      <c r="F45" s="10" t="str">
        <f>DEC2BIN(INT(E45/64),5)&amp;DEC2BIN(MOD(E45,64),6)</f>
        <v>00000100011</v>
      </c>
      <c r="G45" s="10" t="str">
        <f>DEC2HEX(E45,3)</f>
        <v>023</v>
      </c>
      <c r="H45" s="10" t="str">
        <f>IF(ROUND(D45/$B$6,0)&gt;$B$7,"YES","NO")</f>
        <v>NO</v>
      </c>
    </row>
    <row r="46" spans="1:8">
      <c r="A46" s="8">
        <v>36</v>
      </c>
      <c r="B46" s="9">
        <f>D45</f>
        <v>41.015625</v>
      </c>
      <c r="C46" s="9">
        <f>$B$6</f>
        <v>1.171875</v>
      </c>
      <c r="D46" s="9">
        <f>B46+C46</f>
        <v>42.1875</v>
      </c>
      <c r="E46" s="8">
        <f>MIN($B$7,ROUND(D46/$B$6,0))</f>
        <v>36</v>
      </c>
      <c r="F46" s="8" t="str">
        <f>DEC2BIN(INT(E46/64),5)&amp;DEC2BIN(MOD(E46,64),6)</f>
        <v>00000100100</v>
      </c>
      <c r="G46" s="8" t="str">
        <f>DEC2HEX(E46,3)</f>
        <v>024</v>
      </c>
      <c r="H46" s="8" t="str">
        <f>IF(ROUND(D46/$B$6,0)&gt;$B$7,"YES","NO")</f>
        <v>NO</v>
      </c>
    </row>
    <row r="47" spans="1:8">
      <c r="A47" s="10">
        <v>37</v>
      </c>
      <c r="B47" s="11">
        <f>D46</f>
        <v>42.1875</v>
      </c>
      <c r="C47" s="11">
        <f>$B$6</f>
        <v>1.171875</v>
      </c>
      <c r="D47" s="11">
        <f>B47+C47</f>
        <v>43.359375</v>
      </c>
      <c r="E47" s="10">
        <f>MIN($B$7,ROUND(D47/$B$6,0))</f>
        <v>37</v>
      </c>
      <c r="F47" s="10" t="str">
        <f>DEC2BIN(INT(E47/64),5)&amp;DEC2BIN(MOD(E47,64),6)</f>
        <v>00000100101</v>
      </c>
      <c r="G47" s="10" t="str">
        <f>DEC2HEX(E47,3)</f>
        <v>025</v>
      </c>
      <c r="H47" s="10" t="str">
        <f>IF(ROUND(D47/$B$6,0)&gt;$B$7,"YES","NO")</f>
        <v>NO</v>
      </c>
    </row>
    <row r="48" spans="1:8">
      <c r="A48" s="8">
        <v>38</v>
      </c>
      <c r="B48" s="9">
        <f>D47</f>
        <v>43.359375</v>
      </c>
      <c r="C48" s="9">
        <f>$B$6</f>
        <v>1.171875</v>
      </c>
      <c r="D48" s="9">
        <f>B48+C48</f>
        <v>44.53125</v>
      </c>
      <c r="E48" s="8">
        <f>MIN($B$7,ROUND(D48/$B$6,0))</f>
        <v>38</v>
      </c>
      <c r="F48" s="8" t="str">
        <f>DEC2BIN(INT(E48/64),5)&amp;DEC2BIN(MOD(E48,64),6)</f>
        <v>00000100110</v>
      </c>
      <c r="G48" s="8" t="str">
        <f>DEC2HEX(E48,3)</f>
        <v>026</v>
      </c>
      <c r="H48" s="8" t="str">
        <f>IF(ROUND(D48/$B$6,0)&gt;$B$7,"YES","NO")</f>
        <v>NO</v>
      </c>
    </row>
    <row r="49" spans="1:8">
      <c r="A49" s="10">
        <v>39</v>
      </c>
      <c r="B49" s="11">
        <f>D48</f>
        <v>44.53125</v>
      </c>
      <c r="C49" s="11">
        <f>$B$6</f>
        <v>1.171875</v>
      </c>
      <c r="D49" s="11">
        <f>B49+C49</f>
        <v>45.703125</v>
      </c>
      <c r="E49" s="10">
        <f>MIN($B$7,ROUND(D49/$B$6,0))</f>
        <v>39</v>
      </c>
      <c r="F49" s="10" t="str">
        <f>DEC2BIN(INT(E49/64),5)&amp;DEC2BIN(MOD(E49,64),6)</f>
        <v>00000100111</v>
      </c>
      <c r="G49" s="10" t="str">
        <f>DEC2HEX(E49,3)</f>
        <v>027</v>
      </c>
      <c r="H49" s="10" t="str">
        <f>IF(ROUND(D49/$B$6,0)&gt;$B$7,"YES","NO")</f>
        <v>NO</v>
      </c>
    </row>
    <row r="50" spans="1:8">
      <c r="A50" s="8">
        <v>40</v>
      </c>
      <c r="B50" s="9">
        <f>D49</f>
        <v>45.703125</v>
      </c>
      <c r="C50" s="9">
        <f>$B$6</f>
        <v>1.171875</v>
      </c>
      <c r="D50" s="9">
        <f>B50+C50</f>
        <v>46.875</v>
      </c>
      <c r="E50" s="8">
        <f>MIN($B$7,ROUND(D50/$B$6,0))</f>
        <v>40</v>
      </c>
      <c r="F50" s="8" t="str">
        <f>DEC2BIN(INT(E50/64),5)&amp;DEC2BIN(MOD(E50,64),6)</f>
        <v>00000101000</v>
      </c>
      <c r="G50" s="8" t="str">
        <f>DEC2HEX(E50,3)</f>
        <v>028</v>
      </c>
      <c r="H50" s="8" t="str">
        <f>IF(ROUND(D50/$B$6,0)&gt;$B$7,"YES","NO")</f>
        <v>NO</v>
      </c>
    </row>
    <row r="51" spans="1:8">
      <c r="A51" s="10">
        <v>41</v>
      </c>
      <c r="B51" s="11">
        <f>D50</f>
        <v>46.875</v>
      </c>
      <c r="C51" s="11">
        <f>$B$6</f>
        <v>1.171875</v>
      </c>
      <c r="D51" s="11">
        <f>B51+C51</f>
        <v>48.046875</v>
      </c>
      <c r="E51" s="10">
        <f>MIN($B$7,ROUND(D51/$B$6,0))</f>
        <v>41</v>
      </c>
      <c r="F51" s="10" t="str">
        <f>DEC2BIN(INT(E51/64),5)&amp;DEC2BIN(MOD(E51,64),6)</f>
        <v>00000101001</v>
      </c>
      <c r="G51" s="10" t="str">
        <f>DEC2HEX(E51,3)</f>
        <v>029</v>
      </c>
      <c r="H51" s="10" t="str">
        <f>IF(ROUND(D51/$B$6,0)&gt;$B$7,"YES","NO")</f>
        <v>NO</v>
      </c>
    </row>
    <row r="52" spans="1:8">
      <c r="A52" s="8">
        <v>42</v>
      </c>
      <c r="B52" s="9">
        <f>D51</f>
        <v>48.046875</v>
      </c>
      <c r="C52" s="9">
        <f>$B$6</f>
        <v>1.171875</v>
      </c>
      <c r="D52" s="9">
        <f>B52+C52</f>
        <v>49.21875</v>
      </c>
      <c r="E52" s="8">
        <f>MIN($B$7,ROUND(D52/$B$6,0))</f>
        <v>42</v>
      </c>
      <c r="F52" s="8" t="str">
        <f>DEC2BIN(INT(E52/64),5)&amp;DEC2BIN(MOD(E52,64),6)</f>
        <v>00000101010</v>
      </c>
      <c r="G52" s="8" t="str">
        <f>DEC2HEX(E52,3)</f>
        <v>02A</v>
      </c>
      <c r="H52" s="8" t="str">
        <f>IF(ROUND(D52/$B$6,0)&gt;$B$7,"YES","NO")</f>
        <v>NO</v>
      </c>
    </row>
    <row r="53" spans="1:8">
      <c r="A53" s="10">
        <v>43</v>
      </c>
      <c r="B53" s="11">
        <f>D52</f>
        <v>49.21875</v>
      </c>
      <c r="C53" s="11">
        <f>$B$6</f>
        <v>1.171875</v>
      </c>
      <c r="D53" s="11">
        <f>B53+C53</f>
        <v>50.390625</v>
      </c>
      <c r="E53" s="10">
        <f>MIN($B$7,ROUND(D53/$B$6,0))</f>
        <v>43</v>
      </c>
      <c r="F53" s="10" t="str">
        <f>DEC2BIN(INT(E53/64),5)&amp;DEC2BIN(MOD(E53,64),6)</f>
        <v>00000101011</v>
      </c>
      <c r="G53" s="10" t="str">
        <f>DEC2HEX(E53,3)</f>
        <v>02B</v>
      </c>
      <c r="H53" s="10" t="str">
        <f>IF(ROUND(D53/$B$6,0)&gt;$B$7,"YES","NO")</f>
        <v>NO</v>
      </c>
    </row>
    <row r="54" spans="1:8">
      <c r="A54" s="8">
        <v>44</v>
      </c>
      <c r="B54" s="9">
        <f>D53</f>
        <v>50.390625</v>
      </c>
      <c r="C54" s="9">
        <f>$B$6</f>
        <v>1.171875</v>
      </c>
      <c r="D54" s="9">
        <f>B54+C54</f>
        <v>51.5625</v>
      </c>
      <c r="E54" s="8">
        <f>MIN($B$7,ROUND(D54/$B$6,0))</f>
        <v>44</v>
      </c>
      <c r="F54" s="8" t="str">
        <f>DEC2BIN(INT(E54/64),5)&amp;DEC2BIN(MOD(E54,64),6)</f>
        <v>00000101100</v>
      </c>
      <c r="G54" s="8" t="str">
        <f>DEC2HEX(E54,3)</f>
        <v>02C</v>
      </c>
      <c r="H54" s="8" t="str">
        <f>IF(ROUND(D54/$B$6,0)&gt;$B$7,"YES","NO")</f>
        <v>NO</v>
      </c>
    </row>
    <row r="55" spans="1:8">
      <c r="A55" s="10">
        <v>45</v>
      </c>
      <c r="B55" s="11">
        <f>D54</f>
        <v>51.5625</v>
      </c>
      <c r="C55" s="11">
        <f>$B$6</f>
        <v>1.171875</v>
      </c>
      <c r="D55" s="11">
        <f>B55+C55</f>
        <v>52.734375</v>
      </c>
      <c r="E55" s="10">
        <f>MIN($B$7,ROUND(D55/$B$6,0))</f>
        <v>45</v>
      </c>
      <c r="F55" s="10" t="str">
        <f>DEC2BIN(INT(E55/64),5)&amp;DEC2BIN(MOD(E55,64),6)</f>
        <v>00000101101</v>
      </c>
      <c r="G55" s="10" t="str">
        <f>DEC2HEX(E55,3)</f>
        <v>02D</v>
      </c>
      <c r="H55" s="10" t="str">
        <f>IF(ROUND(D55/$B$6,0)&gt;$B$7,"YES","NO")</f>
        <v>NO</v>
      </c>
    </row>
    <row r="56" spans="1:8">
      <c r="A56" s="8">
        <v>46</v>
      </c>
      <c r="B56" s="9">
        <f>D55</f>
        <v>52.734375</v>
      </c>
      <c r="C56" s="9">
        <f>$B$6</f>
        <v>1.171875</v>
      </c>
      <c r="D56" s="9">
        <f>B56+C56</f>
        <v>53.90625</v>
      </c>
      <c r="E56" s="8">
        <f>MIN($B$7,ROUND(D56/$B$6,0))</f>
        <v>46</v>
      </c>
      <c r="F56" s="8" t="str">
        <f>DEC2BIN(INT(E56/64),5)&amp;DEC2BIN(MOD(E56,64),6)</f>
        <v>00000101110</v>
      </c>
      <c r="G56" s="8" t="str">
        <f>DEC2HEX(E56,3)</f>
        <v>02E</v>
      </c>
      <c r="H56" s="8" t="str">
        <f>IF(ROUND(D56/$B$6,0)&gt;$B$7,"YES","NO")</f>
        <v>NO</v>
      </c>
    </row>
    <row r="57" spans="1:8">
      <c r="A57" s="10">
        <v>47</v>
      </c>
      <c r="B57" s="11">
        <f>D56</f>
        <v>53.90625</v>
      </c>
      <c r="C57" s="11">
        <f>$B$6</f>
        <v>1.171875</v>
      </c>
      <c r="D57" s="11">
        <f>B57+C57</f>
        <v>55.078125</v>
      </c>
      <c r="E57" s="10">
        <f>MIN($B$7,ROUND(D57/$B$6,0))</f>
        <v>47</v>
      </c>
      <c r="F57" s="10" t="str">
        <f>DEC2BIN(INT(E57/64),5)&amp;DEC2BIN(MOD(E57,64),6)</f>
        <v>00000101111</v>
      </c>
      <c r="G57" s="10" t="str">
        <f>DEC2HEX(E57,3)</f>
        <v>02F</v>
      </c>
      <c r="H57" s="10" t="str">
        <f>IF(ROUND(D57/$B$6,0)&gt;$B$7,"YES","NO")</f>
        <v>NO</v>
      </c>
    </row>
    <row r="58" spans="1:8">
      <c r="A58" s="8">
        <v>48</v>
      </c>
      <c r="B58" s="9">
        <f>D57</f>
        <v>55.078125</v>
      </c>
      <c r="C58" s="9">
        <f>$B$6</f>
        <v>1.171875</v>
      </c>
      <c r="D58" s="9">
        <f>B58+C58</f>
        <v>56.25</v>
      </c>
      <c r="E58" s="8">
        <f>MIN($B$7,ROUND(D58/$B$6,0))</f>
        <v>48</v>
      </c>
      <c r="F58" s="8" t="str">
        <f>DEC2BIN(INT(E58/64),5)&amp;DEC2BIN(MOD(E58,64),6)</f>
        <v>00000110000</v>
      </c>
      <c r="G58" s="8" t="str">
        <f>DEC2HEX(E58,3)</f>
        <v>030</v>
      </c>
      <c r="H58" s="8" t="str">
        <f>IF(ROUND(D58/$B$6,0)&gt;$B$7,"YES","NO")</f>
        <v>NO</v>
      </c>
    </row>
    <row r="59" spans="1:8">
      <c r="A59" s="10">
        <v>49</v>
      </c>
      <c r="B59" s="11">
        <f>D58</f>
        <v>56.25</v>
      </c>
      <c r="C59" s="11">
        <f>$B$6</f>
        <v>1.171875</v>
      </c>
      <c r="D59" s="11">
        <f>B59+C59</f>
        <v>57.421875</v>
      </c>
      <c r="E59" s="10">
        <f>MIN($B$7,ROUND(D59/$B$6,0))</f>
        <v>49</v>
      </c>
      <c r="F59" s="10" t="str">
        <f>DEC2BIN(INT(E59/64),5)&amp;DEC2BIN(MOD(E59,64),6)</f>
        <v>00000110001</v>
      </c>
      <c r="G59" s="10" t="str">
        <f>DEC2HEX(E59,3)</f>
        <v>031</v>
      </c>
      <c r="H59" s="10" t="str">
        <f>IF(ROUND(D59/$B$6,0)&gt;$B$7,"YES","NO")</f>
        <v>NO</v>
      </c>
    </row>
    <row r="60" spans="1:8">
      <c r="A60" s="8">
        <v>50</v>
      </c>
      <c r="B60" s="9">
        <f>D59</f>
        <v>57.421875</v>
      </c>
      <c r="C60" s="9">
        <f>$B$6</f>
        <v>1.171875</v>
      </c>
      <c r="D60" s="9">
        <f>B60+C60</f>
        <v>58.59375</v>
      </c>
      <c r="E60" s="8">
        <f>MIN($B$7,ROUND(D60/$B$6,0))</f>
        <v>50</v>
      </c>
      <c r="F60" s="8" t="str">
        <f>DEC2BIN(INT(E60/64),5)&amp;DEC2BIN(MOD(E60,64),6)</f>
        <v>00000110010</v>
      </c>
      <c r="G60" s="8" t="str">
        <f>DEC2HEX(E60,3)</f>
        <v>032</v>
      </c>
      <c r="H60" s="8" t="str">
        <f>IF(ROUND(D60/$B$6,0)&gt;$B$7,"YES","NO")</f>
        <v>NO</v>
      </c>
    </row>
    <row r="61" spans="1:8">
      <c r="A61" s="10">
        <v>51</v>
      </c>
      <c r="B61" s="11">
        <f>D60</f>
        <v>58.59375</v>
      </c>
      <c r="C61" s="11">
        <f>$B$6</f>
        <v>1.171875</v>
      </c>
      <c r="D61" s="11">
        <f>B61+C61</f>
        <v>59.765625</v>
      </c>
      <c r="E61" s="10">
        <f>MIN($B$7,ROUND(D61/$B$6,0))</f>
        <v>51</v>
      </c>
      <c r="F61" s="10" t="str">
        <f>DEC2BIN(INT(E61/64),5)&amp;DEC2BIN(MOD(E61,64),6)</f>
        <v>00000110011</v>
      </c>
      <c r="G61" s="10" t="str">
        <f>DEC2HEX(E61,3)</f>
        <v>033</v>
      </c>
      <c r="H61" s="10" t="str">
        <f>IF(ROUND(D61/$B$6,0)&gt;$B$7,"YES","NO")</f>
        <v>NO</v>
      </c>
    </row>
    <row r="62" spans="1:8">
      <c r="A62" s="8">
        <v>52</v>
      </c>
      <c r="B62" s="9">
        <f>D61</f>
        <v>59.765625</v>
      </c>
      <c r="C62" s="9">
        <f>$B$6</f>
        <v>1.171875</v>
      </c>
      <c r="D62" s="9">
        <f>B62+C62</f>
        <v>60.9375</v>
      </c>
      <c r="E62" s="8">
        <f>MIN($B$7,ROUND(D62/$B$6,0))</f>
        <v>52</v>
      </c>
      <c r="F62" s="8" t="str">
        <f>DEC2BIN(INT(E62/64),5)&amp;DEC2BIN(MOD(E62,64),6)</f>
        <v>00000110100</v>
      </c>
      <c r="G62" s="8" t="str">
        <f>DEC2HEX(E62,3)</f>
        <v>034</v>
      </c>
      <c r="H62" s="8" t="str">
        <f>IF(ROUND(D62/$B$6,0)&gt;$B$7,"YES","NO")</f>
        <v>NO</v>
      </c>
    </row>
    <row r="63" spans="1:8">
      <c r="A63" s="10">
        <v>53</v>
      </c>
      <c r="B63" s="11">
        <f>D62</f>
        <v>60.9375</v>
      </c>
      <c r="C63" s="11">
        <f>$B$6</f>
        <v>1.171875</v>
      </c>
      <c r="D63" s="11">
        <f>B63+C63</f>
        <v>62.109375</v>
      </c>
      <c r="E63" s="10">
        <f>MIN($B$7,ROUND(D63/$B$6,0))</f>
        <v>53</v>
      </c>
      <c r="F63" s="10" t="str">
        <f>DEC2BIN(INT(E63/64),5)&amp;DEC2BIN(MOD(E63,64),6)</f>
        <v>00000110101</v>
      </c>
      <c r="G63" s="10" t="str">
        <f>DEC2HEX(E63,3)</f>
        <v>035</v>
      </c>
      <c r="H63" s="10" t="str">
        <f>IF(ROUND(D63/$B$6,0)&gt;$B$7,"YES","NO")</f>
        <v>NO</v>
      </c>
    </row>
    <row r="64" spans="1:8">
      <c r="A64" s="8">
        <v>54</v>
      </c>
      <c r="B64" s="9">
        <f>D63</f>
        <v>62.109375</v>
      </c>
      <c r="C64" s="9">
        <f>$B$6</f>
        <v>1.171875</v>
      </c>
      <c r="D64" s="9">
        <f>B64+C64</f>
        <v>63.28125</v>
      </c>
      <c r="E64" s="8">
        <f>MIN($B$7,ROUND(D64/$B$6,0))</f>
        <v>54</v>
      </c>
      <c r="F64" s="8" t="str">
        <f>DEC2BIN(INT(E64/64),5)&amp;DEC2BIN(MOD(E64,64),6)</f>
        <v>00000110110</v>
      </c>
      <c r="G64" s="8" t="str">
        <f>DEC2HEX(E64,3)</f>
        <v>036</v>
      </c>
      <c r="H64" s="8" t="str">
        <f>IF(ROUND(D64/$B$6,0)&gt;$B$7,"YES","NO")</f>
        <v>NO</v>
      </c>
    </row>
    <row r="65" spans="1:8">
      <c r="A65" s="10">
        <v>55</v>
      </c>
      <c r="B65" s="11">
        <f>D64</f>
        <v>63.28125</v>
      </c>
      <c r="C65" s="11">
        <f>$B$6</f>
        <v>1.171875</v>
      </c>
      <c r="D65" s="11">
        <f>B65+C65</f>
        <v>64.453125</v>
      </c>
      <c r="E65" s="10">
        <f>MIN($B$7,ROUND(D65/$B$6,0))</f>
        <v>55</v>
      </c>
      <c r="F65" s="10" t="str">
        <f>DEC2BIN(INT(E65/64),5)&amp;DEC2BIN(MOD(E65,64),6)</f>
        <v>00000110111</v>
      </c>
      <c r="G65" s="10" t="str">
        <f>DEC2HEX(E65,3)</f>
        <v>037</v>
      </c>
      <c r="H65" s="10" t="str">
        <f>IF(ROUND(D65/$B$6,0)&gt;$B$7,"YES","NO")</f>
        <v>NO</v>
      </c>
    </row>
    <row r="66" spans="1:8">
      <c r="A66" s="8">
        <v>56</v>
      </c>
      <c r="B66" s="9">
        <f>D65</f>
        <v>64.453125</v>
      </c>
      <c r="C66" s="9">
        <f>$B$6</f>
        <v>1.171875</v>
      </c>
      <c r="D66" s="9">
        <f>B66+C66</f>
        <v>65.625</v>
      </c>
      <c r="E66" s="8">
        <f>MIN($B$7,ROUND(D66/$B$6,0))</f>
        <v>56</v>
      </c>
      <c r="F66" s="8" t="str">
        <f>DEC2BIN(INT(E66/64),5)&amp;DEC2BIN(MOD(E66,64),6)</f>
        <v>00000111000</v>
      </c>
      <c r="G66" s="8" t="str">
        <f>DEC2HEX(E66,3)</f>
        <v>038</v>
      </c>
      <c r="H66" s="8" t="str">
        <f>IF(ROUND(D66/$B$6,0)&gt;$B$7,"YES","NO")</f>
        <v>NO</v>
      </c>
    </row>
    <row r="67" spans="1:8">
      <c r="A67" s="10">
        <v>57</v>
      </c>
      <c r="B67" s="11">
        <f>D66</f>
        <v>65.625</v>
      </c>
      <c r="C67" s="11">
        <f>$B$6</f>
        <v>1.171875</v>
      </c>
      <c r="D67" s="11">
        <f>B67+C67</f>
        <v>66.796875</v>
      </c>
      <c r="E67" s="10">
        <f>MIN($B$7,ROUND(D67/$B$6,0))</f>
        <v>57</v>
      </c>
      <c r="F67" s="10" t="str">
        <f>DEC2BIN(INT(E67/64),5)&amp;DEC2BIN(MOD(E67,64),6)</f>
        <v>00000111001</v>
      </c>
      <c r="G67" s="10" t="str">
        <f>DEC2HEX(E67,3)</f>
        <v>039</v>
      </c>
      <c r="H67" s="10" t="str">
        <f>IF(ROUND(D67/$B$6,0)&gt;$B$7,"YES","NO")</f>
        <v>NO</v>
      </c>
    </row>
    <row r="68" spans="1:8">
      <c r="A68" s="8">
        <v>58</v>
      </c>
      <c r="B68" s="9">
        <f>D67</f>
        <v>66.796875</v>
      </c>
      <c r="C68" s="9">
        <f>$B$6</f>
        <v>1.171875</v>
      </c>
      <c r="D68" s="9">
        <f>B68+C68</f>
        <v>67.96875</v>
      </c>
      <c r="E68" s="8">
        <f>MIN($B$7,ROUND(D68/$B$6,0))</f>
        <v>58</v>
      </c>
      <c r="F68" s="8" t="str">
        <f>DEC2BIN(INT(E68/64),5)&amp;DEC2BIN(MOD(E68,64),6)</f>
        <v>00000111010</v>
      </c>
      <c r="G68" s="8" t="str">
        <f>DEC2HEX(E68,3)</f>
        <v>03A</v>
      </c>
      <c r="H68" s="8" t="str">
        <f>IF(ROUND(D68/$B$6,0)&gt;$B$7,"YES","NO")</f>
        <v>NO</v>
      </c>
    </row>
    <row r="69" spans="1:8">
      <c r="A69" s="10">
        <v>59</v>
      </c>
      <c r="B69" s="11">
        <f>D68</f>
        <v>67.96875</v>
      </c>
      <c r="C69" s="11">
        <f>$B$6</f>
        <v>1.171875</v>
      </c>
      <c r="D69" s="11">
        <f>B69+C69</f>
        <v>69.140625</v>
      </c>
      <c r="E69" s="10">
        <f>MIN($B$7,ROUND(D69/$B$6,0))</f>
        <v>59</v>
      </c>
      <c r="F69" s="10" t="str">
        <f>DEC2BIN(INT(E69/64),5)&amp;DEC2BIN(MOD(E69,64),6)</f>
        <v>00000111011</v>
      </c>
      <c r="G69" s="10" t="str">
        <f>DEC2HEX(E69,3)</f>
        <v>03B</v>
      </c>
      <c r="H69" s="10" t="str">
        <f>IF(ROUND(D69/$B$6,0)&gt;$B$7,"YES","NO")</f>
        <v>NO</v>
      </c>
    </row>
    <row r="70" spans="1:8">
      <c r="A70" s="8">
        <v>60</v>
      </c>
      <c r="B70" s="9">
        <f>D69</f>
        <v>69.140625</v>
      </c>
      <c r="C70" s="9">
        <f>$B$6</f>
        <v>1.171875</v>
      </c>
      <c r="D70" s="9">
        <f>B70+C70</f>
        <v>70.3125</v>
      </c>
      <c r="E70" s="8">
        <f>MIN($B$7,ROUND(D70/$B$6,0))</f>
        <v>60</v>
      </c>
      <c r="F70" s="8" t="str">
        <f>DEC2BIN(INT(E70/64),5)&amp;DEC2BIN(MOD(E70,64),6)</f>
        <v>00000111100</v>
      </c>
      <c r="G70" s="8" t="str">
        <f>DEC2HEX(E70,3)</f>
        <v>03C</v>
      </c>
      <c r="H70" s="8" t="str">
        <f>IF(ROUND(D70/$B$6,0)&gt;$B$7,"YES","NO")</f>
        <v>NO</v>
      </c>
    </row>
    <row r="71" spans="1:8">
      <c r="A71" s="10">
        <v>61</v>
      </c>
      <c r="B71" s="11">
        <f>D70</f>
        <v>70.3125</v>
      </c>
      <c r="C71" s="11">
        <f>$B$6</f>
        <v>1.171875</v>
      </c>
      <c r="D71" s="11">
        <f>B71+C71</f>
        <v>71.484375</v>
      </c>
      <c r="E71" s="10">
        <f>MIN($B$7,ROUND(D71/$B$6,0))</f>
        <v>61</v>
      </c>
      <c r="F71" s="10" t="str">
        <f>DEC2BIN(INT(E71/64),5)&amp;DEC2BIN(MOD(E71,64),6)</f>
        <v>00000111101</v>
      </c>
      <c r="G71" s="10" t="str">
        <f>DEC2HEX(E71,3)</f>
        <v>03D</v>
      </c>
      <c r="H71" s="10" t="str">
        <f>IF(ROUND(D71/$B$6,0)&gt;$B$7,"YES","NO")</f>
        <v>NO</v>
      </c>
    </row>
    <row r="72" spans="1:8">
      <c r="A72" s="8">
        <v>62</v>
      </c>
      <c r="B72" s="9">
        <f>D71</f>
        <v>71.484375</v>
      </c>
      <c r="C72" s="9">
        <f>$B$6</f>
        <v>1.171875</v>
      </c>
      <c r="D72" s="9">
        <f>B72+C72</f>
        <v>72.65625</v>
      </c>
      <c r="E72" s="8">
        <f>MIN($B$7,ROUND(D72/$B$6,0))</f>
        <v>62</v>
      </c>
      <c r="F72" s="8" t="str">
        <f>DEC2BIN(INT(E72/64),5)&amp;DEC2BIN(MOD(E72,64),6)</f>
        <v>00000111110</v>
      </c>
      <c r="G72" s="8" t="str">
        <f>DEC2HEX(E72,3)</f>
        <v>03E</v>
      </c>
      <c r="H72" s="8" t="str">
        <f>IF(ROUND(D72/$B$6,0)&gt;$B$7,"YES","NO")</f>
        <v>NO</v>
      </c>
    </row>
    <row r="73" spans="1:8">
      <c r="A73" s="10">
        <v>63</v>
      </c>
      <c r="B73" s="11">
        <f>D72</f>
        <v>72.65625</v>
      </c>
      <c r="C73" s="11">
        <f>$B$6</f>
        <v>1.171875</v>
      </c>
      <c r="D73" s="11">
        <f>B73+C73</f>
        <v>73.828125</v>
      </c>
      <c r="E73" s="10">
        <f>MIN($B$7,ROUND(D73/$B$6,0))</f>
        <v>63</v>
      </c>
      <c r="F73" s="10" t="str">
        <f>DEC2BIN(INT(E73/64),5)&amp;DEC2BIN(MOD(E73,64),6)</f>
        <v>00000111111</v>
      </c>
      <c r="G73" s="10" t="str">
        <f>DEC2HEX(E73,3)</f>
        <v>03F</v>
      </c>
      <c r="H73" s="10" t="str">
        <f>IF(ROUND(D73/$B$6,0)&gt;$B$7,"YES","NO")</f>
        <v>NO</v>
      </c>
    </row>
    <row r="74" spans="1:8">
      <c r="A74" s="8">
        <v>64</v>
      </c>
      <c r="B74" s="9">
        <f>D73</f>
        <v>73.828125</v>
      </c>
      <c r="C74" s="9">
        <f>$B$6</f>
        <v>1.171875</v>
      </c>
      <c r="D74" s="9">
        <f>B74+C74</f>
        <v>75</v>
      </c>
      <c r="E74" s="8">
        <f>MIN($B$7,ROUND(D74/$B$6,0))</f>
        <v>64</v>
      </c>
      <c r="F74" s="8" t="str">
        <f>DEC2BIN(INT(E74/64),5)&amp;DEC2BIN(MOD(E74,64),6)</f>
        <v>00001000000</v>
      </c>
      <c r="G74" s="8" t="str">
        <f>DEC2HEX(E74,3)</f>
        <v>040</v>
      </c>
      <c r="H74" s="8" t="str">
        <f>IF(ROUND(D74/$B$6,0)&gt;$B$7,"YES","NO")</f>
        <v>NO</v>
      </c>
    </row>
    <row r="75" spans="1:8">
      <c r="A75" s="10">
        <v>65</v>
      </c>
      <c r="B75" s="11">
        <f>D74</f>
        <v>75</v>
      </c>
      <c r="C75" s="11">
        <f>$B$6</f>
        <v>1.171875</v>
      </c>
      <c r="D75" s="11">
        <f>B75+C75</f>
        <v>76.171875</v>
      </c>
      <c r="E75" s="10">
        <f>MIN($B$7,ROUND(D75/$B$6,0))</f>
        <v>65</v>
      </c>
      <c r="F75" s="10" t="str">
        <f>DEC2BIN(INT(E75/64),5)&amp;DEC2BIN(MOD(E75,64),6)</f>
        <v>00001000001</v>
      </c>
      <c r="G75" s="10" t="str">
        <f>DEC2HEX(E75,3)</f>
        <v>041</v>
      </c>
      <c r="H75" s="10" t="str">
        <f>IF(ROUND(D75/$B$6,0)&gt;$B$7,"YES","NO")</f>
        <v>NO</v>
      </c>
    </row>
    <row r="76" spans="1:8">
      <c r="A76" s="8">
        <v>66</v>
      </c>
      <c r="B76" s="9">
        <f>D75</f>
        <v>76.171875</v>
      </c>
      <c r="C76" s="9">
        <f>$B$6</f>
        <v>1.171875</v>
      </c>
      <c r="D76" s="9">
        <f>B76+C76</f>
        <v>77.34375</v>
      </c>
      <c r="E76" s="8">
        <f>MIN($B$7,ROUND(D76/$B$6,0))</f>
        <v>66</v>
      </c>
      <c r="F76" s="8" t="str">
        <f>DEC2BIN(INT(E76/64),5)&amp;DEC2BIN(MOD(E76,64),6)</f>
        <v>00001000010</v>
      </c>
      <c r="G76" s="8" t="str">
        <f>DEC2HEX(E76,3)</f>
        <v>042</v>
      </c>
      <c r="H76" s="8" t="str">
        <f>IF(ROUND(D76/$B$6,0)&gt;$B$7,"YES","NO")</f>
        <v>NO</v>
      </c>
    </row>
    <row r="77" spans="1:8">
      <c r="A77" s="10">
        <v>67</v>
      </c>
      <c r="B77" s="11">
        <f>D76</f>
        <v>77.34375</v>
      </c>
      <c r="C77" s="11">
        <f>$B$6</f>
        <v>1.171875</v>
      </c>
      <c r="D77" s="11">
        <f>B77+C77</f>
        <v>78.515625</v>
      </c>
      <c r="E77" s="10">
        <f>MIN($B$7,ROUND(D77/$B$6,0))</f>
        <v>67</v>
      </c>
      <c r="F77" s="10" t="str">
        <f>DEC2BIN(INT(E77/64),5)&amp;DEC2BIN(MOD(E77,64),6)</f>
        <v>00001000011</v>
      </c>
      <c r="G77" s="10" t="str">
        <f>DEC2HEX(E77,3)</f>
        <v>043</v>
      </c>
      <c r="H77" s="10" t="str">
        <f>IF(ROUND(D77/$B$6,0)&gt;$B$7,"YES","NO")</f>
        <v>NO</v>
      </c>
    </row>
    <row r="78" spans="1:8">
      <c r="A78" s="8">
        <v>68</v>
      </c>
      <c r="B78" s="9">
        <f>D77</f>
        <v>78.515625</v>
      </c>
      <c r="C78" s="9">
        <f>$B$6</f>
        <v>1.171875</v>
      </c>
      <c r="D78" s="9">
        <f>B78+C78</f>
        <v>79.6875</v>
      </c>
      <c r="E78" s="8">
        <f>MIN($B$7,ROUND(D78/$B$6,0))</f>
        <v>68</v>
      </c>
      <c r="F78" s="8" t="str">
        <f>DEC2BIN(INT(E78/64),5)&amp;DEC2BIN(MOD(E78,64),6)</f>
        <v>00001000100</v>
      </c>
      <c r="G78" s="8" t="str">
        <f>DEC2HEX(E78,3)</f>
        <v>044</v>
      </c>
      <c r="H78" s="8" t="str">
        <f>IF(ROUND(D78/$B$6,0)&gt;$B$7,"YES","NO")</f>
        <v>NO</v>
      </c>
    </row>
    <row r="79" spans="1:8">
      <c r="A79" s="10">
        <v>69</v>
      </c>
      <c r="B79" s="11">
        <f>D78</f>
        <v>79.6875</v>
      </c>
      <c r="C79" s="11">
        <f>$B$6</f>
        <v>1.171875</v>
      </c>
      <c r="D79" s="11">
        <f>B79+C79</f>
        <v>80.859375</v>
      </c>
      <c r="E79" s="10">
        <f>MIN($B$7,ROUND(D79/$B$6,0))</f>
        <v>69</v>
      </c>
      <c r="F79" s="10" t="str">
        <f>DEC2BIN(INT(E79/64),5)&amp;DEC2BIN(MOD(E79,64),6)</f>
        <v>00001000101</v>
      </c>
      <c r="G79" s="10" t="str">
        <f>DEC2HEX(E79,3)</f>
        <v>045</v>
      </c>
      <c r="H79" s="10" t="str">
        <f>IF(ROUND(D79/$B$6,0)&gt;$B$7,"YES","NO")</f>
        <v>NO</v>
      </c>
    </row>
    <row r="80" spans="1:8">
      <c r="A80" s="8">
        <v>70</v>
      </c>
      <c r="B80" s="9">
        <f>D79</f>
        <v>80.859375</v>
      </c>
      <c r="C80" s="9">
        <f>$B$6</f>
        <v>1.171875</v>
      </c>
      <c r="D80" s="9">
        <f>B80+C80</f>
        <v>82.03125</v>
      </c>
      <c r="E80" s="8">
        <f>MIN($B$7,ROUND(D80/$B$6,0))</f>
        <v>70</v>
      </c>
      <c r="F80" s="8" t="str">
        <f>DEC2BIN(INT(E80/64),5)&amp;DEC2BIN(MOD(E80,64),6)</f>
        <v>00001000110</v>
      </c>
      <c r="G80" s="8" t="str">
        <f>DEC2HEX(E80,3)</f>
        <v>046</v>
      </c>
      <c r="H80" s="8" t="str">
        <f>IF(ROUND(D80/$B$6,0)&gt;$B$7,"YES","NO")</f>
        <v>NO</v>
      </c>
    </row>
    <row r="81" spans="1:8">
      <c r="A81" s="10">
        <v>71</v>
      </c>
      <c r="B81" s="11">
        <f>D80</f>
        <v>82.03125</v>
      </c>
      <c r="C81" s="11">
        <f>$B$6</f>
        <v>1.171875</v>
      </c>
      <c r="D81" s="11">
        <f>B81+C81</f>
        <v>83.203125</v>
      </c>
      <c r="E81" s="10">
        <f>MIN($B$7,ROUND(D81/$B$6,0))</f>
        <v>71</v>
      </c>
      <c r="F81" s="10" t="str">
        <f>DEC2BIN(INT(E81/64),5)&amp;DEC2BIN(MOD(E81,64),6)</f>
        <v>00001000111</v>
      </c>
      <c r="G81" s="10" t="str">
        <f>DEC2HEX(E81,3)</f>
        <v>047</v>
      </c>
      <c r="H81" s="10" t="str">
        <f>IF(ROUND(D81/$B$6,0)&gt;$B$7,"YES","NO")</f>
        <v>NO</v>
      </c>
    </row>
    <row r="82" spans="1:8">
      <c r="A82" s="8">
        <v>72</v>
      </c>
      <c r="B82" s="9">
        <f>D81</f>
        <v>83.203125</v>
      </c>
      <c r="C82" s="9">
        <f>$B$6</f>
        <v>1.171875</v>
      </c>
      <c r="D82" s="9">
        <f>B82+C82</f>
        <v>84.375</v>
      </c>
      <c r="E82" s="8">
        <f>MIN($B$7,ROUND(D82/$B$6,0))</f>
        <v>72</v>
      </c>
      <c r="F82" s="8" t="str">
        <f>DEC2BIN(INT(E82/64),5)&amp;DEC2BIN(MOD(E82,64),6)</f>
        <v>00001001000</v>
      </c>
      <c r="G82" s="8" t="str">
        <f>DEC2HEX(E82,3)</f>
        <v>048</v>
      </c>
      <c r="H82" s="8" t="str">
        <f>IF(ROUND(D82/$B$6,0)&gt;$B$7,"YES","NO")</f>
        <v>NO</v>
      </c>
    </row>
    <row r="83" spans="1:8">
      <c r="A83" s="10">
        <v>73</v>
      </c>
      <c r="B83" s="11">
        <f>D82</f>
        <v>84.375</v>
      </c>
      <c r="C83" s="11">
        <f>$B$6</f>
        <v>1.171875</v>
      </c>
      <c r="D83" s="11">
        <f>B83+C83</f>
        <v>85.546875</v>
      </c>
      <c r="E83" s="10">
        <f>MIN($B$7,ROUND(D83/$B$6,0))</f>
        <v>73</v>
      </c>
      <c r="F83" s="10" t="str">
        <f>DEC2BIN(INT(E83/64),5)&amp;DEC2BIN(MOD(E83,64),6)</f>
        <v>00001001001</v>
      </c>
      <c r="G83" s="10" t="str">
        <f>DEC2HEX(E83,3)</f>
        <v>049</v>
      </c>
      <c r="H83" s="10" t="str">
        <f>IF(ROUND(D83/$B$6,0)&gt;$B$7,"YES","NO")</f>
        <v>NO</v>
      </c>
    </row>
    <row r="84" spans="1:8">
      <c r="A84" s="8">
        <v>74</v>
      </c>
      <c r="B84" s="9">
        <f>D83</f>
        <v>85.546875</v>
      </c>
      <c r="C84" s="9">
        <f>$B$6</f>
        <v>1.171875</v>
      </c>
      <c r="D84" s="9">
        <f>B84+C84</f>
        <v>86.71875</v>
      </c>
      <c r="E84" s="8">
        <f>MIN($B$7,ROUND(D84/$B$6,0))</f>
        <v>74</v>
      </c>
      <c r="F84" s="8" t="str">
        <f>DEC2BIN(INT(E84/64),5)&amp;DEC2BIN(MOD(E84,64),6)</f>
        <v>00001001010</v>
      </c>
      <c r="G84" s="8" t="str">
        <f>DEC2HEX(E84,3)</f>
        <v>04A</v>
      </c>
      <c r="H84" s="8" t="str">
        <f>IF(ROUND(D84/$B$6,0)&gt;$B$7,"YES","NO")</f>
        <v>NO</v>
      </c>
    </row>
    <row r="85" spans="1:8">
      <c r="A85" s="10">
        <v>75</v>
      </c>
      <c r="B85" s="11">
        <f>D84</f>
        <v>86.71875</v>
      </c>
      <c r="C85" s="11">
        <f>$B$6</f>
        <v>1.171875</v>
      </c>
      <c r="D85" s="11">
        <f>B85+C85</f>
        <v>87.890625</v>
      </c>
      <c r="E85" s="10">
        <f>MIN($B$7,ROUND(D85/$B$6,0))</f>
        <v>75</v>
      </c>
      <c r="F85" s="10" t="str">
        <f>DEC2BIN(INT(E85/64),5)&amp;DEC2BIN(MOD(E85,64),6)</f>
        <v>00001001011</v>
      </c>
      <c r="G85" s="10" t="str">
        <f>DEC2HEX(E85,3)</f>
        <v>04B</v>
      </c>
      <c r="H85" s="10" t="str">
        <f>IF(ROUND(D85/$B$6,0)&gt;$B$7,"YES","NO")</f>
        <v>NO</v>
      </c>
    </row>
    <row r="86" spans="1:8">
      <c r="A86" s="8">
        <v>76</v>
      </c>
      <c r="B86" s="9">
        <f>D85</f>
        <v>87.890625</v>
      </c>
      <c r="C86" s="9">
        <f>$B$6</f>
        <v>1.171875</v>
      </c>
      <c r="D86" s="9">
        <f>B86+C86</f>
        <v>89.0625</v>
      </c>
      <c r="E86" s="8">
        <f>MIN($B$7,ROUND(D86/$B$6,0))</f>
        <v>76</v>
      </c>
      <c r="F86" s="8" t="str">
        <f>DEC2BIN(INT(E86/64),5)&amp;DEC2BIN(MOD(E86,64),6)</f>
        <v>00001001100</v>
      </c>
      <c r="G86" s="8" t="str">
        <f>DEC2HEX(E86,3)</f>
        <v>04C</v>
      </c>
      <c r="H86" s="8" t="str">
        <f>IF(ROUND(D86/$B$6,0)&gt;$B$7,"YES","NO")</f>
        <v>NO</v>
      </c>
    </row>
    <row r="87" spans="1:8">
      <c r="A87" s="10">
        <v>77</v>
      </c>
      <c r="B87" s="11">
        <f>D86</f>
        <v>89.0625</v>
      </c>
      <c r="C87" s="11">
        <f>$B$6</f>
        <v>1.171875</v>
      </c>
      <c r="D87" s="11">
        <f>B87+C87</f>
        <v>90.234375</v>
      </c>
      <c r="E87" s="10">
        <f>MIN($B$7,ROUND(D87/$B$6,0))</f>
        <v>77</v>
      </c>
      <c r="F87" s="10" t="str">
        <f>DEC2BIN(INT(E87/64),5)&amp;DEC2BIN(MOD(E87,64),6)</f>
        <v>00001001101</v>
      </c>
      <c r="G87" s="10" t="str">
        <f>DEC2HEX(E87,3)</f>
        <v>04D</v>
      </c>
      <c r="H87" s="10" t="str">
        <f>IF(ROUND(D87/$B$6,0)&gt;$B$7,"YES","NO")</f>
        <v>NO</v>
      </c>
    </row>
    <row r="88" spans="1:8">
      <c r="A88" s="8">
        <v>78</v>
      </c>
      <c r="B88" s="9">
        <f>D87</f>
        <v>90.234375</v>
      </c>
      <c r="C88" s="9">
        <f>$B$6</f>
        <v>1.171875</v>
      </c>
      <c r="D88" s="9">
        <f>B88+C88</f>
        <v>91.40625</v>
      </c>
      <c r="E88" s="8">
        <f>MIN($B$7,ROUND(D88/$B$6,0))</f>
        <v>78</v>
      </c>
      <c r="F88" s="8" t="str">
        <f>DEC2BIN(INT(E88/64),5)&amp;DEC2BIN(MOD(E88,64),6)</f>
        <v>00001001110</v>
      </c>
      <c r="G88" s="8" t="str">
        <f>DEC2HEX(E88,3)</f>
        <v>04E</v>
      </c>
      <c r="H88" s="8" t="str">
        <f>IF(ROUND(D88/$B$6,0)&gt;$B$7,"YES","NO")</f>
        <v>NO</v>
      </c>
    </row>
    <row r="89" spans="1:8">
      <c r="A89" s="10">
        <v>79</v>
      </c>
      <c r="B89" s="11">
        <f>D88</f>
        <v>91.40625</v>
      </c>
      <c r="C89" s="11">
        <f>$B$6</f>
        <v>1.171875</v>
      </c>
      <c r="D89" s="11">
        <f>B89+C89</f>
        <v>92.578125</v>
      </c>
      <c r="E89" s="10">
        <f>MIN($B$7,ROUND(D89/$B$6,0))</f>
        <v>79</v>
      </c>
      <c r="F89" s="10" t="str">
        <f>DEC2BIN(INT(E89/64),5)&amp;DEC2BIN(MOD(E89,64),6)</f>
        <v>00001001111</v>
      </c>
      <c r="G89" s="10" t="str">
        <f>DEC2HEX(E89,3)</f>
        <v>04F</v>
      </c>
      <c r="H89" s="10" t="str">
        <f>IF(ROUND(D89/$B$6,0)&gt;$B$7,"YES","NO")</f>
        <v>NO</v>
      </c>
    </row>
    <row r="90" spans="1:8">
      <c r="A90" s="8">
        <v>80</v>
      </c>
      <c r="B90" s="9">
        <f>D89</f>
        <v>92.578125</v>
      </c>
      <c r="C90" s="9">
        <f>$B$6</f>
        <v>1.171875</v>
      </c>
      <c r="D90" s="9">
        <f>B90+C90</f>
        <v>93.75</v>
      </c>
      <c r="E90" s="8">
        <f>MIN($B$7,ROUND(D90/$B$6,0))</f>
        <v>80</v>
      </c>
      <c r="F90" s="8" t="str">
        <f>DEC2BIN(INT(E90/64),5)&amp;DEC2BIN(MOD(E90,64),6)</f>
        <v>00001010000</v>
      </c>
      <c r="G90" s="8" t="str">
        <f>DEC2HEX(E90,3)</f>
        <v>050</v>
      </c>
      <c r="H90" s="8" t="str">
        <f>IF(ROUND(D90/$B$6,0)&gt;$B$7,"YES","NO")</f>
        <v>NO</v>
      </c>
    </row>
    <row r="91" spans="1:8">
      <c r="A91" s="10">
        <v>81</v>
      </c>
      <c r="B91" s="11">
        <f>D90</f>
        <v>93.75</v>
      </c>
      <c r="C91" s="11">
        <f>$B$6</f>
        <v>1.171875</v>
      </c>
      <c r="D91" s="11">
        <f>B91+C91</f>
        <v>94.921875</v>
      </c>
      <c r="E91" s="10">
        <f>MIN($B$7,ROUND(D91/$B$6,0))</f>
        <v>81</v>
      </c>
      <c r="F91" s="10" t="str">
        <f>DEC2BIN(INT(E91/64),5)&amp;DEC2BIN(MOD(E91,64),6)</f>
        <v>00001010001</v>
      </c>
      <c r="G91" s="10" t="str">
        <f>DEC2HEX(E91,3)</f>
        <v>051</v>
      </c>
      <c r="H91" s="10" t="str">
        <f>IF(ROUND(D91/$B$6,0)&gt;$B$7,"YES","NO")</f>
        <v>NO</v>
      </c>
    </row>
    <row r="92" spans="1:8">
      <c r="A92" s="8">
        <v>82</v>
      </c>
      <c r="B92" s="9">
        <f>D91</f>
        <v>94.921875</v>
      </c>
      <c r="C92" s="9">
        <f>$B$6</f>
        <v>1.171875</v>
      </c>
      <c r="D92" s="9">
        <f>B92+C92</f>
        <v>96.09375</v>
      </c>
      <c r="E92" s="8">
        <f>MIN($B$7,ROUND(D92/$B$6,0))</f>
        <v>82</v>
      </c>
      <c r="F92" s="8" t="str">
        <f>DEC2BIN(INT(E92/64),5)&amp;DEC2BIN(MOD(E92,64),6)</f>
        <v>00001010010</v>
      </c>
      <c r="G92" s="8" t="str">
        <f>DEC2HEX(E92,3)</f>
        <v>052</v>
      </c>
      <c r="H92" s="8" t="str">
        <f>IF(ROUND(D92/$B$6,0)&gt;$B$7,"YES","NO")</f>
        <v>NO</v>
      </c>
    </row>
    <row r="93" spans="1:8">
      <c r="A93" s="10">
        <v>83</v>
      </c>
      <c r="B93" s="11">
        <f>D92</f>
        <v>96.09375</v>
      </c>
      <c r="C93" s="11">
        <f>$B$6</f>
        <v>1.171875</v>
      </c>
      <c r="D93" s="11">
        <f>B93+C93</f>
        <v>97.265625</v>
      </c>
      <c r="E93" s="10">
        <f>MIN($B$7,ROUND(D93/$B$6,0))</f>
        <v>83</v>
      </c>
      <c r="F93" s="10" t="str">
        <f>DEC2BIN(INT(E93/64),5)&amp;DEC2BIN(MOD(E93,64),6)</f>
        <v>00001010011</v>
      </c>
      <c r="G93" s="10" t="str">
        <f>DEC2HEX(E93,3)</f>
        <v>053</v>
      </c>
      <c r="H93" s="10" t="str">
        <f>IF(ROUND(D93/$B$6,0)&gt;$B$7,"YES","NO")</f>
        <v>NO</v>
      </c>
    </row>
    <row r="94" spans="1:8">
      <c r="A94" s="8">
        <v>84</v>
      </c>
      <c r="B94" s="9">
        <f>D93</f>
        <v>97.265625</v>
      </c>
      <c r="C94" s="9">
        <f>$B$6</f>
        <v>1.171875</v>
      </c>
      <c r="D94" s="9">
        <f>B94+C94</f>
        <v>98.4375</v>
      </c>
      <c r="E94" s="8">
        <f>MIN($B$7,ROUND(D94/$B$6,0))</f>
        <v>84</v>
      </c>
      <c r="F94" s="8" t="str">
        <f>DEC2BIN(INT(E94/64),5)&amp;DEC2BIN(MOD(E94,64),6)</f>
        <v>00001010100</v>
      </c>
      <c r="G94" s="8" t="str">
        <f>DEC2HEX(E94,3)</f>
        <v>054</v>
      </c>
      <c r="H94" s="8" t="str">
        <f>IF(ROUND(D94/$B$6,0)&gt;$B$7,"YES","NO")</f>
        <v>NO</v>
      </c>
    </row>
    <row r="95" spans="1:8">
      <c r="A95" s="10">
        <v>85</v>
      </c>
      <c r="B95" s="11">
        <f>D94</f>
        <v>98.4375</v>
      </c>
      <c r="C95" s="11">
        <f>$B$6</f>
        <v>1.171875</v>
      </c>
      <c r="D95" s="11">
        <f>B95+C95</f>
        <v>99.609375</v>
      </c>
      <c r="E95" s="10">
        <f>MIN($B$7,ROUND(D95/$B$6,0))</f>
        <v>85</v>
      </c>
      <c r="F95" s="10" t="str">
        <f>DEC2BIN(INT(E95/64),5)&amp;DEC2BIN(MOD(E95,64),6)</f>
        <v>00001010101</v>
      </c>
      <c r="G95" s="10" t="str">
        <f>DEC2HEX(E95,3)</f>
        <v>055</v>
      </c>
      <c r="H95" s="10" t="str">
        <f>IF(ROUND(D95/$B$6,0)&gt;$B$7,"YES","NO")</f>
        <v>NO</v>
      </c>
    </row>
    <row r="96" spans="1:8">
      <c r="A96" s="8">
        <v>86</v>
      </c>
      <c r="B96" s="9">
        <f>D95</f>
        <v>99.609375</v>
      </c>
      <c r="C96" s="9">
        <f>$B$6</f>
        <v>1.171875</v>
      </c>
      <c r="D96" s="9">
        <f>B96+C96</f>
        <v>100.78125</v>
      </c>
      <c r="E96" s="8">
        <f>MIN($B$7,ROUND(D96/$B$6,0))</f>
        <v>86</v>
      </c>
      <c r="F96" s="8" t="str">
        <f>DEC2BIN(INT(E96/64),5)&amp;DEC2BIN(MOD(E96,64),6)</f>
        <v>00001010110</v>
      </c>
      <c r="G96" s="8" t="str">
        <f>DEC2HEX(E96,3)</f>
        <v>056</v>
      </c>
      <c r="H96" s="8" t="str">
        <f>IF(ROUND(D96/$B$6,0)&gt;$B$7,"YES","NO")</f>
        <v>NO</v>
      </c>
    </row>
    <row r="97" spans="1:8">
      <c r="A97" s="10">
        <v>87</v>
      </c>
      <c r="B97" s="11">
        <f>D96</f>
        <v>100.78125</v>
      </c>
      <c r="C97" s="11">
        <f>$B$6</f>
        <v>1.171875</v>
      </c>
      <c r="D97" s="11">
        <f>B97+C97</f>
        <v>101.953125</v>
      </c>
      <c r="E97" s="10">
        <f>MIN($B$7,ROUND(D97/$B$6,0))</f>
        <v>87</v>
      </c>
      <c r="F97" s="10" t="str">
        <f>DEC2BIN(INT(E97/64),5)&amp;DEC2BIN(MOD(E97,64),6)</f>
        <v>00001010111</v>
      </c>
      <c r="G97" s="10" t="str">
        <f>DEC2HEX(E97,3)</f>
        <v>057</v>
      </c>
      <c r="H97" s="10" t="str">
        <f>IF(ROUND(D97/$B$6,0)&gt;$B$7,"YES","NO")</f>
        <v>NO</v>
      </c>
    </row>
    <row r="98" spans="1:8">
      <c r="A98" s="8">
        <v>88</v>
      </c>
      <c r="B98" s="9">
        <f>D97</f>
        <v>101.953125</v>
      </c>
      <c r="C98" s="9">
        <f>$B$6</f>
        <v>1.171875</v>
      </c>
      <c r="D98" s="9">
        <f>B98+C98</f>
        <v>103.125</v>
      </c>
      <c r="E98" s="8">
        <f>MIN($B$7,ROUND(D98/$B$6,0))</f>
        <v>88</v>
      </c>
      <c r="F98" s="8" t="str">
        <f>DEC2BIN(INT(E98/64),5)&amp;DEC2BIN(MOD(E98,64),6)</f>
        <v>00001011000</v>
      </c>
      <c r="G98" s="8" t="str">
        <f>DEC2HEX(E98,3)</f>
        <v>058</v>
      </c>
      <c r="H98" s="8" t="str">
        <f>IF(ROUND(D98/$B$6,0)&gt;$B$7,"YES","NO")</f>
        <v>NO</v>
      </c>
    </row>
    <row r="99" spans="1:8">
      <c r="A99" s="10">
        <v>89</v>
      </c>
      <c r="B99" s="11">
        <f>D98</f>
        <v>103.125</v>
      </c>
      <c r="C99" s="11">
        <f>$B$6</f>
        <v>1.171875</v>
      </c>
      <c r="D99" s="11">
        <f>B99+C99</f>
        <v>104.296875</v>
      </c>
      <c r="E99" s="10">
        <f>MIN($B$7,ROUND(D99/$B$6,0))</f>
        <v>89</v>
      </c>
      <c r="F99" s="10" t="str">
        <f>DEC2BIN(INT(E99/64),5)&amp;DEC2BIN(MOD(E99,64),6)</f>
        <v>00001011001</v>
      </c>
      <c r="G99" s="10" t="str">
        <f>DEC2HEX(E99,3)</f>
        <v>059</v>
      </c>
      <c r="H99" s="10" t="str">
        <f>IF(ROUND(D99/$B$6,0)&gt;$B$7,"YES","NO")</f>
        <v>NO</v>
      </c>
    </row>
    <row r="100" spans="1:8">
      <c r="A100" s="8">
        <v>90</v>
      </c>
      <c r="B100" s="9">
        <f>D99</f>
        <v>104.296875</v>
      </c>
      <c r="C100" s="9">
        <f>$B$6</f>
        <v>1.171875</v>
      </c>
      <c r="D100" s="9">
        <f>B100+C100</f>
        <v>105.46875</v>
      </c>
      <c r="E100" s="8">
        <f>MIN($B$7,ROUND(D100/$B$6,0))</f>
        <v>90</v>
      </c>
      <c r="F100" s="8" t="str">
        <f>DEC2BIN(INT(E100/64),5)&amp;DEC2BIN(MOD(E100,64),6)</f>
        <v>00001011010</v>
      </c>
      <c r="G100" s="8" t="str">
        <f>DEC2HEX(E100,3)</f>
        <v>05A</v>
      </c>
      <c r="H100" s="8" t="str">
        <f>IF(ROUND(D100/$B$6,0)&gt;$B$7,"YES","NO")</f>
        <v>NO</v>
      </c>
    </row>
    <row r="101" spans="1:8">
      <c r="A101" s="10">
        <v>91</v>
      </c>
      <c r="B101" s="11">
        <f>D100</f>
        <v>105.46875</v>
      </c>
      <c r="C101" s="11">
        <f>$B$6</f>
        <v>1.171875</v>
      </c>
      <c r="D101" s="11">
        <f>B101+C101</f>
        <v>106.640625</v>
      </c>
      <c r="E101" s="10">
        <f>MIN($B$7,ROUND(D101/$B$6,0))</f>
        <v>91</v>
      </c>
      <c r="F101" s="10" t="str">
        <f>DEC2BIN(INT(E101/64),5)&amp;DEC2BIN(MOD(E101,64),6)</f>
        <v>00001011011</v>
      </c>
      <c r="G101" s="10" t="str">
        <f>DEC2HEX(E101,3)</f>
        <v>05B</v>
      </c>
      <c r="H101" s="10" t="str">
        <f>IF(ROUND(D101/$B$6,0)&gt;$B$7,"YES","NO")</f>
        <v>NO</v>
      </c>
    </row>
    <row r="102" spans="1:8">
      <c r="A102" s="8">
        <v>92</v>
      </c>
      <c r="B102" s="9">
        <f>D101</f>
        <v>106.640625</v>
      </c>
      <c r="C102" s="9">
        <f>$B$6</f>
        <v>1.171875</v>
      </c>
      <c r="D102" s="9">
        <f>B102+C102</f>
        <v>107.8125</v>
      </c>
      <c r="E102" s="8">
        <f>MIN($B$7,ROUND(D102/$B$6,0))</f>
        <v>92</v>
      </c>
      <c r="F102" s="8" t="str">
        <f>DEC2BIN(INT(E102/64),5)&amp;DEC2BIN(MOD(E102,64),6)</f>
        <v>00001011100</v>
      </c>
      <c r="G102" s="8" t="str">
        <f>DEC2HEX(E102,3)</f>
        <v>05C</v>
      </c>
      <c r="H102" s="8" t="str">
        <f>IF(ROUND(D102/$B$6,0)&gt;$B$7,"YES","NO")</f>
        <v>NO</v>
      </c>
    </row>
    <row r="103" spans="1:8">
      <c r="A103" s="10">
        <v>93</v>
      </c>
      <c r="B103" s="11">
        <f>D102</f>
        <v>107.8125</v>
      </c>
      <c r="C103" s="11">
        <f>$B$6</f>
        <v>1.171875</v>
      </c>
      <c r="D103" s="11">
        <f>B103+C103</f>
        <v>108.984375</v>
      </c>
      <c r="E103" s="10">
        <f>MIN($B$7,ROUND(D103/$B$6,0))</f>
        <v>93</v>
      </c>
      <c r="F103" s="10" t="str">
        <f>DEC2BIN(INT(E103/64),5)&amp;DEC2BIN(MOD(E103,64),6)</f>
        <v>00001011101</v>
      </c>
      <c r="G103" s="10" t="str">
        <f>DEC2HEX(E103,3)</f>
        <v>05D</v>
      </c>
      <c r="H103" s="10" t="str">
        <f>IF(ROUND(D103/$B$6,0)&gt;$B$7,"YES","NO")</f>
        <v>NO</v>
      </c>
    </row>
    <row r="104" spans="1:8">
      <c r="A104" s="8">
        <v>94</v>
      </c>
      <c r="B104" s="9">
        <f>D103</f>
        <v>108.984375</v>
      </c>
      <c r="C104" s="9">
        <f>$B$6</f>
        <v>1.171875</v>
      </c>
      <c r="D104" s="9">
        <f>B104+C104</f>
        <v>110.15625</v>
      </c>
      <c r="E104" s="8">
        <f>MIN($B$7,ROUND(D104/$B$6,0))</f>
        <v>94</v>
      </c>
      <c r="F104" s="8" t="str">
        <f>DEC2BIN(INT(E104/64),5)&amp;DEC2BIN(MOD(E104,64),6)</f>
        <v>00001011110</v>
      </c>
      <c r="G104" s="8" t="str">
        <f>DEC2HEX(E104,3)</f>
        <v>05E</v>
      </c>
      <c r="H104" s="8" t="str">
        <f>IF(ROUND(D104/$B$6,0)&gt;$B$7,"YES","NO")</f>
        <v>NO</v>
      </c>
    </row>
    <row r="105" spans="1:8">
      <c r="A105" s="10">
        <v>95</v>
      </c>
      <c r="B105" s="11">
        <f>D104</f>
        <v>110.15625</v>
      </c>
      <c r="C105" s="11">
        <f>$B$6</f>
        <v>1.171875</v>
      </c>
      <c r="D105" s="11">
        <f>B105+C105</f>
        <v>111.328125</v>
      </c>
      <c r="E105" s="10">
        <f>MIN($B$7,ROUND(D105/$B$6,0))</f>
        <v>95</v>
      </c>
      <c r="F105" s="10" t="str">
        <f>DEC2BIN(INT(E105/64),5)&amp;DEC2BIN(MOD(E105,64),6)</f>
        <v>00001011111</v>
      </c>
      <c r="G105" s="10" t="str">
        <f>DEC2HEX(E105,3)</f>
        <v>05F</v>
      </c>
      <c r="H105" s="10" t="str">
        <f>IF(ROUND(D105/$B$6,0)&gt;$B$7,"YES","NO")</f>
        <v>NO</v>
      </c>
    </row>
    <row r="106" spans="1:8">
      <c r="A106" s="8">
        <v>96</v>
      </c>
      <c r="B106" s="9">
        <f>D105</f>
        <v>111.328125</v>
      </c>
      <c r="C106" s="9">
        <f>$B$6</f>
        <v>1.171875</v>
      </c>
      <c r="D106" s="9">
        <f>B106+C106</f>
        <v>112.5</v>
      </c>
      <c r="E106" s="8">
        <f>MIN($B$7,ROUND(D106/$B$6,0))</f>
        <v>96</v>
      </c>
      <c r="F106" s="8" t="str">
        <f>DEC2BIN(INT(E106/64),5)&amp;DEC2BIN(MOD(E106,64),6)</f>
        <v>00001100000</v>
      </c>
      <c r="G106" s="8" t="str">
        <f>DEC2HEX(E106,3)</f>
        <v>060</v>
      </c>
      <c r="H106" s="8" t="str">
        <f>IF(ROUND(D106/$B$6,0)&gt;$B$7,"YES","NO")</f>
        <v>NO</v>
      </c>
    </row>
    <row r="107" spans="1:8">
      <c r="A107" s="10">
        <v>97</v>
      </c>
      <c r="B107" s="11">
        <f>D106</f>
        <v>112.5</v>
      </c>
      <c r="C107" s="11">
        <f>$B$6</f>
        <v>1.171875</v>
      </c>
      <c r="D107" s="11">
        <f>B107+C107</f>
        <v>113.671875</v>
      </c>
      <c r="E107" s="10">
        <f>MIN($B$7,ROUND(D107/$B$6,0))</f>
        <v>97</v>
      </c>
      <c r="F107" s="10" t="str">
        <f>DEC2BIN(INT(E107/64),5)&amp;DEC2BIN(MOD(E107,64),6)</f>
        <v>00001100001</v>
      </c>
      <c r="G107" s="10" t="str">
        <f>DEC2HEX(E107,3)</f>
        <v>061</v>
      </c>
      <c r="H107" s="10" t="str">
        <f>IF(ROUND(D107/$B$6,0)&gt;$B$7,"YES","NO")</f>
        <v>NO</v>
      </c>
    </row>
    <row r="108" spans="1:8">
      <c r="A108" s="8">
        <v>98</v>
      </c>
      <c r="B108" s="9">
        <f>D107</f>
        <v>113.671875</v>
      </c>
      <c r="C108" s="9">
        <f>$B$6</f>
        <v>1.171875</v>
      </c>
      <c r="D108" s="9">
        <f>B108+C108</f>
        <v>114.84375</v>
      </c>
      <c r="E108" s="8">
        <f>MIN($B$7,ROUND(D108/$B$6,0))</f>
        <v>98</v>
      </c>
      <c r="F108" s="8" t="str">
        <f>DEC2BIN(INT(E108/64),5)&amp;DEC2BIN(MOD(E108,64),6)</f>
        <v>00001100010</v>
      </c>
      <c r="G108" s="8" t="str">
        <f>DEC2HEX(E108,3)</f>
        <v>062</v>
      </c>
      <c r="H108" s="8" t="str">
        <f>IF(ROUND(D108/$B$6,0)&gt;$B$7,"YES","NO")</f>
        <v>NO</v>
      </c>
    </row>
    <row r="109" spans="1:8">
      <c r="A109" s="10">
        <v>99</v>
      </c>
      <c r="B109" s="11">
        <f>D108</f>
        <v>114.84375</v>
      </c>
      <c r="C109" s="11">
        <f>$B$6</f>
        <v>1.171875</v>
      </c>
      <c r="D109" s="11">
        <f>B109+C109</f>
        <v>116.015625</v>
      </c>
      <c r="E109" s="10">
        <f>MIN($B$7,ROUND(D109/$B$6,0))</f>
        <v>99</v>
      </c>
      <c r="F109" s="10" t="str">
        <f>DEC2BIN(INT(E109/64),5)&amp;DEC2BIN(MOD(E109,64),6)</f>
        <v>00001100011</v>
      </c>
      <c r="G109" s="10" t="str">
        <f>DEC2HEX(E109,3)</f>
        <v>063</v>
      </c>
      <c r="H109" s="10" t="str">
        <f>IF(ROUND(D109/$B$6,0)&gt;$B$7,"YES","NO")</f>
        <v>NO</v>
      </c>
    </row>
    <row r="110" spans="1:8">
      <c r="A110" s="8">
        <v>100</v>
      </c>
      <c r="B110" s="9">
        <f>D109</f>
        <v>116.015625</v>
      </c>
      <c r="C110" s="9">
        <f>$B$6</f>
        <v>1.171875</v>
      </c>
      <c r="D110" s="9">
        <f>B110+C110</f>
        <v>117.1875</v>
      </c>
      <c r="E110" s="8">
        <f>MIN($B$7,ROUND(D110/$B$6,0))</f>
        <v>100</v>
      </c>
      <c r="F110" s="8" t="str">
        <f>DEC2BIN(INT(E110/64),5)&amp;DEC2BIN(MOD(E110,64),6)</f>
        <v>00001100100</v>
      </c>
      <c r="G110" s="8" t="str">
        <f>DEC2HEX(E110,3)</f>
        <v>064</v>
      </c>
      <c r="H110" s="8" t="str">
        <f>IF(ROUND(D110/$B$6,0)&gt;$B$7,"YES","NO")</f>
        <v>NO</v>
      </c>
    </row>
    <row r="111" spans="1:8">
      <c r="A111" s="10">
        <v>101</v>
      </c>
      <c r="B111" s="11">
        <f>D110</f>
        <v>117.1875</v>
      </c>
      <c r="C111" s="11">
        <f>$B$6</f>
        <v>1.171875</v>
      </c>
      <c r="D111" s="11">
        <f>B111+C111</f>
        <v>118.359375</v>
      </c>
      <c r="E111" s="10">
        <f>MIN($B$7,ROUND(D111/$B$6,0))</f>
        <v>101</v>
      </c>
      <c r="F111" s="10" t="str">
        <f>DEC2BIN(INT(E111/64),5)&amp;DEC2BIN(MOD(E111,64),6)</f>
        <v>00001100101</v>
      </c>
      <c r="G111" s="10" t="str">
        <f>DEC2HEX(E111,3)</f>
        <v>065</v>
      </c>
      <c r="H111" s="10" t="str">
        <f>IF(ROUND(D111/$B$6,0)&gt;$B$7,"YES","NO")</f>
        <v>NO</v>
      </c>
    </row>
    <row r="112" spans="1:8">
      <c r="A112" s="8">
        <v>102</v>
      </c>
      <c r="B112" s="9">
        <f>D111</f>
        <v>118.359375</v>
      </c>
      <c r="C112" s="9">
        <f>$B$6</f>
        <v>1.171875</v>
      </c>
      <c r="D112" s="9">
        <f>B112+C112</f>
        <v>119.53125</v>
      </c>
      <c r="E112" s="8">
        <f>MIN($B$7,ROUND(D112/$B$6,0))</f>
        <v>102</v>
      </c>
      <c r="F112" s="8" t="str">
        <f>DEC2BIN(INT(E112/64),5)&amp;DEC2BIN(MOD(E112,64),6)</f>
        <v>00001100110</v>
      </c>
      <c r="G112" s="8" t="str">
        <f>DEC2HEX(E112,3)</f>
        <v>066</v>
      </c>
      <c r="H112" s="8" t="str">
        <f>IF(ROUND(D112/$B$6,0)&gt;$B$7,"YES","NO")</f>
        <v>NO</v>
      </c>
    </row>
    <row r="113" spans="1:8">
      <c r="A113" s="10">
        <v>103</v>
      </c>
      <c r="B113" s="11">
        <f>D112</f>
        <v>119.53125</v>
      </c>
      <c r="C113" s="11">
        <f>$B$6</f>
        <v>1.171875</v>
      </c>
      <c r="D113" s="11">
        <f>B113+C113</f>
        <v>120.703125</v>
      </c>
      <c r="E113" s="10">
        <f>MIN($B$7,ROUND(D113/$B$6,0))</f>
        <v>103</v>
      </c>
      <c r="F113" s="10" t="str">
        <f>DEC2BIN(INT(E113/64),5)&amp;DEC2BIN(MOD(E113,64),6)</f>
        <v>00001100111</v>
      </c>
      <c r="G113" s="10" t="str">
        <f>DEC2HEX(E113,3)</f>
        <v>067</v>
      </c>
      <c r="H113" s="10" t="str">
        <f>IF(ROUND(D113/$B$6,0)&gt;$B$7,"YES","NO")</f>
        <v>NO</v>
      </c>
    </row>
    <row r="114" spans="1:8">
      <c r="A114" s="8">
        <v>104</v>
      </c>
      <c r="B114" s="9">
        <f>D113</f>
        <v>120.703125</v>
      </c>
      <c r="C114" s="9">
        <f>$B$6</f>
        <v>1.171875</v>
      </c>
      <c r="D114" s="9">
        <f>B114+C114</f>
        <v>121.875</v>
      </c>
      <c r="E114" s="8">
        <f>MIN($B$7,ROUND(D114/$B$6,0))</f>
        <v>104</v>
      </c>
      <c r="F114" s="8" t="str">
        <f>DEC2BIN(INT(E114/64),5)&amp;DEC2BIN(MOD(E114,64),6)</f>
        <v>00001101000</v>
      </c>
      <c r="G114" s="8" t="str">
        <f>DEC2HEX(E114,3)</f>
        <v>068</v>
      </c>
      <c r="H114" s="8" t="str">
        <f>IF(ROUND(D114/$B$6,0)&gt;$B$7,"YES","NO")</f>
        <v>NO</v>
      </c>
    </row>
    <row r="115" spans="1:8">
      <c r="A115" s="10">
        <v>105</v>
      </c>
      <c r="B115" s="11">
        <f>D114</f>
        <v>121.875</v>
      </c>
      <c r="C115" s="11">
        <f>$B$6</f>
        <v>1.171875</v>
      </c>
      <c r="D115" s="11">
        <f>B115+C115</f>
        <v>123.046875</v>
      </c>
      <c r="E115" s="10">
        <f>MIN($B$7,ROUND(D115/$B$6,0))</f>
        <v>105</v>
      </c>
      <c r="F115" s="10" t="str">
        <f>DEC2BIN(INT(E115/64),5)&amp;DEC2BIN(MOD(E115,64),6)</f>
        <v>00001101001</v>
      </c>
      <c r="G115" s="10" t="str">
        <f>DEC2HEX(E115,3)</f>
        <v>069</v>
      </c>
      <c r="H115" s="10" t="str">
        <f>IF(ROUND(D115/$B$6,0)&gt;$B$7,"YES","NO")</f>
        <v>NO</v>
      </c>
    </row>
    <row r="116" spans="1:8">
      <c r="A116" s="8">
        <v>106</v>
      </c>
      <c r="B116" s="9">
        <f>D115</f>
        <v>123.046875</v>
      </c>
      <c r="C116" s="9">
        <f>$B$6</f>
        <v>1.171875</v>
      </c>
      <c r="D116" s="9">
        <f>B116+C116</f>
        <v>124.21875</v>
      </c>
      <c r="E116" s="8">
        <f>MIN($B$7,ROUND(D116/$B$6,0))</f>
        <v>106</v>
      </c>
      <c r="F116" s="8" t="str">
        <f>DEC2BIN(INT(E116/64),5)&amp;DEC2BIN(MOD(E116,64),6)</f>
        <v>00001101010</v>
      </c>
      <c r="G116" s="8" t="str">
        <f>DEC2HEX(E116,3)</f>
        <v>06A</v>
      </c>
      <c r="H116" s="8" t="str">
        <f>IF(ROUND(D116/$B$6,0)&gt;$B$7,"YES","NO")</f>
        <v>NO</v>
      </c>
    </row>
    <row r="117" spans="1:8">
      <c r="A117" s="10">
        <v>107</v>
      </c>
      <c r="B117" s="11">
        <f>D116</f>
        <v>124.21875</v>
      </c>
      <c r="C117" s="11">
        <f>$B$6</f>
        <v>1.171875</v>
      </c>
      <c r="D117" s="11">
        <f>B117+C117</f>
        <v>125.390625</v>
      </c>
      <c r="E117" s="10">
        <f>MIN($B$7,ROUND(D117/$B$6,0))</f>
        <v>107</v>
      </c>
      <c r="F117" s="10" t="str">
        <f>DEC2BIN(INT(E117/64),5)&amp;DEC2BIN(MOD(E117,64),6)</f>
        <v>00001101011</v>
      </c>
      <c r="G117" s="10" t="str">
        <f>DEC2HEX(E117,3)</f>
        <v>06B</v>
      </c>
      <c r="H117" s="10" t="str">
        <f>IF(ROUND(D117/$B$6,0)&gt;$B$7,"YES","NO")</f>
        <v>NO</v>
      </c>
    </row>
    <row r="118" spans="1:8">
      <c r="A118" s="8">
        <v>108</v>
      </c>
      <c r="B118" s="9">
        <f>D117</f>
        <v>125.390625</v>
      </c>
      <c r="C118" s="9">
        <f>$B$6</f>
        <v>1.171875</v>
      </c>
      <c r="D118" s="9">
        <f>B118+C118</f>
        <v>126.5625</v>
      </c>
      <c r="E118" s="8">
        <f>MIN($B$7,ROUND(D118/$B$6,0))</f>
        <v>108</v>
      </c>
      <c r="F118" s="8" t="str">
        <f>DEC2BIN(INT(E118/64),5)&amp;DEC2BIN(MOD(E118,64),6)</f>
        <v>00001101100</v>
      </c>
      <c r="G118" s="8" t="str">
        <f>DEC2HEX(E118,3)</f>
        <v>06C</v>
      </c>
      <c r="H118" s="8" t="str">
        <f>IF(ROUND(D118/$B$6,0)&gt;$B$7,"YES","NO")</f>
        <v>NO</v>
      </c>
    </row>
    <row r="119" spans="1:8">
      <c r="A119" s="10">
        <v>109</v>
      </c>
      <c r="B119" s="11">
        <f>D118</f>
        <v>126.5625</v>
      </c>
      <c r="C119" s="11">
        <f>$B$6</f>
        <v>1.171875</v>
      </c>
      <c r="D119" s="11">
        <f>B119+C119</f>
        <v>127.734375</v>
      </c>
      <c r="E119" s="10">
        <f>MIN($B$7,ROUND(D119/$B$6,0))</f>
        <v>109</v>
      </c>
      <c r="F119" s="10" t="str">
        <f>DEC2BIN(INT(E119/64),5)&amp;DEC2BIN(MOD(E119,64),6)</f>
        <v>00001101101</v>
      </c>
      <c r="G119" s="10" t="str">
        <f>DEC2HEX(E119,3)</f>
        <v>06D</v>
      </c>
      <c r="H119" s="10" t="str">
        <f>IF(ROUND(D119/$B$6,0)&gt;$B$7,"YES","NO")</f>
        <v>NO</v>
      </c>
    </row>
    <row r="120" spans="1:8">
      <c r="A120" s="8">
        <v>110</v>
      </c>
      <c r="B120" s="9">
        <f>D119</f>
        <v>127.734375</v>
      </c>
      <c r="C120" s="9">
        <f>$B$6</f>
        <v>1.171875</v>
      </c>
      <c r="D120" s="9">
        <f>B120+C120</f>
        <v>128.90625</v>
      </c>
      <c r="E120" s="8">
        <f>MIN($B$7,ROUND(D120/$B$6,0))</f>
        <v>110</v>
      </c>
      <c r="F120" s="8" t="str">
        <f>DEC2BIN(INT(E120/64),5)&amp;DEC2BIN(MOD(E120,64),6)</f>
        <v>00001101110</v>
      </c>
      <c r="G120" s="8" t="str">
        <f>DEC2HEX(E120,3)</f>
        <v>06E</v>
      </c>
      <c r="H120" s="8" t="str">
        <f>IF(ROUND(D120/$B$6,0)&gt;$B$7,"YES","NO")</f>
        <v>NO</v>
      </c>
    </row>
    <row r="121" spans="1:8">
      <c r="A121" s="10">
        <v>111</v>
      </c>
      <c r="B121" s="11">
        <f>D120</f>
        <v>128.90625</v>
      </c>
      <c r="C121" s="11">
        <f>$B$6</f>
        <v>1.171875</v>
      </c>
      <c r="D121" s="11">
        <f>B121+C121</f>
        <v>130.078125</v>
      </c>
      <c r="E121" s="10">
        <f>MIN($B$7,ROUND(D121/$B$6,0))</f>
        <v>111</v>
      </c>
      <c r="F121" s="10" t="str">
        <f>DEC2BIN(INT(E121/64),5)&amp;DEC2BIN(MOD(E121,64),6)</f>
        <v>00001101111</v>
      </c>
      <c r="G121" s="10" t="str">
        <f>DEC2HEX(E121,3)</f>
        <v>06F</v>
      </c>
      <c r="H121" s="10" t="str">
        <f>IF(ROUND(D121/$B$6,0)&gt;$B$7,"YES","NO")</f>
        <v>NO</v>
      </c>
    </row>
    <row r="122" spans="1:8">
      <c r="A122" s="8">
        <v>112</v>
      </c>
      <c r="B122" s="9">
        <f>D121</f>
        <v>130.078125</v>
      </c>
      <c r="C122" s="9">
        <f>$B$6</f>
        <v>1.171875</v>
      </c>
      <c r="D122" s="9">
        <f>B122+C122</f>
        <v>131.25</v>
      </c>
      <c r="E122" s="8">
        <f>MIN($B$7,ROUND(D122/$B$6,0))</f>
        <v>112</v>
      </c>
      <c r="F122" s="8" t="str">
        <f>DEC2BIN(INT(E122/64),5)&amp;DEC2BIN(MOD(E122,64),6)</f>
        <v>00001110000</v>
      </c>
      <c r="G122" s="8" t="str">
        <f>DEC2HEX(E122,3)</f>
        <v>070</v>
      </c>
      <c r="H122" s="8" t="str">
        <f>IF(ROUND(D122/$B$6,0)&gt;$B$7,"YES","NO")</f>
        <v>NO</v>
      </c>
    </row>
    <row r="123" spans="1:8">
      <c r="A123" s="10">
        <v>113</v>
      </c>
      <c r="B123" s="11">
        <f>D122</f>
        <v>131.25</v>
      </c>
      <c r="C123" s="11">
        <f>$B$6</f>
        <v>1.171875</v>
      </c>
      <c r="D123" s="11">
        <f>B123+C123</f>
        <v>132.421875</v>
      </c>
      <c r="E123" s="10">
        <f>MIN($B$7,ROUND(D123/$B$6,0))</f>
        <v>113</v>
      </c>
      <c r="F123" s="10" t="str">
        <f>DEC2BIN(INT(E123/64),5)&amp;DEC2BIN(MOD(E123,64),6)</f>
        <v>00001110001</v>
      </c>
      <c r="G123" s="10" t="str">
        <f>DEC2HEX(E123,3)</f>
        <v>071</v>
      </c>
      <c r="H123" s="10" t="str">
        <f>IF(ROUND(D123/$B$6,0)&gt;$B$7,"YES","NO")</f>
        <v>NO</v>
      </c>
    </row>
    <row r="124" spans="1:8">
      <c r="A124" s="8">
        <v>114</v>
      </c>
      <c r="B124" s="9">
        <f>D123</f>
        <v>132.421875</v>
      </c>
      <c r="C124" s="9">
        <f>$B$6</f>
        <v>1.171875</v>
      </c>
      <c r="D124" s="9">
        <f>B124+C124</f>
        <v>133.59375</v>
      </c>
      <c r="E124" s="8">
        <f>MIN($B$7,ROUND(D124/$B$6,0))</f>
        <v>114</v>
      </c>
      <c r="F124" s="8" t="str">
        <f>DEC2BIN(INT(E124/64),5)&amp;DEC2BIN(MOD(E124,64),6)</f>
        <v>00001110010</v>
      </c>
      <c r="G124" s="8" t="str">
        <f>DEC2HEX(E124,3)</f>
        <v>072</v>
      </c>
      <c r="H124" s="8" t="str">
        <f>IF(ROUND(D124/$B$6,0)&gt;$B$7,"YES","NO")</f>
        <v>NO</v>
      </c>
    </row>
    <row r="125" spans="1:8">
      <c r="A125" s="10">
        <v>115</v>
      </c>
      <c r="B125" s="11">
        <f>D124</f>
        <v>133.59375</v>
      </c>
      <c r="C125" s="11">
        <f>$B$6</f>
        <v>1.171875</v>
      </c>
      <c r="D125" s="11">
        <f>B125+C125</f>
        <v>134.765625</v>
      </c>
      <c r="E125" s="10">
        <f>MIN($B$7,ROUND(D125/$B$6,0))</f>
        <v>115</v>
      </c>
      <c r="F125" s="10" t="str">
        <f>DEC2BIN(INT(E125/64),5)&amp;DEC2BIN(MOD(E125,64),6)</f>
        <v>00001110011</v>
      </c>
      <c r="G125" s="10" t="str">
        <f>DEC2HEX(E125,3)</f>
        <v>073</v>
      </c>
      <c r="H125" s="10" t="str">
        <f>IF(ROUND(D125/$B$6,0)&gt;$B$7,"YES","NO")</f>
        <v>NO</v>
      </c>
    </row>
    <row r="126" spans="1:8">
      <c r="A126" s="8">
        <v>116</v>
      </c>
      <c r="B126" s="9">
        <f>D125</f>
        <v>134.765625</v>
      </c>
      <c r="C126" s="9">
        <f>$B$6</f>
        <v>1.171875</v>
      </c>
      <c r="D126" s="9">
        <f>B126+C126</f>
        <v>135.9375</v>
      </c>
      <c r="E126" s="8">
        <f>MIN($B$7,ROUND(D126/$B$6,0))</f>
        <v>116</v>
      </c>
      <c r="F126" s="8" t="str">
        <f>DEC2BIN(INT(E126/64),5)&amp;DEC2BIN(MOD(E126,64),6)</f>
        <v>00001110100</v>
      </c>
      <c r="G126" s="8" t="str">
        <f>DEC2HEX(E126,3)</f>
        <v>074</v>
      </c>
      <c r="H126" s="8" t="str">
        <f>IF(ROUND(D126/$B$6,0)&gt;$B$7,"YES","NO")</f>
        <v>NO</v>
      </c>
    </row>
    <row r="127" spans="1:8">
      <c r="A127" s="10">
        <v>117</v>
      </c>
      <c r="B127" s="11">
        <f>D126</f>
        <v>135.9375</v>
      </c>
      <c r="C127" s="11">
        <f>$B$6</f>
        <v>1.171875</v>
      </c>
      <c r="D127" s="11">
        <f>B127+C127</f>
        <v>137.109375</v>
      </c>
      <c r="E127" s="10">
        <f>MIN($B$7,ROUND(D127/$B$6,0))</f>
        <v>117</v>
      </c>
      <c r="F127" s="10" t="str">
        <f>DEC2BIN(INT(E127/64),5)&amp;DEC2BIN(MOD(E127,64),6)</f>
        <v>00001110101</v>
      </c>
      <c r="G127" s="10" t="str">
        <f>DEC2HEX(E127,3)</f>
        <v>075</v>
      </c>
      <c r="H127" s="10" t="str">
        <f>IF(ROUND(D127/$B$6,0)&gt;$B$7,"YES","NO")</f>
        <v>NO</v>
      </c>
    </row>
    <row r="128" spans="1:8">
      <c r="A128" s="8">
        <v>118</v>
      </c>
      <c r="B128" s="9">
        <f>D127</f>
        <v>137.109375</v>
      </c>
      <c r="C128" s="9">
        <f>$B$6</f>
        <v>1.171875</v>
      </c>
      <c r="D128" s="9">
        <f>B128+C128</f>
        <v>138.28125</v>
      </c>
      <c r="E128" s="8">
        <f>MIN($B$7,ROUND(D128/$B$6,0))</f>
        <v>118</v>
      </c>
      <c r="F128" s="8" t="str">
        <f>DEC2BIN(INT(E128/64),5)&amp;DEC2BIN(MOD(E128,64),6)</f>
        <v>00001110110</v>
      </c>
      <c r="G128" s="8" t="str">
        <f>DEC2HEX(E128,3)</f>
        <v>076</v>
      </c>
      <c r="H128" s="8" t="str">
        <f>IF(ROUND(D128/$B$6,0)&gt;$B$7,"YES","NO")</f>
        <v>NO</v>
      </c>
    </row>
    <row r="129" spans="1:8">
      <c r="A129" s="10">
        <v>119</v>
      </c>
      <c r="B129" s="11">
        <f>D128</f>
        <v>138.28125</v>
      </c>
      <c r="C129" s="11">
        <f>$B$6</f>
        <v>1.171875</v>
      </c>
      <c r="D129" s="11">
        <f>B129+C129</f>
        <v>139.453125</v>
      </c>
      <c r="E129" s="10">
        <f>MIN($B$7,ROUND(D129/$B$6,0))</f>
        <v>119</v>
      </c>
      <c r="F129" s="10" t="str">
        <f>DEC2BIN(INT(E129/64),5)&amp;DEC2BIN(MOD(E129,64),6)</f>
        <v>00001110111</v>
      </c>
      <c r="G129" s="10" t="str">
        <f>DEC2HEX(E129,3)</f>
        <v>077</v>
      </c>
      <c r="H129" s="10" t="str">
        <f>IF(ROUND(D129/$B$6,0)&gt;$B$7,"YES","NO")</f>
        <v>NO</v>
      </c>
    </row>
    <row r="130" spans="1:8">
      <c r="A130" s="8">
        <v>120</v>
      </c>
      <c r="B130" s="9">
        <f>D129</f>
        <v>139.453125</v>
      </c>
      <c r="C130" s="9">
        <f>$B$6</f>
        <v>1.171875</v>
      </c>
      <c r="D130" s="9">
        <f>B130+C130</f>
        <v>140.625</v>
      </c>
      <c r="E130" s="8">
        <f>MIN($B$7,ROUND(D130/$B$6,0))</f>
        <v>120</v>
      </c>
      <c r="F130" s="8" t="str">
        <f>DEC2BIN(INT(E130/64),5)&amp;DEC2BIN(MOD(E130,64),6)</f>
        <v>00001111000</v>
      </c>
      <c r="G130" s="8" t="str">
        <f>DEC2HEX(E130,3)</f>
        <v>078</v>
      </c>
      <c r="H130" s="8" t="str">
        <f>IF(ROUND(D130/$B$6,0)&gt;$B$7,"YES","NO")</f>
        <v>NO</v>
      </c>
    </row>
    <row r="131" spans="1:8">
      <c r="A131" s="10">
        <v>121</v>
      </c>
      <c r="B131" s="11">
        <f>D130</f>
        <v>140.625</v>
      </c>
      <c r="C131" s="11">
        <f>$B$6</f>
        <v>1.171875</v>
      </c>
      <c r="D131" s="11">
        <f>B131+C131</f>
        <v>141.796875</v>
      </c>
      <c r="E131" s="10">
        <f>MIN($B$7,ROUND(D131/$B$6,0))</f>
        <v>121</v>
      </c>
      <c r="F131" s="10" t="str">
        <f>DEC2BIN(INT(E131/64),5)&amp;DEC2BIN(MOD(E131,64),6)</f>
        <v>00001111001</v>
      </c>
      <c r="G131" s="10" t="str">
        <f>DEC2HEX(E131,3)</f>
        <v>079</v>
      </c>
      <c r="H131" s="10" t="str">
        <f>IF(ROUND(D131/$B$6,0)&gt;$B$7,"YES","NO")</f>
        <v>NO</v>
      </c>
    </row>
    <row r="132" spans="1:8">
      <c r="A132" s="8">
        <v>122</v>
      </c>
      <c r="B132" s="9">
        <f>D131</f>
        <v>141.796875</v>
      </c>
      <c r="C132" s="9">
        <f>$B$6</f>
        <v>1.171875</v>
      </c>
      <c r="D132" s="9">
        <f>B132+C132</f>
        <v>142.96875</v>
      </c>
      <c r="E132" s="8">
        <f>MIN($B$7,ROUND(D132/$B$6,0))</f>
        <v>122</v>
      </c>
      <c r="F132" s="8" t="str">
        <f>DEC2BIN(INT(E132/64),5)&amp;DEC2BIN(MOD(E132,64),6)</f>
        <v>00001111010</v>
      </c>
      <c r="G132" s="8" t="str">
        <f>DEC2HEX(E132,3)</f>
        <v>07A</v>
      </c>
      <c r="H132" s="8" t="str">
        <f>IF(ROUND(D132/$B$6,0)&gt;$B$7,"YES","NO")</f>
        <v>NO</v>
      </c>
    </row>
    <row r="133" spans="1:8">
      <c r="A133" s="10">
        <v>123</v>
      </c>
      <c r="B133" s="11">
        <f>D132</f>
        <v>142.96875</v>
      </c>
      <c r="C133" s="11">
        <f>$B$6</f>
        <v>1.171875</v>
      </c>
      <c r="D133" s="11">
        <f>B133+C133</f>
        <v>144.140625</v>
      </c>
      <c r="E133" s="10">
        <f>MIN($B$7,ROUND(D133/$B$6,0))</f>
        <v>123</v>
      </c>
      <c r="F133" s="10" t="str">
        <f>DEC2BIN(INT(E133/64),5)&amp;DEC2BIN(MOD(E133,64),6)</f>
        <v>00001111011</v>
      </c>
      <c r="G133" s="10" t="str">
        <f>DEC2HEX(E133,3)</f>
        <v>07B</v>
      </c>
      <c r="H133" s="10" t="str">
        <f>IF(ROUND(D133/$B$6,0)&gt;$B$7,"YES","NO")</f>
        <v>NO</v>
      </c>
    </row>
    <row r="134" spans="1:8">
      <c r="A134" s="8">
        <v>124</v>
      </c>
      <c r="B134" s="9">
        <f>D133</f>
        <v>144.140625</v>
      </c>
      <c r="C134" s="9">
        <f>$B$6</f>
        <v>1.171875</v>
      </c>
      <c r="D134" s="9">
        <f>B134+C134</f>
        <v>145.3125</v>
      </c>
      <c r="E134" s="8">
        <f>MIN($B$7,ROUND(D134/$B$6,0))</f>
        <v>124</v>
      </c>
      <c r="F134" s="8" t="str">
        <f>DEC2BIN(INT(E134/64),5)&amp;DEC2BIN(MOD(E134,64),6)</f>
        <v>00001111100</v>
      </c>
      <c r="G134" s="8" t="str">
        <f>DEC2HEX(E134,3)</f>
        <v>07C</v>
      </c>
      <c r="H134" s="8" t="str">
        <f>IF(ROUND(D134/$B$6,0)&gt;$B$7,"YES","NO")</f>
        <v>NO</v>
      </c>
    </row>
    <row r="135" spans="1:8">
      <c r="A135" s="10">
        <v>125</v>
      </c>
      <c r="B135" s="11">
        <f>D134</f>
        <v>145.3125</v>
      </c>
      <c r="C135" s="11">
        <f>$B$6</f>
        <v>1.171875</v>
      </c>
      <c r="D135" s="11">
        <f>B135+C135</f>
        <v>146.484375</v>
      </c>
      <c r="E135" s="10">
        <f>MIN($B$7,ROUND(D135/$B$6,0))</f>
        <v>125</v>
      </c>
      <c r="F135" s="10" t="str">
        <f>DEC2BIN(INT(E135/64),5)&amp;DEC2BIN(MOD(E135,64),6)</f>
        <v>00001111101</v>
      </c>
      <c r="G135" s="10" t="str">
        <f>DEC2HEX(E135,3)</f>
        <v>07D</v>
      </c>
      <c r="H135" s="10" t="str">
        <f>IF(ROUND(D135/$B$6,0)&gt;$B$7,"YES","NO")</f>
        <v>NO</v>
      </c>
    </row>
    <row r="136" spans="1:8">
      <c r="A136" s="8">
        <v>126</v>
      </c>
      <c r="B136" s="9">
        <f>D135</f>
        <v>146.484375</v>
      </c>
      <c r="C136" s="9">
        <f>$B$6</f>
        <v>1.171875</v>
      </c>
      <c r="D136" s="9">
        <f>B136+C136</f>
        <v>147.65625</v>
      </c>
      <c r="E136" s="8">
        <f>MIN($B$7,ROUND(D136/$B$6,0))</f>
        <v>126</v>
      </c>
      <c r="F136" s="8" t="str">
        <f>DEC2BIN(INT(E136/64),5)&amp;DEC2BIN(MOD(E136,64),6)</f>
        <v>00001111110</v>
      </c>
      <c r="G136" s="8" t="str">
        <f>DEC2HEX(E136,3)</f>
        <v>07E</v>
      </c>
      <c r="H136" s="8" t="str">
        <f>IF(ROUND(D136/$B$6,0)&gt;$B$7,"YES","NO")</f>
        <v>NO</v>
      </c>
    </row>
    <row r="137" spans="1:8">
      <c r="A137" s="10">
        <v>127</v>
      </c>
      <c r="B137" s="11">
        <f>D136</f>
        <v>147.65625</v>
      </c>
      <c r="C137" s="11">
        <f>$B$6</f>
        <v>1.171875</v>
      </c>
      <c r="D137" s="11">
        <f>B137+C137</f>
        <v>148.828125</v>
      </c>
      <c r="E137" s="10">
        <f>MIN($B$7,ROUND(D137/$B$6,0))</f>
        <v>127</v>
      </c>
      <c r="F137" s="10" t="str">
        <f>DEC2BIN(INT(E137/64),5)&amp;DEC2BIN(MOD(E137,64),6)</f>
        <v>00001111111</v>
      </c>
      <c r="G137" s="10" t="str">
        <f>DEC2HEX(E137,3)</f>
        <v>07F</v>
      </c>
      <c r="H137" s="10" t="str">
        <f>IF(ROUND(D137/$B$6,0)&gt;$B$7,"YES","NO")</f>
        <v>NO</v>
      </c>
    </row>
    <row r="138" spans="1:8">
      <c r="A138" s="8">
        <v>128</v>
      </c>
      <c r="B138" s="9">
        <f>D137</f>
        <v>148.828125</v>
      </c>
      <c r="C138" s="9">
        <f>$B$6</f>
        <v>1.171875</v>
      </c>
      <c r="D138" s="9">
        <f>B138+C138</f>
        <v>150</v>
      </c>
      <c r="E138" s="8">
        <f>MIN($B$7,ROUND(D138/$B$6,0))</f>
        <v>128</v>
      </c>
      <c r="F138" s="8" t="str">
        <f>DEC2BIN(INT(E138/64),5)&amp;DEC2BIN(MOD(E138,64),6)</f>
        <v>00010000000</v>
      </c>
      <c r="G138" s="8" t="str">
        <f>DEC2HEX(E138,3)</f>
        <v>080</v>
      </c>
      <c r="H138" s="8" t="str">
        <f>IF(ROUND(D138/$B$6,0)&gt;$B$7,"YES","NO")</f>
        <v>NO</v>
      </c>
    </row>
    <row r="139" spans="1:8">
      <c r="A139" s="10">
        <v>129</v>
      </c>
      <c r="B139" s="11">
        <f>D138</f>
        <v>150</v>
      </c>
      <c r="C139" s="11">
        <f>$B$6</f>
        <v>1.171875</v>
      </c>
      <c r="D139" s="11">
        <f>B139+C139</f>
        <v>151.171875</v>
      </c>
      <c r="E139" s="10">
        <f>MIN($B$7,ROUND(D139/$B$6,0))</f>
        <v>129</v>
      </c>
      <c r="F139" s="10" t="str">
        <f>DEC2BIN(INT(E139/64),5)&amp;DEC2BIN(MOD(E139,64),6)</f>
        <v>00010000001</v>
      </c>
      <c r="G139" s="10" t="str">
        <f>DEC2HEX(E139,3)</f>
        <v>081</v>
      </c>
      <c r="H139" s="10" t="str">
        <f>IF(ROUND(D139/$B$6,0)&gt;$B$7,"YES","NO")</f>
        <v>NO</v>
      </c>
    </row>
    <row r="140" spans="1:8">
      <c r="A140" s="8">
        <v>130</v>
      </c>
      <c r="B140" s="9">
        <f>D139</f>
        <v>151.171875</v>
      </c>
      <c r="C140" s="9">
        <f>$B$6</f>
        <v>1.171875</v>
      </c>
      <c r="D140" s="9">
        <f>B140+C140</f>
        <v>152.34375</v>
      </c>
      <c r="E140" s="8">
        <f>MIN($B$7,ROUND(D140/$B$6,0))</f>
        <v>130</v>
      </c>
      <c r="F140" s="8" t="str">
        <f>DEC2BIN(INT(E140/64),5)&amp;DEC2BIN(MOD(E140,64),6)</f>
        <v>00010000010</v>
      </c>
      <c r="G140" s="8" t="str">
        <f>DEC2HEX(E140,3)</f>
        <v>082</v>
      </c>
      <c r="H140" s="8" t="str">
        <f>IF(ROUND(D140/$B$6,0)&gt;$B$7,"YES","NO")</f>
        <v>NO</v>
      </c>
    </row>
    <row r="141" spans="1:8">
      <c r="A141" s="10">
        <v>131</v>
      </c>
      <c r="B141" s="11">
        <f>D140</f>
        <v>152.34375</v>
      </c>
      <c r="C141" s="11">
        <f>$B$6</f>
        <v>1.171875</v>
      </c>
      <c r="D141" s="11">
        <f>B141+C141</f>
        <v>153.515625</v>
      </c>
      <c r="E141" s="10">
        <f>MIN($B$7,ROUND(D141/$B$6,0))</f>
        <v>131</v>
      </c>
      <c r="F141" s="10" t="str">
        <f>DEC2BIN(INT(E141/64),5)&amp;DEC2BIN(MOD(E141,64),6)</f>
        <v>00010000011</v>
      </c>
      <c r="G141" s="10" t="str">
        <f>DEC2HEX(E141,3)</f>
        <v>083</v>
      </c>
      <c r="H141" s="10" t="str">
        <f>IF(ROUND(D141/$B$6,0)&gt;$B$7,"YES","NO")</f>
        <v>NO</v>
      </c>
    </row>
    <row r="142" spans="1:8">
      <c r="A142" s="8">
        <v>132</v>
      </c>
      <c r="B142" s="9">
        <f>D141</f>
        <v>153.515625</v>
      </c>
      <c r="C142" s="9">
        <f>$B$6</f>
        <v>1.171875</v>
      </c>
      <c r="D142" s="9">
        <f>B142+C142</f>
        <v>154.6875</v>
      </c>
      <c r="E142" s="8">
        <f>MIN($B$7,ROUND(D142/$B$6,0))</f>
        <v>132</v>
      </c>
      <c r="F142" s="8" t="str">
        <f>DEC2BIN(INT(E142/64),5)&amp;DEC2BIN(MOD(E142,64),6)</f>
        <v>00010000100</v>
      </c>
      <c r="G142" s="8" t="str">
        <f>DEC2HEX(E142,3)</f>
        <v>084</v>
      </c>
      <c r="H142" s="8" t="str">
        <f>IF(ROUND(D142/$B$6,0)&gt;$B$7,"YES","NO")</f>
        <v>NO</v>
      </c>
    </row>
    <row r="143" spans="1:8">
      <c r="A143" s="10">
        <v>133</v>
      </c>
      <c r="B143" s="11">
        <f>D142</f>
        <v>154.6875</v>
      </c>
      <c r="C143" s="11">
        <f>$B$6</f>
        <v>1.171875</v>
      </c>
      <c r="D143" s="11">
        <f>B143+C143</f>
        <v>155.859375</v>
      </c>
      <c r="E143" s="10">
        <f>MIN($B$7,ROUND(D143/$B$6,0))</f>
        <v>133</v>
      </c>
      <c r="F143" s="10" t="str">
        <f>DEC2BIN(INT(E143/64),5)&amp;DEC2BIN(MOD(E143,64),6)</f>
        <v>00010000101</v>
      </c>
      <c r="G143" s="10" t="str">
        <f>DEC2HEX(E143,3)</f>
        <v>085</v>
      </c>
      <c r="H143" s="10" t="str">
        <f>IF(ROUND(D143/$B$6,0)&gt;$B$7,"YES","NO")</f>
        <v>NO</v>
      </c>
    </row>
    <row r="144" spans="1:8">
      <c r="A144" s="8">
        <v>134</v>
      </c>
      <c r="B144" s="9">
        <f>D143</f>
        <v>155.859375</v>
      </c>
      <c r="C144" s="9">
        <f>$B$6</f>
        <v>1.171875</v>
      </c>
      <c r="D144" s="9">
        <f>B144+C144</f>
        <v>157.03125</v>
      </c>
      <c r="E144" s="8">
        <f>MIN($B$7,ROUND(D144/$B$6,0))</f>
        <v>134</v>
      </c>
      <c r="F144" s="8" t="str">
        <f>DEC2BIN(INT(E144/64),5)&amp;DEC2BIN(MOD(E144,64),6)</f>
        <v>00010000110</v>
      </c>
      <c r="G144" s="8" t="str">
        <f>DEC2HEX(E144,3)</f>
        <v>086</v>
      </c>
      <c r="H144" s="8" t="str">
        <f>IF(ROUND(D144/$B$6,0)&gt;$B$7,"YES","NO")</f>
        <v>NO</v>
      </c>
    </row>
    <row r="145" spans="1:8">
      <c r="A145" s="10">
        <v>135</v>
      </c>
      <c r="B145" s="11">
        <f>D144</f>
        <v>157.03125</v>
      </c>
      <c r="C145" s="11">
        <f>$B$6</f>
        <v>1.171875</v>
      </c>
      <c r="D145" s="11">
        <f>B145+C145</f>
        <v>158.203125</v>
      </c>
      <c r="E145" s="10">
        <f>MIN($B$7,ROUND(D145/$B$6,0))</f>
        <v>135</v>
      </c>
      <c r="F145" s="10" t="str">
        <f>DEC2BIN(INT(E145/64),5)&amp;DEC2BIN(MOD(E145,64),6)</f>
        <v>00010000111</v>
      </c>
      <c r="G145" s="10" t="str">
        <f>DEC2HEX(E145,3)</f>
        <v>087</v>
      </c>
      <c r="H145" s="10" t="str">
        <f>IF(ROUND(D145/$B$6,0)&gt;$B$7,"YES","NO")</f>
        <v>NO</v>
      </c>
    </row>
    <row r="146" spans="1:8">
      <c r="A146" s="8">
        <v>136</v>
      </c>
      <c r="B146" s="9">
        <f>D145</f>
        <v>158.203125</v>
      </c>
      <c r="C146" s="9">
        <f>$B$6</f>
        <v>1.171875</v>
      </c>
      <c r="D146" s="9">
        <f>B146+C146</f>
        <v>159.375</v>
      </c>
      <c r="E146" s="8">
        <f>MIN($B$7,ROUND(D146/$B$6,0))</f>
        <v>136</v>
      </c>
      <c r="F146" s="8" t="str">
        <f>DEC2BIN(INT(E146/64),5)&amp;DEC2BIN(MOD(E146,64),6)</f>
        <v>00010001000</v>
      </c>
      <c r="G146" s="8" t="str">
        <f>DEC2HEX(E146,3)</f>
        <v>088</v>
      </c>
      <c r="H146" s="8" t="str">
        <f>IF(ROUND(D146/$B$6,0)&gt;$B$7,"YES","NO")</f>
        <v>NO</v>
      </c>
    </row>
    <row r="147" spans="1:8">
      <c r="A147" s="10">
        <v>137</v>
      </c>
      <c r="B147" s="11">
        <f>D146</f>
        <v>159.375</v>
      </c>
      <c r="C147" s="11">
        <f>$B$6</f>
        <v>1.171875</v>
      </c>
      <c r="D147" s="11">
        <f>B147+C147</f>
        <v>160.546875</v>
      </c>
      <c r="E147" s="10">
        <f>MIN($B$7,ROUND(D147/$B$6,0))</f>
        <v>137</v>
      </c>
      <c r="F147" s="10" t="str">
        <f>DEC2BIN(INT(E147/64),5)&amp;DEC2BIN(MOD(E147,64),6)</f>
        <v>00010001001</v>
      </c>
      <c r="G147" s="10" t="str">
        <f>DEC2HEX(E147,3)</f>
        <v>089</v>
      </c>
      <c r="H147" s="10" t="str">
        <f>IF(ROUND(D147/$B$6,0)&gt;$B$7,"YES","NO")</f>
        <v>NO</v>
      </c>
    </row>
    <row r="148" spans="1:8">
      <c r="A148" s="8">
        <v>138</v>
      </c>
      <c r="B148" s="9">
        <f>D147</f>
        <v>160.546875</v>
      </c>
      <c r="C148" s="9">
        <f>$B$6</f>
        <v>1.171875</v>
      </c>
      <c r="D148" s="9">
        <f>B148+C148</f>
        <v>161.71875</v>
      </c>
      <c r="E148" s="8">
        <f>MIN($B$7,ROUND(D148/$B$6,0))</f>
        <v>138</v>
      </c>
      <c r="F148" s="8" t="str">
        <f>DEC2BIN(INT(E148/64),5)&amp;DEC2BIN(MOD(E148,64),6)</f>
        <v>00010001010</v>
      </c>
      <c r="G148" s="8" t="str">
        <f>DEC2HEX(E148,3)</f>
        <v>08A</v>
      </c>
      <c r="H148" s="8" t="str">
        <f>IF(ROUND(D148/$B$6,0)&gt;$B$7,"YES","NO")</f>
        <v>NO</v>
      </c>
    </row>
    <row r="149" spans="1:8">
      <c r="A149" s="10">
        <v>139</v>
      </c>
      <c r="B149" s="11">
        <f>D148</f>
        <v>161.71875</v>
      </c>
      <c r="C149" s="11">
        <f>$B$6</f>
        <v>1.171875</v>
      </c>
      <c r="D149" s="11">
        <f>B149+C149</f>
        <v>162.890625</v>
      </c>
      <c r="E149" s="10">
        <f>MIN($B$7,ROUND(D149/$B$6,0))</f>
        <v>139</v>
      </c>
      <c r="F149" s="10" t="str">
        <f>DEC2BIN(INT(E149/64),5)&amp;DEC2BIN(MOD(E149,64),6)</f>
        <v>00010001011</v>
      </c>
      <c r="G149" s="10" t="str">
        <f>DEC2HEX(E149,3)</f>
        <v>08B</v>
      </c>
      <c r="H149" s="10" t="str">
        <f>IF(ROUND(D149/$B$6,0)&gt;$B$7,"YES","NO")</f>
        <v>NO</v>
      </c>
    </row>
    <row r="150" spans="1:8">
      <c r="A150" s="8">
        <v>140</v>
      </c>
      <c r="B150" s="9">
        <f>D149</f>
        <v>162.890625</v>
      </c>
      <c r="C150" s="9">
        <f>$B$6</f>
        <v>1.171875</v>
      </c>
      <c r="D150" s="9">
        <f>B150+C150</f>
        <v>164.0625</v>
      </c>
      <c r="E150" s="8">
        <f>MIN($B$7,ROUND(D150/$B$6,0))</f>
        <v>140</v>
      </c>
      <c r="F150" s="8" t="str">
        <f>DEC2BIN(INT(E150/64),5)&amp;DEC2BIN(MOD(E150,64),6)</f>
        <v>00010001100</v>
      </c>
      <c r="G150" s="8" t="str">
        <f>DEC2HEX(E150,3)</f>
        <v>08C</v>
      </c>
      <c r="H150" s="8" t="str">
        <f>IF(ROUND(D150/$B$6,0)&gt;$B$7,"YES","NO")</f>
        <v>NO</v>
      </c>
    </row>
    <row r="151" spans="1:8">
      <c r="A151" s="10">
        <v>141</v>
      </c>
      <c r="B151" s="11">
        <f>D150</f>
        <v>164.0625</v>
      </c>
      <c r="C151" s="11">
        <f>$B$6</f>
        <v>1.171875</v>
      </c>
      <c r="D151" s="11">
        <f>B151+C151</f>
        <v>165.234375</v>
      </c>
      <c r="E151" s="10">
        <f>MIN($B$7,ROUND(D151/$B$6,0))</f>
        <v>141</v>
      </c>
      <c r="F151" s="10" t="str">
        <f>DEC2BIN(INT(E151/64),5)&amp;DEC2BIN(MOD(E151,64),6)</f>
        <v>00010001101</v>
      </c>
      <c r="G151" s="10" t="str">
        <f>DEC2HEX(E151,3)</f>
        <v>08D</v>
      </c>
      <c r="H151" s="10" t="str">
        <f>IF(ROUND(D151/$B$6,0)&gt;$B$7,"YES","NO")</f>
        <v>NO</v>
      </c>
    </row>
    <row r="152" spans="1:8">
      <c r="A152" s="8">
        <v>142</v>
      </c>
      <c r="B152" s="9">
        <f>D151</f>
        <v>165.234375</v>
      </c>
      <c r="C152" s="9">
        <f>$B$6</f>
        <v>1.171875</v>
      </c>
      <c r="D152" s="9">
        <f>B152+C152</f>
        <v>166.40625</v>
      </c>
      <c r="E152" s="8">
        <f>MIN($B$7,ROUND(D152/$B$6,0))</f>
        <v>142</v>
      </c>
      <c r="F152" s="8" t="str">
        <f>DEC2BIN(INT(E152/64),5)&amp;DEC2BIN(MOD(E152,64),6)</f>
        <v>00010001110</v>
      </c>
      <c r="G152" s="8" t="str">
        <f>DEC2HEX(E152,3)</f>
        <v>08E</v>
      </c>
      <c r="H152" s="8" t="str">
        <f>IF(ROUND(D152/$B$6,0)&gt;$B$7,"YES","NO")</f>
        <v>NO</v>
      </c>
    </row>
    <row r="153" spans="1:8">
      <c r="A153" s="10">
        <v>143</v>
      </c>
      <c r="B153" s="11">
        <f>D152</f>
        <v>166.40625</v>
      </c>
      <c r="C153" s="11">
        <f>$B$6</f>
        <v>1.171875</v>
      </c>
      <c r="D153" s="11">
        <f>B153+C153</f>
        <v>167.578125</v>
      </c>
      <c r="E153" s="10">
        <f>MIN($B$7,ROUND(D153/$B$6,0))</f>
        <v>143</v>
      </c>
      <c r="F153" s="10" t="str">
        <f>DEC2BIN(INT(E153/64),5)&amp;DEC2BIN(MOD(E153,64),6)</f>
        <v>00010001111</v>
      </c>
      <c r="G153" s="10" t="str">
        <f>DEC2HEX(E153,3)</f>
        <v>08F</v>
      </c>
      <c r="H153" s="10" t="str">
        <f>IF(ROUND(D153/$B$6,0)&gt;$B$7,"YES","NO")</f>
        <v>NO</v>
      </c>
    </row>
    <row r="154" spans="1:8">
      <c r="A154" s="8">
        <v>144</v>
      </c>
      <c r="B154" s="9">
        <f>D153</f>
        <v>167.578125</v>
      </c>
      <c r="C154" s="9">
        <f>$B$6</f>
        <v>1.171875</v>
      </c>
      <c r="D154" s="9">
        <f>B154+C154</f>
        <v>168.75</v>
      </c>
      <c r="E154" s="8">
        <f>MIN($B$7,ROUND(D154/$B$6,0))</f>
        <v>144</v>
      </c>
      <c r="F154" s="8" t="str">
        <f>DEC2BIN(INT(E154/64),5)&amp;DEC2BIN(MOD(E154,64),6)</f>
        <v>00010010000</v>
      </c>
      <c r="G154" s="8" t="str">
        <f>DEC2HEX(E154,3)</f>
        <v>090</v>
      </c>
      <c r="H154" s="8" t="str">
        <f>IF(ROUND(D154/$B$6,0)&gt;$B$7,"YES","NO")</f>
        <v>NO</v>
      </c>
    </row>
    <row r="155" spans="1:8">
      <c r="A155" s="10">
        <v>145</v>
      </c>
      <c r="B155" s="11">
        <f>D154</f>
        <v>168.75</v>
      </c>
      <c r="C155" s="11">
        <f>$B$6</f>
        <v>1.171875</v>
      </c>
      <c r="D155" s="11">
        <f>B155+C155</f>
        <v>169.921875</v>
      </c>
      <c r="E155" s="10">
        <f>MIN($B$7,ROUND(D155/$B$6,0))</f>
        <v>145</v>
      </c>
      <c r="F155" s="10" t="str">
        <f>DEC2BIN(INT(E155/64),5)&amp;DEC2BIN(MOD(E155,64),6)</f>
        <v>00010010001</v>
      </c>
      <c r="G155" s="10" t="str">
        <f>DEC2HEX(E155,3)</f>
        <v>091</v>
      </c>
      <c r="H155" s="10" t="str">
        <f>IF(ROUND(D155/$B$6,0)&gt;$B$7,"YES","NO")</f>
        <v>NO</v>
      </c>
    </row>
    <row r="156" spans="1:8">
      <c r="A156" s="8">
        <v>146</v>
      </c>
      <c r="B156" s="9">
        <f>D155</f>
        <v>169.921875</v>
      </c>
      <c r="C156" s="9">
        <f>$B$6</f>
        <v>1.171875</v>
      </c>
      <c r="D156" s="9">
        <f>B156+C156</f>
        <v>171.09375</v>
      </c>
      <c r="E156" s="8">
        <f>MIN($B$7,ROUND(D156/$B$6,0))</f>
        <v>146</v>
      </c>
      <c r="F156" s="8" t="str">
        <f>DEC2BIN(INT(E156/64),5)&amp;DEC2BIN(MOD(E156,64),6)</f>
        <v>00010010010</v>
      </c>
      <c r="G156" s="8" t="str">
        <f>DEC2HEX(E156,3)</f>
        <v>092</v>
      </c>
      <c r="H156" s="8" t="str">
        <f>IF(ROUND(D156/$B$6,0)&gt;$B$7,"YES","NO")</f>
        <v>NO</v>
      </c>
    </row>
    <row r="157" spans="1:8">
      <c r="A157" s="10">
        <v>147</v>
      </c>
      <c r="B157" s="11">
        <f>D156</f>
        <v>171.09375</v>
      </c>
      <c r="C157" s="11">
        <f>$B$6</f>
        <v>1.171875</v>
      </c>
      <c r="D157" s="11">
        <f>B157+C157</f>
        <v>172.265625</v>
      </c>
      <c r="E157" s="10">
        <f>MIN($B$7,ROUND(D157/$B$6,0))</f>
        <v>147</v>
      </c>
      <c r="F157" s="10" t="str">
        <f>DEC2BIN(INT(E157/64),5)&amp;DEC2BIN(MOD(E157,64),6)</f>
        <v>00010010011</v>
      </c>
      <c r="G157" s="10" t="str">
        <f>DEC2HEX(E157,3)</f>
        <v>093</v>
      </c>
      <c r="H157" s="10" t="str">
        <f>IF(ROUND(D157/$B$6,0)&gt;$B$7,"YES","NO")</f>
        <v>NO</v>
      </c>
    </row>
    <row r="158" spans="1:8">
      <c r="A158" s="8">
        <v>148</v>
      </c>
      <c r="B158" s="9">
        <f>D157</f>
        <v>172.265625</v>
      </c>
      <c r="C158" s="9">
        <f>$B$6</f>
        <v>1.171875</v>
      </c>
      <c r="D158" s="9">
        <f>B158+C158</f>
        <v>173.4375</v>
      </c>
      <c r="E158" s="8">
        <f>MIN($B$7,ROUND(D158/$B$6,0))</f>
        <v>148</v>
      </c>
      <c r="F158" s="8" t="str">
        <f>DEC2BIN(INT(E158/64),5)&amp;DEC2BIN(MOD(E158,64),6)</f>
        <v>00010010100</v>
      </c>
      <c r="G158" s="8" t="str">
        <f>DEC2HEX(E158,3)</f>
        <v>094</v>
      </c>
      <c r="H158" s="8" t="str">
        <f>IF(ROUND(D158/$B$6,0)&gt;$B$7,"YES","NO")</f>
        <v>NO</v>
      </c>
    </row>
    <row r="159" spans="1:8">
      <c r="A159" s="10">
        <v>149</v>
      </c>
      <c r="B159" s="11">
        <f>D158</f>
        <v>173.4375</v>
      </c>
      <c r="C159" s="11">
        <f>$B$6</f>
        <v>1.171875</v>
      </c>
      <c r="D159" s="11">
        <f>B159+C159</f>
        <v>174.609375</v>
      </c>
      <c r="E159" s="10">
        <f>MIN($B$7,ROUND(D159/$B$6,0))</f>
        <v>149</v>
      </c>
      <c r="F159" s="10" t="str">
        <f>DEC2BIN(INT(E159/64),5)&amp;DEC2BIN(MOD(E159,64),6)</f>
        <v>00010010101</v>
      </c>
      <c r="G159" s="10" t="str">
        <f>DEC2HEX(E159,3)</f>
        <v>095</v>
      </c>
      <c r="H159" s="10" t="str">
        <f>IF(ROUND(D159/$B$6,0)&gt;$B$7,"YES","NO")</f>
        <v>NO</v>
      </c>
    </row>
    <row r="160" spans="1:8">
      <c r="A160" s="8">
        <v>150</v>
      </c>
      <c r="B160" s="9">
        <f>D159</f>
        <v>174.609375</v>
      </c>
      <c r="C160" s="9">
        <f>$B$6</f>
        <v>1.171875</v>
      </c>
      <c r="D160" s="9">
        <f>B160+C160</f>
        <v>175.78125</v>
      </c>
      <c r="E160" s="8">
        <f>MIN($B$7,ROUND(D160/$B$6,0))</f>
        <v>150</v>
      </c>
      <c r="F160" s="8" t="str">
        <f>DEC2BIN(INT(E160/64),5)&amp;DEC2BIN(MOD(E160,64),6)</f>
        <v>00010010110</v>
      </c>
      <c r="G160" s="8" t="str">
        <f>DEC2HEX(E160,3)</f>
        <v>096</v>
      </c>
      <c r="H160" s="8" t="str">
        <f>IF(ROUND(D160/$B$6,0)&gt;$B$7,"YES","NO")</f>
        <v>NO</v>
      </c>
    </row>
    <row r="161" spans="1:8">
      <c r="A161" s="10">
        <v>151</v>
      </c>
      <c r="B161" s="11">
        <f>D160</f>
        <v>175.78125</v>
      </c>
      <c r="C161" s="11">
        <f>$B$6</f>
        <v>1.171875</v>
      </c>
      <c r="D161" s="11">
        <f>B161+C161</f>
        <v>176.953125</v>
      </c>
      <c r="E161" s="10">
        <f>MIN($B$7,ROUND(D161/$B$6,0))</f>
        <v>151</v>
      </c>
      <c r="F161" s="10" t="str">
        <f>DEC2BIN(INT(E161/64),5)&amp;DEC2BIN(MOD(E161,64),6)</f>
        <v>00010010111</v>
      </c>
      <c r="G161" s="10" t="str">
        <f>DEC2HEX(E161,3)</f>
        <v>097</v>
      </c>
      <c r="H161" s="10" t="str">
        <f>IF(ROUND(D161/$B$6,0)&gt;$B$7,"YES","NO")</f>
        <v>NO</v>
      </c>
    </row>
    <row r="162" spans="1:8">
      <c r="A162" s="8">
        <v>152</v>
      </c>
      <c r="B162" s="9">
        <f>D161</f>
        <v>176.953125</v>
      </c>
      <c r="C162" s="9">
        <f>$B$6</f>
        <v>1.171875</v>
      </c>
      <c r="D162" s="9">
        <f>B162+C162</f>
        <v>178.125</v>
      </c>
      <c r="E162" s="8">
        <f>MIN($B$7,ROUND(D162/$B$6,0))</f>
        <v>152</v>
      </c>
      <c r="F162" s="8" t="str">
        <f>DEC2BIN(INT(E162/64),5)&amp;DEC2BIN(MOD(E162,64),6)</f>
        <v>00010011000</v>
      </c>
      <c r="G162" s="8" t="str">
        <f>DEC2HEX(E162,3)</f>
        <v>098</v>
      </c>
      <c r="H162" s="8" t="str">
        <f>IF(ROUND(D162/$B$6,0)&gt;$B$7,"YES","NO")</f>
        <v>NO</v>
      </c>
    </row>
    <row r="163" spans="1:8">
      <c r="A163" s="10">
        <v>153</v>
      </c>
      <c r="B163" s="11">
        <f>D162</f>
        <v>178.125</v>
      </c>
      <c r="C163" s="11">
        <f>$B$6</f>
        <v>1.171875</v>
      </c>
      <c r="D163" s="11">
        <f>B163+C163</f>
        <v>179.296875</v>
      </c>
      <c r="E163" s="10">
        <f>MIN($B$7,ROUND(D163/$B$6,0))</f>
        <v>153</v>
      </c>
      <c r="F163" s="10" t="str">
        <f>DEC2BIN(INT(E163/64),5)&amp;DEC2BIN(MOD(E163,64),6)</f>
        <v>00010011001</v>
      </c>
      <c r="G163" s="10" t="str">
        <f>DEC2HEX(E163,3)</f>
        <v>099</v>
      </c>
      <c r="H163" s="10" t="str">
        <f>IF(ROUND(D163/$B$6,0)&gt;$B$7,"YES","NO")</f>
        <v>NO</v>
      </c>
    </row>
    <row r="164" spans="1:8">
      <c r="A164" s="8">
        <v>154</v>
      </c>
      <c r="B164" s="9">
        <f>D163</f>
        <v>179.296875</v>
      </c>
      <c r="C164" s="9">
        <f>$B$6</f>
        <v>1.171875</v>
      </c>
      <c r="D164" s="9">
        <f>B164+C164</f>
        <v>180.46875</v>
      </c>
      <c r="E164" s="8">
        <f>MIN($B$7,ROUND(D164/$B$6,0))</f>
        <v>154</v>
      </c>
      <c r="F164" s="8" t="str">
        <f>DEC2BIN(INT(E164/64),5)&amp;DEC2BIN(MOD(E164,64),6)</f>
        <v>00010011010</v>
      </c>
      <c r="G164" s="8" t="str">
        <f>DEC2HEX(E164,3)</f>
        <v>09A</v>
      </c>
      <c r="H164" s="8" t="str">
        <f>IF(ROUND(D164/$B$6,0)&gt;$B$7,"YES","NO")</f>
        <v>NO</v>
      </c>
    </row>
    <row r="165" spans="1:8">
      <c r="A165" s="10">
        <v>155</v>
      </c>
      <c r="B165" s="11">
        <f>D164</f>
        <v>180.46875</v>
      </c>
      <c r="C165" s="11">
        <f>$B$6</f>
        <v>1.171875</v>
      </c>
      <c r="D165" s="11">
        <f>B165+C165</f>
        <v>181.640625</v>
      </c>
      <c r="E165" s="10">
        <f>MIN($B$7,ROUND(D165/$B$6,0))</f>
        <v>155</v>
      </c>
      <c r="F165" s="10" t="str">
        <f>DEC2BIN(INT(E165/64),5)&amp;DEC2BIN(MOD(E165,64),6)</f>
        <v>00010011011</v>
      </c>
      <c r="G165" s="10" t="str">
        <f>DEC2HEX(E165,3)</f>
        <v>09B</v>
      </c>
      <c r="H165" s="10" t="str">
        <f>IF(ROUND(D165/$B$6,0)&gt;$B$7,"YES","NO")</f>
        <v>NO</v>
      </c>
    </row>
    <row r="166" spans="1:8">
      <c r="A166" s="8">
        <v>156</v>
      </c>
      <c r="B166" s="9">
        <f>D165</f>
        <v>181.640625</v>
      </c>
      <c r="C166" s="9">
        <f>$B$6</f>
        <v>1.171875</v>
      </c>
      <c r="D166" s="9">
        <f>B166+C166</f>
        <v>182.8125</v>
      </c>
      <c r="E166" s="8">
        <f>MIN($B$7,ROUND(D166/$B$6,0))</f>
        <v>156</v>
      </c>
      <c r="F166" s="8" t="str">
        <f>DEC2BIN(INT(E166/64),5)&amp;DEC2BIN(MOD(E166,64),6)</f>
        <v>00010011100</v>
      </c>
      <c r="G166" s="8" t="str">
        <f>DEC2HEX(E166,3)</f>
        <v>09C</v>
      </c>
      <c r="H166" s="8" t="str">
        <f>IF(ROUND(D166/$B$6,0)&gt;$B$7,"YES","NO")</f>
        <v>NO</v>
      </c>
    </row>
    <row r="167" spans="1:8">
      <c r="A167" s="10">
        <v>157</v>
      </c>
      <c r="B167" s="11">
        <f>D166</f>
        <v>182.8125</v>
      </c>
      <c r="C167" s="11">
        <f>$B$6</f>
        <v>1.171875</v>
      </c>
      <c r="D167" s="11">
        <f>B167+C167</f>
        <v>183.984375</v>
      </c>
      <c r="E167" s="10">
        <f>MIN($B$7,ROUND(D167/$B$6,0))</f>
        <v>157</v>
      </c>
      <c r="F167" s="10" t="str">
        <f>DEC2BIN(INT(E167/64),5)&amp;DEC2BIN(MOD(E167,64),6)</f>
        <v>00010011101</v>
      </c>
      <c r="G167" s="10" t="str">
        <f>DEC2HEX(E167,3)</f>
        <v>09D</v>
      </c>
      <c r="H167" s="10" t="str">
        <f>IF(ROUND(D167/$B$6,0)&gt;$B$7,"YES","NO")</f>
        <v>NO</v>
      </c>
    </row>
    <row r="168" spans="1:8">
      <c r="A168" s="8">
        <v>158</v>
      </c>
      <c r="B168" s="9">
        <f>D167</f>
        <v>183.984375</v>
      </c>
      <c r="C168" s="9">
        <f>$B$6</f>
        <v>1.171875</v>
      </c>
      <c r="D168" s="9">
        <f>B168+C168</f>
        <v>185.15625</v>
      </c>
      <c r="E168" s="8">
        <f>MIN($B$7,ROUND(D168/$B$6,0))</f>
        <v>158</v>
      </c>
      <c r="F168" s="8" t="str">
        <f>DEC2BIN(INT(E168/64),5)&amp;DEC2BIN(MOD(E168,64),6)</f>
        <v>00010011110</v>
      </c>
      <c r="G168" s="8" t="str">
        <f>DEC2HEX(E168,3)</f>
        <v>09E</v>
      </c>
      <c r="H168" s="8" t="str">
        <f>IF(ROUND(D168/$B$6,0)&gt;$B$7,"YES","NO")</f>
        <v>NO</v>
      </c>
    </row>
    <row r="169" spans="1:8">
      <c r="A169" s="10">
        <v>159</v>
      </c>
      <c r="B169" s="11">
        <f>D168</f>
        <v>185.15625</v>
      </c>
      <c r="C169" s="11">
        <f>$B$6</f>
        <v>1.171875</v>
      </c>
      <c r="D169" s="11">
        <f>B169+C169</f>
        <v>186.328125</v>
      </c>
      <c r="E169" s="10">
        <f>MIN($B$7,ROUND(D169/$B$6,0))</f>
        <v>159</v>
      </c>
      <c r="F169" s="10" t="str">
        <f>DEC2BIN(INT(E169/64),5)&amp;DEC2BIN(MOD(E169,64),6)</f>
        <v>00010011111</v>
      </c>
      <c r="G169" s="10" t="str">
        <f>DEC2HEX(E169,3)</f>
        <v>09F</v>
      </c>
      <c r="H169" s="10" t="str">
        <f>IF(ROUND(D169/$B$6,0)&gt;$B$7,"YES","NO")</f>
        <v>NO</v>
      </c>
    </row>
    <row r="170" spans="1:8">
      <c r="A170" s="8">
        <v>160</v>
      </c>
      <c r="B170" s="9">
        <f>D169</f>
        <v>186.328125</v>
      </c>
      <c r="C170" s="9">
        <f>$B$6</f>
        <v>1.171875</v>
      </c>
      <c r="D170" s="9">
        <f>B170+C170</f>
        <v>187.5</v>
      </c>
      <c r="E170" s="8">
        <f>MIN($B$7,ROUND(D170/$B$6,0))</f>
        <v>160</v>
      </c>
      <c r="F170" s="8" t="str">
        <f>DEC2BIN(INT(E170/64),5)&amp;DEC2BIN(MOD(E170,64),6)</f>
        <v>00010100000</v>
      </c>
      <c r="G170" s="8" t="str">
        <f>DEC2HEX(E170,3)</f>
        <v>0A0</v>
      </c>
      <c r="H170" s="8" t="str">
        <f>IF(ROUND(D170/$B$6,0)&gt;$B$7,"YES","NO")</f>
        <v>NO</v>
      </c>
    </row>
    <row r="171" spans="1:8">
      <c r="A171" s="10">
        <v>161</v>
      </c>
      <c r="B171" s="11">
        <f>D170</f>
        <v>187.5</v>
      </c>
      <c r="C171" s="11">
        <f>$B$6</f>
        <v>1.171875</v>
      </c>
      <c r="D171" s="11">
        <f>B171+C171</f>
        <v>188.671875</v>
      </c>
      <c r="E171" s="10">
        <f>MIN($B$7,ROUND(D171/$B$6,0))</f>
        <v>161</v>
      </c>
      <c r="F171" s="10" t="str">
        <f>DEC2BIN(INT(E171/64),5)&amp;DEC2BIN(MOD(E171,64),6)</f>
        <v>00010100001</v>
      </c>
      <c r="G171" s="10" t="str">
        <f>DEC2HEX(E171,3)</f>
        <v>0A1</v>
      </c>
      <c r="H171" s="10" t="str">
        <f>IF(ROUND(D171/$B$6,0)&gt;$B$7,"YES","NO")</f>
        <v>NO</v>
      </c>
    </row>
    <row r="172" spans="1:8">
      <c r="A172" s="8">
        <v>162</v>
      </c>
      <c r="B172" s="9">
        <f>D171</f>
        <v>188.671875</v>
      </c>
      <c r="C172" s="9">
        <f>$B$6</f>
        <v>1.171875</v>
      </c>
      <c r="D172" s="9">
        <f>B172+C172</f>
        <v>189.84375</v>
      </c>
      <c r="E172" s="8">
        <f>MIN($B$7,ROUND(D172/$B$6,0))</f>
        <v>162</v>
      </c>
      <c r="F172" s="8" t="str">
        <f>DEC2BIN(INT(E172/64),5)&amp;DEC2BIN(MOD(E172,64),6)</f>
        <v>00010100010</v>
      </c>
      <c r="G172" s="8" t="str">
        <f>DEC2HEX(E172,3)</f>
        <v>0A2</v>
      </c>
      <c r="H172" s="8" t="str">
        <f>IF(ROUND(D172/$B$6,0)&gt;$B$7,"YES","NO")</f>
        <v>NO</v>
      </c>
    </row>
    <row r="173" spans="1:8">
      <c r="A173" s="10">
        <v>163</v>
      </c>
      <c r="B173" s="11">
        <f>D172</f>
        <v>189.84375</v>
      </c>
      <c r="C173" s="11">
        <f>$B$6</f>
        <v>1.171875</v>
      </c>
      <c r="D173" s="11">
        <f>B173+C173</f>
        <v>191.015625</v>
      </c>
      <c r="E173" s="10">
        <f>MIN($B$7,ROUND(D173/$B$6,0))</f>
        <v>163</v>
      </c>
      <c r="F173" s="10" t="str">
        <f>DEC2BIN(INT(E173/64),5)&amp;DEC2BIN(MOD(E173,64),6)</f>
        <v>00010100011</v>
      </c>
      <c r="G173" s="10" t="str">
        <f>DEC2HEX(E173,3)</f>
        <v>0A3</v>
      </c>
      <c r="H173" s="10" t="str">
        <f>IF(ROUND(D173/$B$6,0)&gt;$B$7,"YES","NO")</f>
        <v>NO</v>
      </c>
    </row>
    <row r="174" spans="1:8">
      <c r="A174" s="8">
        <v>164</v>
      </c>
      <c r="B174" s="9">
        <f>D173</f>
        <v>191.015625</v>
      </c>
      <c r="C174" s="9">
        <f>$B$6</f>
        <v>1.171875</v>
      </c>
      <c r="D174" s="9">
        <f>B174+C174</f>
        <v>192.1875</v>
      </c>
      <c r="E174" s="8">
        <f>MIN($B$7,ROUND(D174/$B$6,0))</f>
        <v>164</v>
      </c>
      <c r="F174" s="8" t="str">
        <f>DEC2BIN(INT(E174/64),5)&amp;DEC2BIN(MOD(E174,64),6)</f>
        <v>00010100100</v>
      </c>
      <c r="G174" s="8" t="str">
        <f>DEC2HEX(E174,3)</f>
        <v>0A4</v>
      </c>
      <c r="H174" s="8" t="str">
        <f>IF(ROUND(D174/$B$6,0)&gt;$B$7,"YES","NO")</f>
        <v>NO</v>
      </c>
    </row>
    <row r="175" spans="1:8">
      <c r="A175" s="10">
        <v>165</v>
      </c>
      <c r="B175" s="11">
        <f>D174</f>
        <v>192.1875</v>
      </c>
      <c r="C175" s="11">
        <f>$B$6</f>
        <v>1.171875</v>
      </c>
      <c r="D175" s="11">
        <f>B175+C175</f>
        <v>193.359375</v>
      </c>
      <c r="E175" s="10">
        <f>MIN($B$7,ROUND(D175/$B$6,0))</f>
        <v>165</v>
      </c>
      <c r="F175" s="10" t="str">
        <f>DEC2BIN(INT(E175/64),5)&amp;DEC2BIN(MOD(E175,64),6)</f>
        <v>00010100101</v>
      </c>
      <c r="G175" s="10" t="str">
        <f>DEC2HEX(E175,3)</f>
        <v>0A5</v>
      </c>
      <c r="H175" s="10" t="str">
        <f>IF(ROUND(D175/$B$6,0)&gt;$B$7,"YES","NO")</f>
        <v>NO</v>
      </c>
    </row>
    <row r="176" spans="1:8">
      <c r="A176" s="8">
        <v>166</v>
      </c>
      <c r="B176" s="9">
        <f>D175</f>
        <v>193.359375</v>
      </c>
      <c r="C176" s="9">
        <f>$B$6</f>
        <v>1.171875</v>
      </c>
      <c r="D176" s="9">
        <f>B176+C176</f>
        <v>194.53125</v>
      </c>
      <c r="E176" s="8">
        <f>MIN($B$7,ROUND(D176/$B$6,0))</f>
        <v>166</v>
      </c>
      <c r="F176" s="8" t="str">
        <f>DEC2BIN(INT(E176/64),5)&amp;DEC2BIN(MOD(E176,64),6)</f>
        <v>00010100110</v>
      </c>
      <c r="G176" s="8" t="str">
        <f>DEC2HEX(E176,3)</f>
        <v>0A6</v>
      </c>
      <c r="H176" s="8" t="str">
        <f>IF(ROUND(D176/$B$6,0)&gt;$B$7,"YES","NO")</f>
        <v>NO</v>
      </c>
    </row>
    <row r="177" spans="1:8">
      <c r="A177" s="10">
        <v>167</v>
      </c>
      <c r="B177" s="11">
        <f>D176</f>
        <v>194.53125</v>
      </c>
      <c r="C177" s="11">
        <f>$B$6</f>
        <v>1.171875</v>
      </c>
      <c r="D177" s="11">
        <f>B177+C177</f>
        <v>195.703125</v>
      </c>
      <c r="E177" s="10">
        <f>MIN($B$7,ROUND(D177/$B$6,0))</f>
        <v>167</v>
      </c>
      <c r="F177" s="10" t="str">
        <f>DEC2BIN(INT(E177/64),5)&amp;DEC2BIN(MOD(E177,64),6)</f>
        <v>00010100111</v>
      </c>
      <c r="G177" s="10" t="str">
        <f>DEC2HEX(E177,3)</f>
        <v>0A7</v>
      </c>
      <c r="H177" s="10" t="str">
        <f>IF(ROUND(D177/$B$6,0)&gt;$B$7,"YES","NO")</f>
        <v>NO</v>
      </c>
    </row>
    <row r="178" spans="1:8">
      <c r="A178" s="8">
        <v>168</v>
      </c>
      <c r="B178" s="9">
        <f>D177</f>
        <v>195.703125</v>
      </c>
      <c r="C178" s="9">
        <f>$B$6</f>
        <v>1.171875</v>
      </c>
      <c r="D178" s="9">
        <f>B178+C178</f>
        <v>196.875</v>
      </c>
      <c r="E178" s="8">
        <f>MIN($B$7,ROUND(D178/$B$6,0))</f>
        <v>168</v>
      </c>
      <c r="F178" s="8" t="str">
        <f>DEC2BIN(INT(E178/64),5)&amp;DEC2BIN(MOD(E178,64),6)</f>
        <v>00010101000</v>
      </c>
      <c r="G178" s="8" t="str">
        <f>DEC2HEX(E178,3)</f>
        <v>0A8</v>
      </c>
      <c r="H178" s="8" t="str">
        <f>IF(ROUND(D178/$B$6,0)&gt;$B$7,"YES","NO")</f>
        <v>NO</v>
      </c>
    </row>
    <row r="179" spans="1:8">
      <c r="A179" s="10">
        <v>169</v>
      </c>
      <c r="B179" s="11">
        <f>D178</f>
        <v>196.875</v>
      </c>
      <c r="C179" s="11">
        <f>$B$6</f>
        <v>1.171875</v>
      </c>
      <c r="D179" s="11">
        <f>B179+C179</f>
        <v>198.046875</v>
      </c>
      <c r="E179" s="10">
        <f>MIN($B$7,ROUND(D179/$B$6,0))</f>
        <v>169</v>
      </c>
      <c r="F179" s="10" t="str">
        <f>DEC2BIN(INT(E179/64),5)&amp;DEC2BIN(MOD(E179,64),6)</f>
        <v>00010101001</v>
      </c>
      <c r="G179" s="10" t="str">
        <f>DEC2HEX(E179,3)</f>
        <v>0A9</v>
      </c>
      <c r="H179" s="10" t="str">
        <f>IF(ROUND(D179/$B$6,0)&gt;$B$7,"YES","NO")</f>
        <v>NO</v>
      </c>
    </row>
    <row r="180" spans="1:8">
      <c r="A180" s="8">
        <v>170</v>
      </c>
      <c r="B180" s="9">
        <f>D179</f>
        <v>198.046875</v>
      </c>
      <c r="C180" s="9">
        <f>$B$6</f>
        <v>1.171875</v>
      </c>
      <c r="D180" s="9">
        <f>B180+C180</f>
        <v>199.21875</v>
      </c>
      <c r="E180" s="8">
        <f>MIN($B$7,ROUND(D180/$B$6,0))</f>
        <v>170</v>
      </c>
      <c r="F180" s="8" t="str">
        <f>DEC2BIN(INT(E180/64),5)&amp;DEC2BIN(MOD(E180,64),6)</f>
        <v>00010101010</v>
      </c>
      <c r="G180" s="8" t="str">
        <f>DEC2HEX(E180,3)</f>
        <v>0AA</v>
      </c>
      <c r="H180" s="8" t="str">
        <f>IF(ROUND(D180/$B$6,0)&gt;$B$7,"YES","NO")</f>
        <v>NO</v>
      </c>
    </row>
    <row r="181" spans="1:8">
      <c r="A181" s="10">
        <v>171</v>
      </c>
      <c r="B181" s="11">
        <f>D180</f>
        <v>199.21875</v>
      </c>
      <c r="C181" s="11">
        <f>$B$6</f>
        <v>1.171875</v>
      </c>
      <c r="D181" s="11">
        <f>B181+C181</f>
        <v>200.390625</v>
      </c>
      <c r="E181" s="10">
        <f>MIN($B$7,ROUND(D181/$B$6,0))</f>
        <v>171</v>
      </c>
      <c r="F181" s="10" t="str">
        <f>DEC2BIN(INT(E181/64),5)&amp;DEC2BIN(MOD(E181,64),6)</f>
        <v>00010101011</v>
      </c>
      <c r="G181" s="10" t="str">
        <f>DEC2HEX(E181,3)</f>
        <v>0AB</v>
      </c>
      <c r="H181" s="10" t="str">
        <f>IF(ROUND(D181/$B$6,0)&gt;$B$7,"YES","NO")</f>
        <v>NO</v>
      </c>
    </row>
    <row r="182" spans="1:8">
      <c r="A182" s="8">
        <v>172</v>
      </c>
      <c r="B182" s="9">
        <f>D181</f>
        <v>200.390625</v>
      </c>
      <c r="C182" s="9">
        <f>$B$6</f>
        <v>1.171875</v>
      </c>
      <c r="D182" s="9">
        <f>B182+C182</f>
        <v>201.5625</v>
      </c>
      <c r="E182" s="8">
        <f>MIN($B$7,ROUND(D182/$B$6,0))</f>
        <v>172</v>
      </c>
      <c r="F182" s="8" t="str">
        <f>DEC2BIN(INT(E182/64),5)&amp;DEC2BIN(MOD(E182,64),6)</f>
        <v>00010101100</v>
      </c>
      <c r="G182" s="8" t="str">
        <f>DEC2HEX(E182,3)</f>
        <v>0AC</v>
      </c>
      <c r="H182" s="8" t="str">
        <f>IF(ROUND(D182/$B$6,0)&gt;$B$7,"YES","NO")</f>
        <v>NO</v>
      </c>
    </row>
    <row r="183" spans="1:8">
      <c r="A183" s="10">
        <v>173</v>
      </c>
      <c r="B183" s="11">
        <f>D182</f>
        <v>201.5625</v>
      </c>
      <c r="C183" s="11">
        <f>$B$6</f>
        <v>1.171875</v>
      </c>
      <c r="D183" s="11">
        <f>B183+C183</f>
        <v>202.734375</v>
      </c>
      <c r="E183" s="10">
        <f>MIN($B$7,ROUND(D183/$B$6,0))</f>
        <v>173</v>
      </c>
      <c r="F183" s="10" t="str">
        <f>DEC2BIN(INT(E183/64),5)&amp;DEC2BIN(MOD(E183,64),6)</f>
        <v>00010101101</v>
      </c>
      <c r="G183" s="10" t="str">
        <f>DEC2HEX(E183,3)</f>
        <v>0AD</v>
      </c>
      <c r="H183" s="10" t="str">
        <f>IF(ROUND(D183/$B$6,0)&gt;$B$7,"YES","NO")</f>
        <v>NO</v>
      </c>
    </row>
    <row r="184" spans="1:8">
      <c r="A184" s="8">
        <v>174</v>
      </c>
      <c r="B184" s="9">
        <f>D183</f>
        <v>202.734375</v>
      </c>
      <c r="C184" s="9">
        <f>$B$6</f>
        <v>1.171875</v>
      </c>
      <c r="D184" s="9">
        <f>B184+C184</f>
        <v>203.90625</v>
      </c>
      <c r="E184" s="8">
        <f>MIN($B$7,ROUND(D184/$B$6,0))</f>
        <v>174</v>
      </c>
      <c r="F184" s="8" t="str">
        <f>DEC2BIN(INT(E184/64),5)&amp;DEC2BIN(MOD(E184,64),6)</f>
        <v>00010101110</v>
      </c>
      <c r="G184" s="8" t="str">
        <f>DEC2HEX(E184,3)</f>
        <v>0AE</v>
      </c>
      <c r="H184" s="8" t="str">
        <f>IF(ROUND(D184/$B$6,0)&gt;$B$7,"YES","NO")</f>
        <v>NO</v>
      </c>
    </row>
    <row r="185" spans="1:8">
      <c r="A185" s="10">
        <v>175</v>
      </c>
      <c r="B185" s="11">
        <f>D184</f>
        <v>203.90625</v>
      </c>
      <c r="C185" s="11">
        <f>$B$6</f>
        <v>1.171875</v>
      </c>
      <c r="D185" s="11">
        <f>B185+C185</f>
        <v>205.078125</v>
      </c>
      <c r="E185" s="10">
        <f>MIN($B$7,ROUND(D185/$B$6,0))</f>
        <v>175</v>
      </c>
      <c r="F185" s="10" t="str">
        <f>DEC2BIN(INT(E185/64),5)&amp;DEC2BIN(MOD(E185,64),6)</f>
        <v>00010101111</v>
      </c>
      <c r="G185" s="10" t="str">
        <f>DEC2HEX(E185,3)</f>
        <v>0AF</v>
      </c>
      <c r="H185" s="10" t="str">
        <f>IF(ROUND(D185/$B$6,0)&gt;$B$7,"YES","NO")</f>
        <v>NO</v>
      </c>
    </row>
    <row r="186" spans="1:8">
      <c r="A186" s="8">
        <v>176</v>
      </c>
      <c r="B186" s="9">
        <f>D185</f>
        <v>205.078125</v>
      </c>
      <c r="C186" s="9">
        <f>$B$6</f>
        <v>1.171875</v>
      </c>
      <c r="D186" s="9">
        <f>B186+C186</f>
        <v>206.25</v>
      </c>
      <c r="E186" s="8">
        <f>MIN($B$7,ROUND(D186/$B$6,0))</f>
        <v>176</v>
      </c>
      <c r="F186" s="8" t="str">
        <f>DEC2BIN(INT(E186/64),5)&amp;DEC2BIN(MOD(E186,64),6)</f>
        <v>00010110000</v>
      </c>
      <c r="G186" s="8" t="str">
        <f>DEC2HEX(E186,3)</f>
        <v>0B0</v>
      </c>
      <c r="H186" s="8" t="str">
        <f>IF(ROUND(D186/$B$6,0)&gt;$B$7,"YES","NO")</f>
        <v>NO</v>
      </c>
    </row>
    <row r="187" spans="1:8">
      <c r="A187" s="10">
        <v>177</v>
      </c>
      <c r="B187" s="11">
        <f>D186</f>
        <v>206.25</v>
      </c>
      <c r="C187" s="11">
        <f>$B$6</f>
        <v>1.171875</v>
      </c>
      <c r="D187" s="11">
        <f>B187+C187</f>
        <v>207.421875</v>
      </c>
      <c r="E187" s="10">
        <f>MIN($B$7,ROUND(D187/$B$6,0))</f>
        <v>177</v>
      </c>
      <c r="F187" s="10" t="str">
        <f>DEC2BIN(INT(E187/64),5)&amp;DEC2BIN(MOD(E187,64),6)</f>
        <v>00010110001</v>
      </c>
      <c r="G187" s="10" t="str">
        <f>DEC2HEX(E187,3)</f>
        <v>0B1</v>
      </c>
      <c r="H187" s="10" t="str">
        <f>IF(ROUND(D187/$B$6,0)&gt;$B$7,"YES","NO")</f>
        <v>NO</v>
      </c>
    </row>
    <row r="188" spans="1:8">
      <c r="A188" s="8">
        <v>178</v>
      </c>
      <c r="B188" s="9">
        <f>D187</f>
        <v>207.421875</v>
      </c>
      <c r="C188" s="9">
        <f>$B$6</f>
        <v>1.171875</v>
      </c>
      <c r="D188" s="9">
        <f>B188+C188</f>
        <v>208.59375</v>
      </c>
      <c r="E188" s="8">
        <f>MIN($B$7,ROUND(D188/$B$6,0))</f>
        <v>178</v>
      </c>
      <c r="F188" s="8" t="str">
        <f>DEC2BIN(INT(E188/64),5)&amp;DEC2BIN(MOD(E188,64),6)</f>
        <v>00010110010</v>
      </c>
      <c r="G188" s="8" t="str">
        <f>DEC2HEX(E188,3)</f>
        <v>0B2</v>
      </c>
      <c r="H188" s="8" t="str">
        <f>IF(ROUND(D188/$B$6,0)&gt;$B$7,"YES","NO")</f>
        <v>NO</v>
      </c>
    </row>
    <row r="189" spans="1:8">
      <c r="A189" s="10">
        <v>179</v>
      </c>
      <c r="B189" s="11">
        <f>D188</f>
        <v>208.59375</v>
      </c>
      <c r="C189" s="11">
        <f>$B$6</f>
        <v>1.171875</v>
      </c>
      <c r="D189" s="11">
        <f>B189+C189</f>
        <v>209.765625</v>
      </c>
      <c r="E189" s="10">
        <f>MIN($B$7,ROUND(D189/$B$6,0))</f>
        <v>179</v>
      </c>
      <c r="F189" s="10" t="str">
        <f>DEC2BIN(INT(E189/64),5)&amp;DEC2BIN(MOD(E189,64),6)</f>
        <v>00010110011</v>
      </c>
      <c r="G189" s="10" t="str">
        <f>DEC2HEX(E189,3)</f>
        <v>0B3</v>
      </c>
      <c r="H189" s="10" t="str">
        <f>IF(ROUND(D189/$B$6,0)&gt;$B$7,"YES","NO")</f>
        <v>NO</v>
      </c>
    </row>
    <row r="190" spans="1:8">
      <c r="A190" s="8">
        <v>180</v>
      </c>
      <c r="B190" s="9">
        <f>D189</f>
        <v>209.765625</v>
      </c>
      <c r="C190" s="9">
        <f>$B$6</f>
        <v>1.171875</v>
      </c>
      <c r="D190" s="9">
        <f>B190+C190</f>
        <v>210.9375</v>
      </c>
      <c r="E190" s="8">
        <f>MIN($B$7,ROUND(D190/$B$6,0))</f>
        <v>180</v>
      </c>
      <c r="F190" s="8" t="str">
        <f>DEC2BIN(INT(E190/64),5)&amp;DEC2BIN(MOD(E190,64),6)</f>
        <v>00010110100</v>
      </c>
      <c r="G190" s="8" t="str">
        <f>DEC2HEX(E190,3)</f>
        <v>0B4</v>
      </c>
      <c r="H190" s="8" t="str">
        <f>IF(ROUND(D190/$B$6,0)&gt;$B$7,"YES","NO")</f>
        <v>NO</v>
      </c>
    </row>
    <row r="191" spans="1:8">
      <c r="A191" s="10">
        <v>181</v>
      </c>
      <c r="B191" s="11">
        <f>D190</f>
        <v>210.9375</v>
      </c>
      <c r="C191" s="11">
        <f>$B$6</f>
        <v>1.171875</v>
      </c>
      <c r="D191" s="11">
        <f>B191+C191</f>
        <v>212.109375</v>
      </c>
      <c r="E191" s="10">
        <f>MIN($B$7,ROUND(D191/$B$6,0))</f>
        <v>181</v>
      </c>
      <c r="F191" s="10" t="str">
        <f>DEC2BIN(INT(E191/64),5)&amp;DEC2BIN(MOD(E191,64),6)</f>
        <v>00010110101</v>
      </c>
      <c r="G191" s="10" t="str">
        <f>DEC2HEX(E191,3)</f>
        <v>0B5</v>
      </c>
      <c r="H191" s="10" t="str">
        <f>IF(ROUND(D191/$B$6,0)&gt;$B$7,"YES","NO")</f>
        <v>NO</v>
      </c>
    </row>
    <row r="192" spans="1:8">
      <c r="A192" s="8">
        <v>182</v>
      </c>
      <c r="B192" s="9">
        <f>D191</f>
        <v>212.109375</v>
      </c>
      <c r="C192" s="9">
        <f>$B$6</f>
        <v>1.171875</v>
      </c>
      <c r="D192" s="9">
        <f>B192+C192</f>
        <v>213.28125</v>
      </c>
      <c r="E192" s="8">
        <f>MIN($B$7,ROUND(D192/$B$6,0))</f>
        <v>182</v>
      </c>
      <c r="F192" s="8" t="str">
        <f>DEC2BIN(INT(E192/64),5)&amp;DEC2BIN(MOD(E192,64),6)</f>
        <v>00010110110</v>
      </c>
      <c r="G192" s="8" t="str">
        <f>DEC2HEX(E192,3)</f>
        <v>0B6</v>
      </c>
      <c r="H192" s="8" t="str">
        <f>IF(ROUND(D192/$B$6,0)&gt;$B$7,"YES","NO")</f>
        <v>NO</v>
      </c>
    </row>
    <row r="193" spans="1:8">
      <c r="A193" s="10">
        <v>183</v>
      </c>
      <c r="B193" s="11">
        <f>D192</f>
        <v>213.28125</v>
      </c>
      <c r="C193" s="11">
        <f>$B$6</f>
        <v>1.171875</v>
      </c>
      <c r="D193" s="11">
        <f>B193+C193</f>
        <v>214.453125</v>
      </c>
      <c r="E193" s="10">
        <f>MIN($B$7,ROUND(D193/$B$6,0))</f>
        <v>183</v>
      </c>
      <c r="F193" s="10" t="str">
        <f>DEC2BIN(INT(E193/64),5)&amp;DEC2BIN(MOD(E193,64),6)</f>
        <v>00010110111</v>
      </c>
      <c r="G193" s="10" t="str">
        <f>DEC2HEX(E193,3)</f>
        <v>0B7</v>
      </c>
      <c r="H193" s="10" t="str">
        <f>IF(ROUND(D193/$B$6,0)&gt;$B$7,"YES","NO")</f>
        <v>NO</v>
      </c>
    </row>
    <row r="194" spans="1:8">
      <c r="A194" s="8">
        <v>184</v>
      </c>
      <c r="B194" s="9">
        <f>D193</f>
        <v>214.453125</v>
      </c>
      <c r="C194" s="9">
        <f>$B$6</f>
        <v>1.171875</v>
      </c>
      <c r="D194" s="9">
        <f>B194+C194</f>
        <v>215.625</v>
      </c>
      <c r="E194" s="8">
        <f>MIN($B$7,ROUND(D194/$B$6,0))</f>
        <v>184</v>
      </c>
      <c r="F194" s="8" t="str">
        <f>DEC2BIN(INT(E194/64),5)&amp;DEC2BIN(MOD(E194,64),6)</f>
        <v>00010111000</v>
      </c>
      <c r="G194" s="8" t="str">
        <f>DEC2HEX(E194,3)</f>
        <v>0B8</v>
      </c>
      <c r="H194" s="8" t="str">
        <f>IF(ROUND(D194/$B$6,0)&gt;$B$7,"YES","NO")</f>
        <v>NO</v>
      </c>
    </row>
    <row r="195" spans="1:8">
      <c r="A195" s="10">
        <v>185</v>
      </c>
      <c r="B195" s="11">
        <f>D194</f>
        <v>215.625</v>
      </c>
      <c r="C195" s="11">
        <f>$B$6</f>
        <v>1.171875</v>
      </c>
      <c r="D195" s="11">
        <f>B195+C195</f>
        <v>216.796875</v>
      </c>
      <c r="E195" s="10">
        <f>MIN($B$7,ROUND(D195/$B$6,0))</f>
        <v>185</v>
      </c>
      <c r="F195" s="10" t="str">
        <f>DEC2BIN(INT(E195/64),5)&amp;DEC2BIN(MOD(E195,64),6)</f>
        <v>00010111001</v>
      </c>
      <c r="G195" s="10" t="str">
        <f>DEC2HEX(E195,3)</f>
        <v>0B9</v>
      </c>
      <c r="H195" s="10" t="str">
        <f>IF(ROUND(D195/$B$6,0)&gt;$B$7,"YES","NO")</f>
        <v>NO</v>
      </c>
    </row>
    <row r="196" spans="1:8">
      <c r="A196" s="8">
        <v>186</v>
      </c>
      <c r="B196" s="9">
        <f>D195</f>
        <v>216.796875</v>
      </c>
      <c r="C196" s="9">
        <f>$B$6</f>
        <v>1.171875</v>
      </c>
      <c r="D196" s="9">
        <f>B196+C196</f>
        <v>217.96875</v>
      </c>
      <c r="E196" s="8">
        <f>MIN($B$7,ROUND(D196/$B$6,0))</f>
        <v>186</v>
      </c>
      <c r="F196" s="8" t="str">
        <f>DEC2BIN(INT(E196/64),5)&amp;DEC2BIN(MOD(E196,64),6)</f>
        <v>00010111010</v>
      </c>
      <c r="G196" s="8" t="str">
        <f>DEC2HEX(E196,3)</f>
        <v>0BA</v>
      </c>
      <c r="H196" s="8" t="str">
        <f>IF(ROUND(D196/$B$6,0)&gt;$B$7,"YES","NO")</f>
        <v>NO</v>
      </c>
    </row>
    <row r="197" spans="1:8">
      <c r="A197" s="10">
        <v>187</v>
      </c>
      <c r="B197" s="11">
        <f>D196</f>
        <v>217.96875</v>
      </c>
      <c r="C197" s="11">
        <f>$B$6</f>
        <v>1.171875</v>
      </c>
      <c r="D197" s="11">
        <f>B197+C197</f>
        <v>219.140625</v>
      </c>
      <c r="E197" s="10">
        <f>MIN($B$7,ROUND(D197/$B$6,0))</f>
        <v>187</v>
      </c>
      <c r="F197" s="10" t="str">
        <f>DEC2BIN(INT(E197/64),5)&amp;DEC2BIN(MOD(E197,64),6)</f>
        <v>00010111011</v>
      </c>
      <c r="G197" s="10" t="str">
        <f>DEC2HEX(E197,3)</f>
        <v>0BB</v>
      </c>
      <c r="H197" s="10" t="str">
        <f>IF(ROUND(D197/$B$6,0)&gt;$B$7,"YES","NO")</f>
        <v>NO</v>
      </c>
    </row>
    <row r="198" spans="1:8">
      <c r="A198" s="8">
        <v>188</v>
      </c>
      <c r="B198" s="9">
        <f>D197</f>
        <v>219.140625</v>
      </c>
      <c r="C198" s="9">
        <f>$B$6</f>
        <v>1.171875</v>
      </c>
      <c r="D198" s="9">
        <f>B198+C198</f>
        <v>220.3125</v>
      </c>
      <c r="E198" s="8">
        <f>MIN($B$7,ROUND(D198/$B$6,0))</f>
        <v>188</v>
      </c>
      <c r="F198" s="8" t="str">
        <f>DEC2BIN(INT(E198/64),5)&amp;DEC2BIN(MOD(E198,64),6)</f>
        <v>00010111100</v>
      </c>
      <c r="G198" s="8" t="str">
        <f>DEC2HEX(E198,3)</f>
        <v>0BC</v>
      </c>
      <c r="H198" s="8" t="str">
        <f>IF(ROUND(D198/$B$6,0)&gt;$B$7,"YES","NO")</f>
        <v>NO</v>
      </c>
    </row>
    <row r="199" spans="1:8">
      <c r="A199" s="10">
        <v>189</v>
      </c>
      <c r="B199" s="11">
        <f>D198</f>
        <v>220.3125</v>
      </c>
      <c r="C199" s="11">
        <f>$B$6</f>
        <v>1.171875</v>
      </c>
      <c r="D199" s="11">
        <f>B199+C199</f>
        <v>221.484375</v>
      </c>
      <c r="E199" s="10">
        <f>MIN($B$7,ROUND(D199/$B$6,0))</f>
        <v>189</v>
      </c>
      <c r="F199" s="10" t="str">
        <f>DEC2BIN(INT(E199/64),5)&amp;DEC2BIN(MOD(E199,64),6)</f>
        <v>00010111101</v>
      </c>
      <c r="G199" s="10" t="str">
        <f>DEC2HEX(E199,3)</f>
        <v>0BD</v>
      </c>
      <c r="H199" s="10" t="str">
        <f>IF(ROUND(D199/$B$6,0)&gt;$B$7,"YES","NO")</f>
        <v>NO</v>
      </c>
    </row>
    <row r="200" spans="1:8">
      <c r="A200" s="8">
        <v>190</v>
      </c>
      <c r="B200" s="9">
        <f>D199</f>
        <v>221.484375</v>
      </c>
      <c r="C200" s="9">
        <f>$B$6</f>
        <v>1.171875</v>
      </c>
      <c r="D200" s="9">
        <f>B200+C200</f>
        <v>222.65625</v>
      </c>
      <c r="E200" s="8">
        <f>MIN($B$7,ROUND(D200/$B$6,0))</f>
        <v>190</v>
      </c>
      <c r="F200" s="8" t="str">
        <f>DEC2BIN(INT(E200/64),5)&amp;DEC2BIN(MOD(E200,64),6)</f>
        <v>00010111110</v>
      </c>
      <c r="G200" s="8" t="str">
        <f>DEC2HEX(E200,3)</f>
        <v>0BE</v>
      </c>
      <c r="H200" s="8" t="str">
        <f>IF(ROUND(D200/$B$6,0)&gt;$B$7,"YES","NO")</f>
        <v>NO</v>
      </c>
    </row>
    <row r="201" spans="1:8">
      <c r="A201" s="10">
        <v>191</v>
      </c>
      <c r="B201" s="11">
        <f>D200</f>
        <v>222.65625</v>
      </c>
      <c r="C201" s="11">
        <f>$B$6</f>
        <v>1.171875</v>
      </c>
      <c r="D201" s="11">
        <f>B201+C201</f>
        <v>223.828125</v>
      </c>
      <c r="E201" s="10">
        <f>MIN($B$7,ROUND(D201/$B$6,0))</f>
        <v>191</v>
      </c>
      <c r="F201" s="10" t="str">
        <f>DEC2BIN(INT(E201/64),5)&amp;DEC2BIN(MOD(E201,64),6)</f>
        <v>00010111111</v>
      </c>
      <c r="G201" s="10" t="str">
        <f>DEC2HEX(E201,3)</f>
        <v>0BF</v>
      </c>
      <c r="H201" s="10" t="str">
        <f>IF(ROUND(D201/$B$6,0)&gt;$B$7,"YES","NO")</f>
        <v>NO</v>
      </c>
    </row>
    <row r="202" spans="1:8">
      <c r="A202" s="8">
        <v>192</v>
      </c>
      <c r="B202" s="9">
        <f>D201</f>
        <v>223.828125</v>
      </c>
      <c r="C202" s="9">
        <f>$B$6</f>
        <v>1.171875</v>
      </c>
      <c r="D202" s="9">
        <f>B202+C202</f>
        <v>225</v>
      </c>
      <c r="E202" s="8">
        <f>MIN($B$7,ROUND(D202/$B$6,0))</f>
        <v>192</v>
      </c>
      <c r="F202" s="8" t="str">
        <f>DEC2BIN(INT(E202/64),5)&amp;DEC2BIN(MOD(E202,64),6)</f>
        <v>00011000000</v>
      </c>
      <c r="G202" s="8" t="str">
        <f>DEC2HEX(E202,3)</f>
        <v>0C0</v>
      </c>
      <c r="H202" s="8" t="str">
        <f>IF(ROUND(D202/$B$6,0)&gt;$B$7,"YES","NO")</f>
        <v>NO</v>
      </c>
    </row>
    <row r="203" spans="1:8">
      <c r="A203" s="10">
        <v>193</v>
      </c>
      <c r="B203" s="11">
        <f>D202</f>
        <v>225</v>
      </c>
      <c r="C203" s="11">
        <f>$B$6</f>
        <v>1.171875</v>
      </c>
      <c r="D203" s="11">
        <f>B203+C203</f>
        <v>226.171875</v>
      </c>
      <c r="E203" s="10">
        <f>MIN($B$7,ROUND(D203/$B$6,0))</f>
        <v>193</v>
      </c>
      <c r="F203" s="10" t="str">
        <f>DEC2BIN(INT(E203/64),5)&amp;DEC2BIN(MOD(E203,64),6)</f>
        <v>00011000001</v>
      </c>
      <c r="G203" s="10" t="str">
        <f>DEC2HEX(E203,3)</f>
        <v>0C1</v>
      </c>
      <c r="H203" s="10" t="str">
        <f>IF(ROUND(D203/$B$6,0)&gt;$B$7,"YES","NO")</f>
        <v>NO</v>
      </c>
    </row>
    <row r="204" spans="1:8">
      <c r="A204" s="8">
        <v>194</v>
      </c>
      <c r="B204" s="9">
        <f>D203</f>
        <v>226.171875</v>
      </c>
      <c r="C204" s="9">
        <f>$B$6</f>
        <v>1.171875</v>
      </c>
      <c r="D204" s="9">
        <f>B204+C204</f>
        <v>227.34375</v>
      </c>
      <c r="E204" s="8">
        <f>MIN($B$7,ROUND(D204/$B$6,0))</f>
        <v>194</v>
      </c>
      <c r="F204" s="8" t="str">
        <f>DEC2BIN(INT(E204/64),5)&amp;DEC2BIN(MOD(E204,64),6)</f>
        <v>00011000010</v>
      </c>
      <c r="G204" s="8" t="str">
        <f>DEC2HEX(E204,3)</f>
        <v>0C2</v>
      </c>
      <c r="H204" s="8" t="str">
        <f>IF(ROUND(D204/$B$6,0)&gt;$B$7,"YES","NO")</f>
        <v>NO</v>
      </c>
    </row>
    <row r="205" spans="1:8">
      <c r="A205" s="10">
        <v>195</v>
      </c>
      <c r="B205" s="11">
        <f>D204</f>
        <v>227.34375</v>
      </c>
      <c r="C205" s="11">
        <f>$B$6</f>
        <v>1.171875</v>
      </c>
      <c r="D205" s="11">
        <f>B205+C205</f>
        <v>228.515625</v>
      </c>
      <c r="E205" s="10">
        <f>MIN($B$7,ROUND(D205/$B$6,0))</f>
        <v>195</v>
      </c>
      <c r="F205" s="10" t="str">
        <f>DEC2BIN(INT(E205/64),5)&amp;DEC2BIN(MOD(E205,64),6)</f>
        <v>00011000011</v>
      </c>
      <c r="G205" s="10" t="str">
        <f>DEC2HEX(E205,3)</f>
        <v>0C3</v>
      </c>
      <c r="H205" s="10" t="str">
        <f>IF(ROUND(D205/$B$6,0)&gt;$B$7,"YES","NO")</f>
        <v>NO</v>
      </c>
    </row>
    <row r="206" spans="1:8">
      <c r="A206" s="8">
        <v>196</v>
      </c>
      <c r="B206" s="9">
        <f>D205</f>
        <v>228.515625</v>
      </c>
      <c r="C206" s="9">
        <f>$B$6</f>
        <v>1.171875</v>
      </c>
      <c r="D206" s="9">
        <f>B206+C206</f>
        <v>229.6875</v>
      </c>
      <c r="E206" s="8">
        <f>MIN($B$7,ROUND(D206/$B$6,0))</f>
        <v>196</v>
      </c>
      <c r="F206" s="8" t="str">
        <f>DEC2BIN(INT(E206/64),5)&amp;DEC2BIN(MOD(E206,64),6)</f>
        <v>00011000100</v>
      </c>
      <c r="G206" s="8" t="str">
        <f>DEC2HEX(E206,3)</f>
        <v>0C4</v>
      </c>
      <c r="H206" s="8" t="str">
        <f>IF(ROUND(D206/$B$6,0)&gt;$B$7,"YES","NO")</f>
        <v>NO</v>
      </c>
    </row>
    <row r="207" spans="1:8">
      <c r="A207" s="10">
        <v>197</v>
      </c>
      <c r="B207" s="11">
        <f>D206</f>
        <v>229.6875</v>
      </c>
      <c r="C207" s="11">
        <f>$B$6</f>
        <v>1.171875</v>
      </c>
      <c r="D207" s="11">
        <f>B207+C207</f>
        <v>230.859375</v>
      </c>
      <c r="E207" s="10">
        <f>MIN($B$7,ROUND(D207/$B$6,0))</f>
        <v>197</v>
      </c>
      <c r="F207" s="10" t="str">
        <f>DEC2BIN(INT(E207/64),5)&amp;DEC2BIN(MOD(E207,64),6)</f>
        <v>00011000101</v>
      </c>
      <c r="G207" s="10" t="str">
        <f>DEC2HEX(E207,3)</f>
        <v>0C5</v>
      </c>
      <c r="H207" s="10" t="str">
        <f>IF(ROUND(D207/$B$6,0)&gt;$B$7,"YES","NO")</f>
        <v>NO</v>
      </c>
    </row>
    <row r="208" spans="1:8">
      <c r="A208" s="8">
        <v>198</v>
      </c>
      <c r="B208" s="9">
        <f>D207</f>
        <v>230.859375</v>
      </c>
      <c r="C208" s="9">
        <f>$B$6</f>
        <v>1.171875</v>
      </c>
      <c r="D208" s="9">
        <f>B208+C208</f>
        <v>232.03125</v>
      </c>
      <c r="E208" s="8">
        <f>MIN($B$7,ROUND(D208/$B$6,0))</f>
        <v>198</v>
      </c>
      <c r="F208" s="8" t="str">
        <f>DEC2BIN(INT(E208/64),5)&amp;DEC2BIN(MOD(E208,64),6)</f>
        <v>00011000110</v>
      </c>
      <c r="G208" s="8" t="str">
        <f>DEC2HEX(E208,3)</f>
        <v>0C6</v>
      </c>
      <c r="H208" s="8" t="str">
        <f>IF(ROUND(D208/$B$6,0)&gt;$B$7,"YES","NO")</f>
        <v>NO</v>
      </c>
    </row>
    <row r="209" spans="1:8">
      <c r="A209" s="10">
        <v>199</v>
      </c>
      <c r="B209" s="11">
        <f>D208</f>
        <v>232.03125</v>
      </c>
      <c r="C209" s="11">
        <f>$B$6</f>
        <v>1.171875</v>
      </c>
      <c r="D209" s="11">
        <f>B209+C209</f>
        <v>233.203125</v>
      </c>
      <c r="E209" s="10">
        <f>MIN($B$7,ROUND(D209/$B$6,0))</f>
        <v>199</v>
      </c>
      <c r="F209" s="10" t="str">
        <f>DEC2BIN(INT(E209/64),5)&amp;DEC2BIN(MOD(E209,64),6)</f>
        <v>00011000111</v>
      </c>
      <c r="G209" s="10" t="str">
        <f>DEC2HEX(E209,3)</f>
        <v>0C7</v>
      </c>
      <c r="H209" s="10" t="str">
        <f>IF(ROUND(D209/$B$6,0)&gt;$B$7,"YES","NO")</f>
        <v>NO</v>
      </c>
    </row>
    <row r="210" spans="1:8">
      <c r="A210" s="8">
        <v>200</v>
      </c>
      <c r="B210" s="9">
        <f>D209</f>
        <v>233.203125</v>
      </c>
      <c r="C210" s="9">
        <f>$B$6</f>
        <v>1.171875</v>
      </c>
      <c r="D210" s="9">
        <f>B210+C210</f>
        <v>234.375</v>
      </c>
      <c r="E210" s="8">
        <f>MIN($B$7,ROUND(D210/$B$6,0))</f>
        <v>200</v>
      </c>
      <c r="F210" s="8" t="str">
        <f>DEC2BIN(INT(E210/64),5)&amp;DEC2BIN(MOD(E210,64),6)</f>
        <v>00011001000</v>
      </c>
      <c r="G210" s="8" t="str">
        <f>DEC2HEX(E210,3)</f>
        <v>0C8</v>
      </c>
      <c r="H210" s="8" t="str">
        <f>IF(ROUND(D210/$B$6,0)&gt;$B$7,"YES","NO")</f>
        <v>NO</v>
      </c>
    </row>
    <row r="211" spans="1:8">
      <c r="A211" s="10">
        <v>201</v>
      </c>
      <c r="B211" s="11">
        <f>D210</f>
        <v>234.375</v>
      </c>
      <c r="C211" s="11">
        <f>$B$6</f>
        <v>1.171875</v>
      </c>
      <c r="D211" s="11">
        <f>B211+C211</f>
        <v>235.546875</v>
      </c>
      <c r="E211" s="10">
        <f>MIN($B$7,ROUND(D211/$B$6,0))</f>
        <v>201</v>
      </c>
      <c r="F211" s="10" t="str">
        <f>DEC2BIN(INT(E211/64),5)&amp;DEC2BIN(MOD(E211,64),6)</f>
        <v>00011001001</v>
      </c>
      <c r="G211" s="10" t="str">
        <f>DEC2HEX(E211,3)</f>
        <v>0C9</v>
      </c>
      <c r="H211" s="10" t="str">
        <f>IF(ROUND(D211/$B$6,0)&gt;$B$7,"YES","NO")</f>
        <v>NO</v>
      </c>
    </row>
    <row r="212" spans="1:8">
      <c r="A212" s="8">
        <v>202</v>
      </c>
      <c r="B212" s="9">
        <f>D211</f>
        <v>235.546875</v>
      </c>
      <c r="C212" s="9">
        <f>$B$6</f>
        <v>1.171875</v>
      </c>
      <c r="D212" s="9">
        <f>B212+C212</f>
        <v>236.71875</v>
      </c>
      <c r="E212" s="8">
        <f>MIN($B$7,ROUND(D212/$B$6,0))</f>
        <v>202</v>
      </c>
      <c r="F212" s="8" t="str">
        <f>DEC2BIN(INT(E212/64),5)&amp;DEC2BIN(MOD(E212,64),6)</f>
        <v>00011001010</v>
      </c>
      <c r="G212" s="8" t="str">
        <f>DEC2HEX(E212,3)</f>
        <v>0CA</v>
      </c>
      <c r="H212" s="8" t="str">
        <f>IF(ROUND(D212/$B$6,0)&gt;$B$7,"YES","NO")</f>
        <v>NO</v>
      </c>
    </row>
    <row r="213" spans="1:8">
      <c r="A213" s="10">
        <v>203</v>
      </c>
      <c r="B213" s="11">
        <f>D212</f>
        <v>236.71875</v>
      </c>
      <c r="C213" s="11">
        <f>$B$6</f>
        <v>1.171875</v>
      </c>
      <c r="D213" s="11">
        <f>B213+C213</f>
        <v>237.890625</v>
      </c>
      <c r="E213" s="10">
        <f>MIN($B$7,ROUND(D213/$B$6,0))</f>
        <v>203</v>
      </c>
      <c r="F213" s="10" t="str">
        <f>DEC2BIN(INT(E213/64),5)&amp;DEC2BIN(MOD(E213,64),6)</f>
        <v>00011001011</v>
      </c>
      <c r="G213" s="10" t="str">
        <f>DEC2HEX(E213,3)</f>
        <v>0CB</v>
      </c>
      <c r="H213" s="10" t="str">
        <f>IF(ROUND(D213/$B$6,0)&gt;$B$7,"YES","NO")</f>
        <v>NO</v>
      </c>
    </row>
    <row r="214" spans="1:8">
      <c r="A214" s="8">
        <v>204</v>
      </c>
      <c r="B214" s="9">
        <f>D213</f>
        <v>237.890625</v>
      </c>
      <c r="C214" s="9">
        <f>$B$6</f>
        <v>1.171875</v>
      </c>
      <c r="D214" s="9">
        <f>B214+C214</f>
        <v>239.0625</v>
      </c>
      <c r="E214" s="8">
        <f>MIN($B$7,ROUND(D214/$B$6,0))</f>
        <v>204</v>
      </c>
      <c r="F214" s="8" t="str">
        <f>DEC2BIN(INT(E214/64),5)&amp;DEC2BIN(MOD(E214,64),6)</f>
        <v>00011001100</v>
      </c>
      <c r="G214" s="8" t="str">
        <f>DEC2HEX(E214,3)</f>
        <v>0CC</v>
      </c>
      <c r="H214" s="8" t="str">
        <f>IF(ROUND(D214/$B$6,0)&gt;$B$7,"YES","NO")</f>
        <v>NO</v>
      </c>
    </row>
    <row r="215" spans="1:8">
      <c r="A215" s="10">
        <v>205</v>
      </c>
      <c r="B215" s="11">
        <f>D214</f>
        <v>239.0625</v>
      </c>
      <c r="C215" s="11">
        <f>$B$6</f>
        <v>1.171875</v>
      </c>
      <c r="D215" s="11">
        <f>B215+C215</f>
        <v>240.234375</v>
      </c>
      <c r="E215" s="10">
        <f>MIN($B$7,ROUND(D215/$B$6,0))</f>
        <v>205</v>
      </c>
      <c r="F215" s="10" t="str">
        <f>DEC2BIN(INT(E215/64),5)&amp;DEC2BIN(MOD(E215,64),6)</f>
        <v>00011001101</v>
      </c>
      <c r="G215" s="10" t="str">
        <f>DEC2HEX(E215,3)</f>
        <v>0CD</v>
      </c>
      <c r="H215" s="10" t="str">
        <f>IF(ROUND(D215/$B$6,0)&gt;$B$7,"YES","NO")</f>
        <v>NO</v>
      </c>
    </row>
    <row r="216" spans="1:8">
      <c r="A216" s="8">
        <v>206</v>
      </c>
      <c r="B216" s="9">
        <f>D215</f>
        <v>240.234375</v>
      </c>
      <c r="C216" s="9">
        <f>$B$6</f>
        <v>1.171875</v>
      </c>
      <c r="D216" s="9">
        <f>B216+C216</f>
        <v>241.40625</v>
      </c>
      <c r="E216" s="8">
        <f>MIN($B$7,ROUND(D216/$B$6,0))</f>
        <v>206</v>
      </c>
      <c r="F216" s="8" t="str">
        <f>DEC2BIN(INT(E216/64),5)&amp;DEC2BIN(MOD(E216,64),6)</f>
        <v>00011001110</v>
      </c>
      <c r="G216" s="8" t="str">
        <f>DEC2HEX(E216,3)</f>
        <v>0CE</v>
      </c>
      <c r="H216" s="8" t="str">
        <f>IF(ROUND(D216/$B$6,0)&gt;$B$7,"YES","NO")</f>
        <v>NO</v>
      </c>
    </row>
    <row r="217" spans="1:8">
      <c r="A217" s="10">
        <v>207</v>
      </c>
      <c r="B217" s="11">
        <f>D216</f>
        <v>241.40625</v>
      </c>
      <c r="C217" s="11">
        <f>$B$6</f>
        <v>1.171875</v>
      </c>
      <c r="D217" s="11">
        <f>B217+C217</f>
        <v>242.578125</v>
      </c>
      <c r="E217" s="10">
        <f>MIN($B$7,ROUND(D217/$B$6,0))</f>
        <v>207</v>
      </c>
      <c r="F217" s="10" t="str">
        <f>DEC2BIN(INT(E217/64),5)&amp;DEC2BIN(MOD(E217,64),6)</f>
        <v>00011001111</v>
      </c>
      <c r="G217" s="10" t="str">
        <f>DEC2HEX(E217,3)</f>
        <v>0CF</v>
      </c>
      <c r="H217" s="10" t="str">
        <f>IF(ROUND(D217/$B$6,0)&gt;$B$7,"YES","NO")</f>
        <v>NO</v>
      </c>
    </row>
    <row r="218" spans="1:8">
      <c r="A218" s="8">
        <v>208</v>
      </c>
      <c r="B218" s="9">
        <f>D217</f>
        <v>242.578125</v>
      </c>
      <c r="C218" s="9">
        <f>$B$6</f>
        <v>1.171875</v>
      </c>
      <c r="D218" s="9">
        <f>B218+C218</f>
        <v>243.75</v>
      </c>
      <c r="E218" s="8">
        <f>MIN($B$7,ROUND(D218/$B$6,0))</f>
        <v>208</v>
      </c>
      <c r="F218" s="8" t="str">
        <f>DEC2BIN(INT(E218/64),5)&amp;DEC2BIN(MOD(E218,64),6)</f>
        <v>00011010000</v>
      </c>
      <c r="G218" s="8" t="str">
        <f>DEC2HEX(E218,3)</f>
        <v>0D0</v>
      </c>
      <c r="H218" s="8" t="str">
        <f>IF(ROUND(D218/$B$6,0)&gt;$B$7,"YES","NO")</f>
        <v>NO</v>
      </c>
    </row>
    <row r="219" spans="1:8">
      <c r="A219" s="10">
        <v>209</v>
      </c>
      <c r="B219" s="11">
        <f>D218</f>
        <v>243.75</v>
      </c>
      <c r="C219" s="11">
        <f>$B$6</f>
        <v>1.171875</v>
      </c>
      <c r="D219" s="11">
        <f>B219+C219</f>
        <v>244.921875</v>
      </c>
      <c r="E219" s="10">
        <f>MIN($B$7,ROUND(D219/$B$6,0))</f>
        <v>209</v>
      </c>
      <c r="F219" s="10" t="str">
        <f>DEC2BIN(INT(E219/64),5)&amp;DEC2BIN(MOD(E219,64),6)</f>
        <v>00011010001</v>
      </c>
      <c r="G219" s="10" t="str">
        <f>DEC2HEX(E219,3)</f>
        <v>0D1</v>
      </c>
      <c r="H219" s="10" t="str">
        <f>IF(ROUND(D219/$B$6,0)&gt;$B$7,"YES","NO")</f>
        <v>NO</v>
      </c>
    </row>
    <row r="220" spans="1:8">
      <c r="A220" s="8">
        <v>210</v>
      </c>
      <c r="B220" s="9">
        <f>D219</f>
        <v>244.921875</v>
      </c>
      <c r="C220" s="9">
        <f>$B$6</f>
        <v>1.171875</v>
      </c>
      <c r="D220" s="9">
        <f>B220+C220</f>
        <v>246.09375</v>
      </c>
      <c r="E220" s="8">
        <f>MIN($B$7,ROUND(D220/$B$6,0))</f>
        <v>210</v>
      </c>
      <c r="F220" s="8" t="str">
        <f>DEC2BIN(INT(E220/64),5)&amp;DEC2BIN(MOD(E220,64),6)</f>
        <v>00011010010</v>
      </c>
      <c r="G220" s="8" t="str">
        <f>DEC2HEX(E220,3)</f>
        <v>0D2</v>
      </c>
      <c r="H220" s="8" t="str">
        <f>IF(ROUND(D220/$B$6,0)&gt;$B$7,"YES","NO")</f>
        <v>NO</v>
      </c>
    </row>
    <row r="221" spans="1:8">
      <c r="A221" s="10">
        <v>211</v>
      </c>
      <c r="B221" s="11">
        <f>D220</f>
        <v>246.09375</v>
      </c>
      <c r="C221" s="11">
        <f>$B$6</f>
        <v>1.171875</v>
      </c>
      <c r="D221" s="11">
        <f>B221+C221</f>
        <v>247.265625</v>
      </c>
      <c r="E221" s="10">
        <f>MIN($B$7,ROUND(D221/$B$6,0))</f>
        <v>211</v>
      </c>
      <c r="F221" s="10" t="str">
        <f>DEC2BIN(INT(E221/64),5)&amp;DEC2BIN(MOD(E221,64),6)</f>
        <v>00011010011</v>
      </c>
      <c r="G221" s="10" t="str">
        <f>DEC2HEX(E221,3)</f>
        <v>0D3</v>
      </c>
      <c r="H221" s="10" t="str">
        <f>IF(ROUND(D221/$B$6,0)&gt;$B$7,"YES","NO")</f>
        <v>NO</v>
      </c>
    </row>
    <row r="222" spans="1:8">
      <c r="A222" s="8">
        <v>212</v>
      </c>
      <c r="B222" s="9">
        <f>D221</f>
        <v>247.265625</v>
      </c>
      <c r="C222" s="9">
        <f>$B$6</f>
        <v>1.171875</v>
      </c>
      <c r="D222" s="9">
        <f>B222+C222</f>
        <v>248.4375</v>
      </c>
      <c r="E222" s="8">
        <f>MIN($B$7,ROUND(D222/$B$6,0))</f>
        <v>212</v>
      </c>
      <c r="F222" s="8" t="str">
        <f>DEC2BIN(INT(E222/64),5)&amp;DEC2BIN(MOD(E222,64),6)</f>
        <v>00011010100</v>
      </c>
      <c r="G222" s="8" t="str">
        <f>DEC2HEX(E222,3)</f>
        <v>0D4</v>
      </c>
      <c r="H222" s="8" t="str">
        <f>IF(ROUND(D222/$B$6,0)&gt;$B$7,"YES","NO")</f>
        <v>NO</v>
      </c>
    </row>
    <row r="223" spans="1:8">
      <c r="A223" s="10">
        <v>213</v>
      </c>
      <c r="B223" s="11">
        <f>D222</f>
        <v>248.4375</v>
      </c>
      <c r="C223" s="11">
        <f>$B$6</f>
        <v>1.171875</v>
      </c>
      <c r="D223" s="11">
        <f>B223+C223</f>
        <v>249.609375</v>
      </c>
      <c r="E223" s="10">
        <f>MIN($B$7,ROUND(D223/$B$6,0))</f>
        <v>213</v>
      </c>
      <c r="F223" s="10" t="str">
        <f>DEC2BIN(INT(E223/64),5)&amp;DEC2BIN(MOD(E223,64),6)</f>
        <v>00011010101</v>
      </c>
      <c r="G223" s="10" t="str">
        <f>DEC2HEX(E223,3)</f>
        <v>0D5</v>
      </c>
      <c r="H223" s="10" t="str">
        <f>IF(ROUND(D223/$B$6,0)&gt;$B$7,"YES","NO")</f>
        <v>NO</v>
      </c>
    </row>
    <row r="224" spans="1:8">
      <c r="A224" s="8">
        <v>214</v>
      </c>
      <c r="B224" s="9">
        <f>D223</f>
        <v>249.609375</v>
      </c>
      <c r="C224" s="9">
        <f>$B$6</f>
        <v>1.171875</v>
      </c>
      <c r="D224" s="9">
        <f>B224+C224</f>
        <v>250.78125</v>
      </c>
      <c r="E224" s="8">
        <f>MIN($B$7,ROUND(D224/$B$6,0))</f>
        <v>214</v>
      </c>
      <c r="F224" s="8" t="str">
        <f>DEC2BIN(INT(E224/64),5)&amp;DEC2BIN(MOD(E224,64),6)</f>
        <v>00011010110</v>
      </c>
      <c r="G224" s="8" t="str">
        <f>DEC2HEX(E224,3)</f>
        <v>0D6</v>
      </c>
      <c r="H224" s="8" t="str">
        <f>IF(ROUND(D224/$B$6,0)&gt;$B$7,"YES","NO")</f>
        <v>NO</v>
      </c>
    </row>
    <row r="225" spans="1:8">
      <c r="A225" s="10">
        <v>215</v>
      </c>
      <c r="B225" s="11">
        <f>D224</f>
        <v>250.78125</v>
      </c>
      <c r="C225" s="11">
        <f>$B$6</f>
        <v>1.171875</v>
      </c>
      <c r="D225" s="11">
        <f>B225+C225</f>
        <v>251.953125</v>
      </c>
      <c r="E225" s="10">
        <f>MIN($B$7,ROUND(D225/$B$6,0))</f>
        <v>215</v>
      </c>
      <c r="F225" s="10" t="str">
        <f>DEC2BIN(INT(E225/64),5)&amp;DEC2BIN(MOD(E225,64),6)</f>
        <v>00011010111</v>
      </c>
      <c r="G225" s="10" t="str">
        <f>DEC2HEX(E225,3)</f>
        <v>0D7</v>
      </c>
      <c r="H225" s="10" t="str">
        <f>IF(ROUND(D225/$B$6,0)&gt;$B$7,"YES","NO")</f>
        <v>NO</v>
      </c>
    </row>
    <row r="226" spans="1:8">
      <c r="A226" s="8">
        <v>216</v>
      </c>
      <c r="B226" s="9">
        <f>D225</f>
        <v>251.953125</v>
      </c>
      <c r="C226" s="9">
        <f>$B$6</f>
        <v>1.171875</v>
      </c>
      <c r="D226" s="9">
        <f>B226+C226</f>
        <v>253.125</v>
      </c>
      <c r="E226" s="8">
        <f>MIN($B$7,ROUND(D226/$B$6,0))</f>
        <v>216</v>
      </c>
      <c r="F226" s="8" t="str">
        <f>DEC2BIN(INT(E226/64),5)&amp;DEC2BIN(MOD(E226,64),6)</f>
        <v>00011011000</v>
      </c>
      <c r="G226" s="8" t="str">
        <f>DEC2HEX(E226,3)</f>
        <v>0D8</v>
      </c>
      <c r="H226" s="8" t="str">
        <f>IF(ROUND(D226/$B$6,0)&gt;$B$7,"YES","NO")</f>
        <v>NO</v>
      </c>
    </row>
    <row r="227" spans="1:8">
      <c r="A227" s="10">
        <v>217</v>
      </c>
      <c r="B227" s="11">
        <f>D226</f>
        <v>253.125</v>
      </c>
      <c r="C227" s="11">
        <f>$B$6</f>
        <v>1.171875</v>
      </c>
      <c r="D227" s="11">
        <f>B227+C227</f>
        <v>254.296875</v>
      </c>
      <c r="E227" s="10">
        <f>MIN($B$7,ROUND(D227/$B$6,0))</f>
        <v>217</v>
      </c>
      <c r="F227" s="10" t="str">
        <f>DEC2BIN(INT(E227/64),5)&amp;DEC2BIN(MOD(E227,64),6)</f>
        <v>00011011001</v>
      </c>
      <c r="G227" s="10" t="str">
        <f>DEC2HEX(E227,3)</f>
        <v>0D9</v>
      </c>
      <c r="H227" s="10" t="str">
        <f>IF(ROUND(D227/$B$6,0)&gt;$B$7,"YES","NO")</f>
        <v>NO</v>
      </c>
    </row>
    <row r="228" spans="1:8">
      <c r="A228" s="8">
        <v>218</v>
      </c>
      <c r="B228" s="9">
        <f>D227</f>
        <v>254.296875</v>
      </c>
      <c r="C228" s="9">
        <f>$B$6</f>
        <v>1.171875</v>
      </c>
      <c r="D228" s="9">
        <f>B228+C228</f>
        <v>255.46875</v>
      </c>
      <c r="E228" s="8">
        <f>MIN($B$7,ROUND(D228/$B$6,0))</f>
        <v>218</v>
      </c>
      <c r="F228" s="8" t="str">
        <f>DEC2BIN(INT(E228/64),5)&amp;DEC2BIN(MOD(E228,64),6)</f>
        <v>00011011010</v>
      </c>
      <c r="G228" s="8" t="str">
        <f>DEC2HEX(E228,3)</f>
        <v>0DA</v>
      </c>
      <c r="H228" s="8" t="str">
        <f>IF(ROUND(D228/$B$6,0)&gt;$B$7,"YES","NO")</f>
        <v>NO</v>
      </c>
    </row>
    <row r="229" spans="1:8">
      <c r="A229" s="10">
        <v>219</v>
      </c>
      <c r="B229" s="11">
        <f>D228</f>
        <v>255.46875</v>
      </c>
      <c r="C229" s="11">
        <f>$B$6</f>
        <v>1.171875</v>
      </c>
      <c r="D229" s="11">
        <f>B229+C229</f>
        <v>256.640625</v>
      </c>
      <c r="E229" s="10">
        <f>MIN($B$7,ROUND(D229/$B$6,0))</f>
        <v>219</v>
      </c>
      <c r="F229" s="10" t="str">
        <f>DEC2BIN(INT(E229/64),5)&amp;DEC2BIN(MOD(E229,64),6)</f>
        <v>00011011011</v>
      </c>
      <c r="G229" s="10" t="str">
        <f>DEC2HEX(E229,3)</f>
        <v>0DB</v>
      </c>
      <c r="H229" s="10" t="str">
        <f>IF(ROUND(D229/$B$6,0)&gt;$B$7,"YES","NO")</f>
        <v>NO</v>
      </c>
    </row>
    <row r="230" spans="1:8">
      <c r="A230" s="8">
        <v>220</v>
      </c>
      <c r="B230" s="9">
        <f>D229</f>
        <v>256.640625</v>
      </c>
      <c r="C230" s="9">
        <f>$B$6</f>
        <v>1.171875</v>
      </c>
      <c r="D230" s="9">
        <f>B230+C230</f>
        <v>257.8125</v>
      </c>
      <c r="E230" s="8">
        <f>MIN($B$7,ROUND(D230/$B$6,0))</f>
        <v>220</v>
      </c>
      <c r="F230" s="8" t="str">
        <f>DEC2BIN(INT(E230/64),5)&amp;DEC2BIN(MOD(E230,64),6)</f>
        <v>00011011100</v>
      </c>
      <c r="G230" s="8" t="str">
        <f>DEC2HEX(E230,3)</f>
        <v>0DC</v>
      </c>
      <c r="H230" s="8" t="str">
        <f>IF(ROUND(D230/$B$6,0)&gt;$B$7,"YES","NO")</f>
        <v>NO</v>
      </c>
    </row>
    <row r="231" spans="1:8">
      <c r="A231" s="10">
        <v>221</v>
      </c>
      <c r="B231" s="11">
        <f>D230</f>
        <v>257.8125</v>
      </c>
      <c r="C231" s="11">
        <f>$B$6</f>
        <v>1.171875</v>
      </c>
      <c r="D231" s="11">
        <f>B231+C231</f>
        <v>258.984375</v>
      </c>
      <c r="E231" s="10">
        <f>MIN($B$7,ROUND(D231/$B$6,0))</f>
        <v>221</v>
      </c>
      <c r="F231" s="10" t="str">
        <f>DEC2BIN(INT(E231/64),5)&amp;DEC2BIN(MOD(E231,64),6)</f>
        <v>00011011101</v>
      </c>
      <c r="G231" s="10" t="str">
        <f>DEC2HEX(E231,3)</f>
        <v>0DD</v>
      </c>
      <c r="H231" s="10" t="str">
        <f>IF(ROUND(D231/$B$6,0)&gt;$B$7,"YES","NO")</f>
        <v>NO</v>
      </c>
    </row>
    <row r="232" spans="1:8">
      <c r="A232" s="8">
        <v>222</v>
      </c>
      <c r="B232" s="9">
        <f>D231</f>
        <v>258.984375</v>
      </c>
      <c r="C232" s="9">
        <f>$B$6</f>
        <v>1.171875</v>
      </c>
      <c r="D232" s="9">
        <f>B232+C232</f>
        <v>260.15625</v>
      </c>
      <c r="E232" s="8">
        <f>MIN($B$7,ROUND(D232/$B$6,0))</f>
        <v>222</v>
      </c>
      <c r="F232" s="8" t="str">
        <f>DEC2BIN(INT(E232/64),5)&amp;DEC2BIN(MOD(E232,64),6)</f>
        <v>00011011110</v>
      </c>
      <c r="G232" s="8" t="str">
        <f>DEC2HEX(E232,3)</f>
        <v>0DE</v>
      </c>
      <c r="H232" s="8" t="str">
        <f>IF(ROUND(D232/$B$6,0)&gt;$B$7,"YES","NO")</f>
        <v>NO</v>
      </c>
    </row>
    <row r="233" spans="1:8">
      <c r="A233" s="10">
        <v>223</v>
      </c>
      <c r="B233" s="11">
        <f>D232</f>
        <v>260.15625</v>
      </c>
      <c r="C233" s="11">
        <f>$B$6</f>
        <v>1.171875</v>
      </c>
      <c r="D233" s="11">
        <f>B233+C233</f>
        <v>261.328125</v>
      </c>
      <c r="E233" s="10">
        <f>MIN($B$7,ROUND(D233/$B$6,0))</f>
        <v>223</v>
      </c>
      <c r="F233" s="10" t="str">
        <f>DEC2BIN(INT(E233/64),5)&amp;DEC2BIN(MOD(E233,64),6)</f>
        <v>00011011111</v>
      </c>
      <c r="G233" s="10" t="str">
        <f>DEC2HEX(E233,3)</f>
        <v>0DF</v>
      </c>
      <c r="H233" s="10" t="str">
        <f>IF(ROUND(D233/$B$6,0)&gt;$B$7,"YES","NO")</f>
        <v>NO</v>
      </c>
    </row>
    <row r="234" spans="1:8">
      <c r="A234" s="8">
        <v>224</v>
      </c>
      <c r="B234" s="9">
        <f>D233</f>
        <v>261.328125</v>
      </c>
      <c r="C234" s="9">
        <f>$B$6</f>
        <v>1.171875</v>
      </c>
      <c r="D234" s="9">
        <f>B234+C234</f>
        <v>262.5</v>
      </c>
      <c r="E234" s="8">
        <f>MIN($B$7,ROUND(D234/$B$6,0))</f>
        <v>224</v>
      </c>
      <c r="F234" s="8" t="str">
        <f>DEC2BIN(INT(E234/64),5)&amp;DEC2BIN(MOD(E234,64),6)</f>
        <v>00011100000</v>
      </c>
      <c r="G234" s="8" t="str">
        <f>DEC2HEX(E234,3)</f>
        <v>0E0</v>
      </c>
      <c r="H234" s="8" t="str">
        <f>IF(ROUND(D234/$B$6,0)&gt;$B$7,"YES","NO")</f>
        <v>NO</v>
      </c>
    </row>
    <row r="235" spans="1:8">
      <c r="A235" s="10">
        <v>225</v>
      </c>
      <c r="B235" s="11">
        <f>D234</f>
        <v>262.5</v>
      </c>
      <c r="C235" s="11">
        <f>$B$6</f>
        <v>1.171875</v>
      </c>
      <c r="D235" s="11">
        <f>B235+C235</f>
        <v>263.671875</v>
      </c>
      <c r="E235" s="10">
        <f>MIN($B$7,ROUND(D235/$B$6,0))</f>
        <v>225</v>
      </c>
      <c r="F235" s="10" t="str">
        <f>DEC2BIN(INT(E235/64),5)&amp;DEC2BIN(MOD(E235,64),6)</f>
        <v>00011100001</v>
      </c>
      <c r="G235" s="10" t="str">
        <f>DEC2HEX(E235,3)</f>
        <v>0E1</v>
      </c>
      <c r="H235" s="10" t="str">
        <f>IF(ROUND(D235/$B$6,0)&gt;$B$7,"YES","NO")</f>
        <v>NO</v>
      </c>
    </row>
    <row r="236" spans="1:8">
      <c r="A236" s="8">
        <v>226</v>
      </c>
      <c r="B236" s="9">
        <f>D235</f>
        <v>263.671875</v>
      </c>
      <c r="C236" s="9">
        <f>$B$6</f>
        <v>1.171875</v>
      </c>
      <c r="D236" s="9">
        <f>B236+C236</f>
        <v>264.84375</v>
      </c>
      <c r="E236" s="8">
        <f>MIN($B$7,ROUND(D236/$B$6,0))</f>
        <v>226</v>
      </c>
      <c r="F236" s="8" t="str">
        <f>DEC2BIN(INT(E236/64),5)&amp;DEC2BIN(MOD(E236,64),6)</f>
        <v>00011100010</v>
      </c>
      <c r="G236" s="8" t="str">
        <f>DEC2HEX(E236,3)</f>
        <v>0E2</v>
      </c>
      <c r="H236" s="8" t="str">
        <f>IF(ROUND(D236/$B$6,0)&gt;$B$7,"YES","NO")</f>
        <v>NO</v>
      </c>
    </row>
    <row r="237" spans="1:8">
      <c r="A237" s="10">
        <v>227</v>
      </c>
      <c r="B237" s="11">
        <f>D236</f>
        <v>264.84375</v>
      </c>
      <c r="C237" s="11">
        <f>$B$6</f>
        <v>1.171875</v>
      </c>
      <c r="D237" s="11">
        <f>B237+C237</f>
        <v>266.015625</v>
      </c>
      <c r="E237" s="10">
        <f>MIN($B$7,ROUND(D237/$B$6,0))</f>
        <v>227</v>
      </c>
      <c r="F237" s="10" t="str">
        <f>DEC2BIN(INT(E237/64),5)&amp;DEC2BIN(MOD(E237,64),6)</f>
        <v>00011100011</v>
      </c>
      <c r="G237" s="10" t="str">
        <f>DEC2HEX(E237,3)</f>
        <v>0E3</v>
      </c>
      <c r="H237" s="10" t="str">
        <f>IF(ROUND(D237/$B$6,0)&gt;$B$7,"YES","NO")</f>
        <v>NO</v>
      </c>
    </row>
    <row r="238" spans="1:8">
      <c r="A238" s="8">
        <v>228</v>
      </c>
      <c r="B238" s="9">
        <f>D237</f>
        <v>266.015625</v>
      </c>
      <c r="C238" s="9">
        <f>$B$6</f>
        <v>1.171875</v>
      </c>
      <c r="D238" s="9">
        <f>B238+C238</f>
        <v>267.1875</v>
      </c>
      <c r="E238" s="8">
        <f>MIN($B$7,ROUND(D238/$B$6,0))</f>
        <v>228</v>
      </c>
      <c r="F238" s="8" t="str">
        <f>DEC2BIN(INT(E238/64),5)&amp;DEC2BIN(MOD(E238,64),6)</f>
        <v>00011100100</v>
      </c>
      <c r="G238" s="8" t="str">
        <f>DEC2HEX(E238,3)</f>
        <v>0E4</v>
      </c>
      <c r="H238" s="8" t="str">
        <f>IF(ROUND(D238/$B$6,0)&gt;$B$7,"YES","NO")</f>
        <v>NO</v>
      </c>
    </row>
    <row r="239" spans="1:8">
      <c r="A239" s="10">
        <v>229</v>
      </c>
      <c r="B239" s="11">
        <f>D238</f>
        <v>267.1875</v>
      </c>
      <c r="C239" s="11">
        <f>$B$6</f>
        <v>1.171875</v>
      </c>
      <c r="D239" s="11">
        <f>B239+C239</f>
        <v>268.359375</v>
      </c>
      <c r="E239" s="10">
        <f>MIN($B$7,ROUND(D239/$B$6,0))</f>
        <v>229</v>
      </c>
      <c r="F239" s="10" t="str">
        <f>DEC2BIN(INT(E239/64),5)&amp;DEC2BIN(MOD(E239,64),6)</f>
        <v>00011100101</v>
      </c>
      <c r="G239" s="10" t="str">
        <f>DEC2HEX(E239,3)</f>
        <v>0E5</v>
      </c>
      <c r="H239" s="10" t="str">
        <f>IF(ROUND(D239/$B$6,0)&gt;$B$7,"YES","NO")</f>
        <v>NO</v>
      </c>
    </row>
    <row r="240" spans="1:8">
      <c r="A240" s="8">
        <v>230</v>
      </c>
      <c r="B240" s="9">
        <f>D239</f>
        <v>268.359375</v>
      </c>
      <c r="C240" s="9">
        <f>$B$6</f>
        <v>1.171875</v>
      </c>
      <c r="D240" s="9">
        <f>B240+C240</f>
        <v>269.53125</v>
      </c>
      <c r="E240" s="8">
        <f>MIN($B$7,ROUND(D240/$B$6,0))</f>
        <v>230</v>
      </c>
      <c r="F240" s="8" t="str">
        <f>DEC2BIN(INT(E240/64),5)&amp;DEC2BIN(MOD(E240,64),6)</f>
        <v>00011100110</v>
      </c>
      <c r="G240" s="8" t="str">
        <f>DEC2HEX(E240,3)</f>
        <v>0E6</v>
      </c>
      <c r="H240" s="8" t="str">
        <f>IF(ROUND(D240/$B$6,0)&gt;$B$7,"YES","NO")</f>
        <v>NO</v>
      </c>
    </row>
    <row r="241" spans="1:8">
      <c r="A241" s="10">
        <v>231</v>
      </c>
      <c r="B241" s="11">
        <f>D240</f>
        <v>269.53125</v>
      </c>
      <c r="C241" s="11">
        <f>$B$6</f>
        <v>1.171875</v>
      </c>
      <c r="D241" s="11">
        <f>B241+C241</f>
        <v>270.703125</v>
      </c>
      <c r="E241" s="10">
        <f>MIN($B$7,ROUND(D241/$B$6,0))</f>
        <v>231</v>
      </c>
      <c r="F241" s="10" t="str">
        <f>DEC2BIN(INT(E241/64),5)&amp;DEC2BIN(MOD(E241,64),6)</f>
        <v>00011100111</v>
      </c>
      <c r="G241" s="10" t="str">
        <f>DEC2HEX(E241,3)</f>
        <v>0E7</v>
      </c>
      <c r="H241" s="10" t="str">
        <f>IF(ROUND(D241/$B$6,0)&gt;$B$7,"YES","NO")</f>
        <v>NO</v>
      </c>
    </row>
    <row r="242" spans="1:8">
      <c r="A242" s="8">
        <v>232</v>
      </c>
      <c r="B242" s="9">
        <f>D241</f>
        <v>270.703125</v>
      </c>
      <c r="C242" s="9">
        <f>$B$6</f>
        <v>1.171875</v>
      </c>
      <c r="D242" s="9">
        <f>B242+C242</f>
        <v>271.875</v>
      </c>
      <c r="E242" s="8">
        <f>MIN($B$7,ROUND(D242/$B$6,0))</f>
        <v>232</v>
      </c>
      <c r="F242" s="8" t="str">
        <f>DEC2BIN(INT(E242/64),5)&amp;DEC2BIN(MOD(E242,64),6)</f>
        <v>00011101000</v>
      </c>
      <c r="G242" s="8" t="str">
        <f>DEC2HEX(E242,3)</f>
        <v>0E8</v>
      </c>
      <c r="H242" s="8" t="str">
        <f>IF(ROUND(D242/$B$6,0)&gt;$B$7,"YES","NO")</f>
        <v>NO</v>
      </c>
    </row>
    <row r="243" spans="1:8">
      <c r="A243" s="10">
        <v>233</v>
      </c>
      <c r="B243" s="11">
        <f>D242</f>
        <v>271.875</v>
      </c>
      <c r="C243" s="11">
        <f>$B$6</f>
        <v>1.171875</v>
      </c>
      <c r="D243" s="11">
        <f>B243+C243</f>
        <v>273.046875</v>
      </c>
      <c r="E243" s="10">
        <f>MIN($B$7,ROUND(D243/$B$6,0))</f>
        <v>233</v>
      </c>
      <c r="F243" s="10" t="str">
        <f>DEC2BIN(INT(E243/64),5)&amp;DEC2BIN(MOD(E243,64),6)</f>
        <v>00011101001</v>
      </c>
      <c r="G243" s="10" t="str">
        <f>DEC2HEX(E243,3)</f>
        <v>0E9</v>
      </c>
      <c r="H243" s="10" t="str">
        <f>IF(ROUND(D243/$B$6,0)&gt;$B$7,"YES","NO")</f>
        <v>NO</v>
      </c>
    </row>
    <row r="244" spans="1:8">
      <c r="A244" s="8">
        <v>234</v>
      </c>
      <c r="B244" s="9">
        <f>D243</f>
        <v>273.046875</v>
      </c>
      <c r="C244" s="9">
        <f>$B$6</f>
        <v>1.171875</v>
      </c>
      <c r="D244" s="9">
        <f>B244+C244</f>
        <v>274.21875</v>
      </c>
      <c r="E244" s="8">
        <f>MIN($B$7,ROUND(D244/$B$6,0))</f>
        <v>234</v>
      </c>
      <c r="F244" s="8" t="str">
        <f>DEC2BIN(INT(E244/64),5)&amp;DEC2BIN(MOD(E244,64),6)</f>
        <v>00011101010</v>
      </c>
      <c r="G244" s="8" t="str">
        <f>DEC2HEX(E244,3)</f>
        <v>0EA</v>
      </c>
      <c r="H244" s="8" t="str">
        <f>IF(ROUND(D244/$B$6,0)&gt;$B$7,"YES","NO")</f>
        <v>NO</v>
      </c>
    </row>
    <row r="245" spans="1:8">
      <c r="A245" s="10">
        <v>235</v>
      </c>
      <c r="B245" s="11">
        <f>D244</f>
        <v>274.21875</v>
      </c>
      <c r="C245" s="11">
        <f>$B$6</f>
        <v>1.171875</v>
      </c>
      <c r="D245" s="11">
        <f>B245+C245</f>
        <v>275.390625</v>
      </c>
      <c r="E245" s="10">
        <f>MIN($B$7,ROUND(D245/$B$6,0))</f>
        <v>235</v>
      </c>
      <c r="F245" s="10" t="str">
        <f>DEC2BIN(INT(E245/64),5)&amp;DEC2BIN(MOD(E245,64),6)</f>
        <v>00011101011</v>
      </c>
      <c r="G245" s="10" t="str">
        <f>DEC2HEX(E245,3)</f>
        <v>0EB</v>
      </c>
      <c r="H245" s="10" t="str">
        <f>IF(ROUND(D245/$B$6,0)&gt;$B$7,"YES","NO")</f>
        <v>NO</v>
      </c>
    </row>
    <row r="246" spans="1:8">
      <c r="A246" s="8">
        <v>236</v>
      </c>
      <c r="B246" s="9">
        <f>D245</f>
        <v>275.390625</v>
      </c>
      <c r="C246" s="9">
        <f>$B$6</f>
        <v>1.171875</v>
      </c>
      <c r="D246" s="9">
        <f>B246+C246</f>
        <v>276.5625</v>
      </c>
      <c r="E246" s="8">
        <f>MIN($B$7,ROUND(D246/$B$6,0))</f>
        <v>236</v>
      </c>
      <c r="F246" s="8" t="str">
        <f>DEC2BIN(INT(E246/64),5)&amp;DEC2BIN(MOD(E246,64),6)</f>
        <v>00011101100</v>
      </c>
      <c r="G246" s="8" t="str">
        <f>DEC2HEX(E246,3)</f>
        <v>0EC</v>
      </c>
      <c r="H246" s="8" t="str">
        <f>IF(ROUND(D246/$B$6,0)&gt;$B$7,"YES","NO")</f>
        <v>NO</v>
      </c>
    </row>
    <row r="247" spans="1:8">
      <c r="A247" s="10">
        <v>237</v>
      </c>
      <c r="B247" s="11">
        <f>D246</f>
        <v>276.5625</v>
      </c>
      <c r="C247" s="11">
        <f>$B$6</f>
        <v>1.171875</v>
      </c>
      <c r="D247" s="11">
        <f>B247+C247</f>
        <v>277.734375</v>
      </c>
      <c r="E247" s="10">
        <f>MIN($B$7,ROUND(D247/$B$6,0))</f>
        <v>237</v>
      </c>
      <c r="F247" s="10" t="str">
        <f>DEC2BIN(INT(E247/64),5)&amp;DEC2BIN(MOD(E247,64),6)</f>
        <v>00011101101</v>
      </c>
      <c r="G247" s="10" t="str">
        <f>DEC2HEX(E247,3)</f>
        <v>0ED</v>
      </c>
      <c r="H247" s="10" t="str">
        <f>IF(ROUND(D247/$B$6,0)&gt;$B$7,"YES","NO")</f>
        <v>NO</v>
      </c>
    </row>
    <row r="248" spans="1:8">
      <c r="A248" s="8">
        <v>238</v>
      </c>
      <c r="B248" s="9">
        <f>D247</f>
        <v>277.734375</v>
      </c>
      <c r="C248" s="9">
        <f>$B$6</f>
        <v>1.171875</v>
      </c>
      <c r="D248" s="9">
        <f>B248+C248</f>
        <v>278.90625</v>
      </c>
      <c r="E248" s="8">
        <f>MIN($B$7,ROUND(D248/$B$6,0))</f>
        <v>238</v>
      </c>
      <c r="F248" s="8" t="str">
        <f>DEC2BIN(INT(E248/64),5)&amp;DEC2BIN(MOD(E248,64),6)</f>
        <v>00011101110</v>
      </c>
      <c r="G248" s="8" t="str">
        <f>DEC2HEX(E248,3)</f>
        <v>0EE</v>
      </c>
      <c r="H248" s="8" t="str">
        <f>IF(ROUND(D248/$B$6,0)&gt;$B$7,"YES","NO")</f>
        <v>NO</v>
      </c>
    </row>
    <row r="249" spans="1:8">
      <c r="A249" s="10">
        <v>239</v>
      </c>
      <c r="B249" s="11">
        <f>D248</f>
        <v>278.90625</v>
      </c>
      <c r="C249" s="11">
        <f>$B$6</f>
        <v>1.171875</v>
      </c>
      <c r="D249" s="11">
        <f>B249+C249</f>
        <v>280.078125</v>
      </c>
      <c r="E249" s="10">
        <f>MIN($B$7,ROUND(D249/$B$6,0))</f>
        <v>239</v>
      </c>
      <c r="F249" s="10" t="str">
        <f>DEC2BIN(INT(E249/64),5)&amp;DEC2BIN(MOD(E249,64),6)</f>
        <v>00011101111</v>
      </c>
      <c r="G249" s="10" t="str">
        <f>DEC2HEX(E249,3)</f>
        <v>0EF</v>
      </c>
      <c r="H249" s="10" t="str">
        <f>IF(ROUND(D249/$B$6,0)&gt;$B$7,"YES","NO")</f>
        <v>NO</v>
      </c>
    </row>
    <row r="250" spans="1:8">
      <c r="A250" s="8">
        <v>240</v>
      </c>
      <c r="B250" s="9">
        <f>D249</f>
        <v>280.078125</v>
      </c>
      <c r="C250" s="9">
        <f>$B$6</f>
        <v>1.171875</v>
      </c>
      <c r="D250" s="9">
        <f>B250+C250</f>
        <v>281.25</v>
      </c>
      <c r="E250" s="8">
        <f>MIN($B$7,ROUND(D250/$B$6,0))</f>
        <v>240</v>
      </c>
      <c r="F250" s="8" t="str">
        <f>DEC2BIN(INT(E250/64),5)&amp;DEC2BIN(MOD(E250,64),6)</f>
        <v>00011110000</v>
      </c>
      <c r="G250" s="8" t="str">
        <f>DEC2HEX(E250,3)</f>
        <v>0F0</v>
      </c>
      <c r="H250" s="8" t="str">
        <f>IF(ROUND(D250/$B$6,0)&gt;$B$7,"YES","NO")</f>
        <v>NO</v>
      </c>
    </row>
    <row r="251" spans="1:8">
      <c r="A251" s="10">
        <v>241</v>
      </c>
      <c r="B251" s="11">
        <f>D250</f>
        <v>281.25</v>
      </c>
      <c r="C251" s="11">
        <f>$B$6</f>
        <v>1.171875</v>
      </c>
      <c r="D251" s="11">
        <f>B251+C251</f>
        <v>282.421875</v>
      </c>
      <c r="E251" s="10">
        <f>MIN($B$7,ROUND(D251/$B$6,0))</f>
        <v>241</v>
      </c>
      <c r="F251" s="10" t="str">
        <f>DEC2BIN(INT(E251/64),5)&amp;DEC2BIN(MOD(E251,64),6)</f>
        <v>00011110001</v>
      </c>
      <c r="G251" s="10" t="str">
        <f>DEC2HEX(E251,3)</f>
        <v>0F1</v>
      </c>
      <c r="H251" s="10" t="str">
        <f>IF(ROUND(D251/$B$6,0)&gt;$B$7,"YES","NO")</f>
        <v>NO</v>
      </c>
    </row>
    <row r="252" spans="1:8">
      <c r="A252" s="8">
        <v>242</v>
      </c>
      <c r="B252" s="9">
        <f>D251</f>
        <v>282.421875</v>
      </c>
      <c r="C252" s="9">
        <f>$B$6</f>
        <v>1.171875</v>
      </c>
      <c r="D252" s="9">
        <f>B252+C252</f>
        <v>283.59375</v>
      </c>
      <c r="E252" s="8">
        <f>MIN($B$7,ROUND(D252/$B$6,0))</f>
        <v>242</v>
      </c>
      <c r="F252" s="8" t="str">
        <f>DEC2BIN(INT(E252/64),5)&amp;DEC2BIN(MOD(E252,64),6)</f>
        <v>00011110010</v>
      </c>
      <c r="G252" s="8" t="str">
        <f>DEC2HEX(E252,3)</f>
        <v>0F2</v>
      </c>
      <c r="H252" s="8" t="str">
        <f>IF(ROUND(D252/$B$6,0)&gt;$B$7,"YES","NO")</f>
        <v>NO</v>
      </c>
    </row>
    <row r="253" spans="1:8">
      <c r="A253" s="10">
        <v>243</v>
      </c>
      <c r="B253" s="11">
        <f>D252</f>
        <v>283.59375</v>
      </c>
      <c r="C253" s="11">
        <f>$B$6</f>
        <v>1.171875</v>
      </c>
      <c r="D253" s="11">
        <f>B253+C253</f>
        <v>284.765625</v>
      </c>
      <c r="E253" s="10">
        <f>MIN($B$7,ROUND(D253/$B$6,0))</f>
        <v>243</v>
      </c>
      <c r="F253" s="10" t="str">
        <f>DEC2BIN(INT(E253/64),5)&amp;DEC2BIN(MOD(E253,64),6)</f>
        <v>00011110011</v>
      </c>
      <c r="G253" s="10" t="str">
        <f>DEC2HEX(E253,3)</f>
        <v>0F3</v>
      </c>
      <c r="H253" s="10" t="str">
        <f>IF(ROUND(D253/$B$6,0)&gt;$B$7,"YES","NO")</f>
        <v>NO</v>
      </c>
    </row>
    <row r="254" spans="1:8">
      <c r="A254" s="8">
        <v>244</v>
      </c>
      <c r="B254" s="9">
        <f>D253</f>
        <v>284.765625</v>
      </c>
      <c r="C254" s="9">
        <f>$B$6</f>
        <v>1.171875</v>
      </c>
      <c r="D254" s="9">
        <f>B254+C254</f>
        <v>285.9375</v>
      </c>
      <c r="E254" s="8">
        <f>MIN($B$7,ROUND(D254/$B$6,0))</f>
        <v>244</v>
      </c>
      <c r="F254" s="8" t="str">
        <f>DEC2BIN(INT(E254/64),5)&amp;DEC2BIN(MOD(E254,64),6)</f>
        <v>00011110100</v>
      </c>
      <c r="G254" s="8" t="str">
        <f>DEC2HEX(E254,3)</f>
        <v>0F4</v>
      </c>
      <c r="H254" s="8" t="str">
        <f>IF(ROUND(D254/$B$6,0)&gt;$B$7,"YES","NO")</f>
        <v>NO</v>
      </c>
    </row>
    <row r="255" spans="1:8">
      <c r="A255" s="10">
        <v>245</v>
      </c>
      <c r="B255" s="11">
        <f>D254</f>
        <v>285.9375</v>
      </c>
      <c r="C255" s="11">
        <f>$B$6</f>
        <v>1.171875</v>
      </c>
      <c r="D255" s="11">
        <f>B255+C255</f>
        <v>287.109375</v>
      </c>
      <c r="E255" s="10">
        <f>MIN($B$7,ROUND(D255/$B$6,0))</f>
        <v>245</v>
      </c>
      <c r="F255" s="10" t="str">
        <f>DEC2BIN(INT(E255/64),5)&amp;DEC2BIN(MOD(E255,64),6)</f>
        <v>00011110101</v>
      </c>
      <c r="G255" s="10" t="str">
        <f>DEC2HEX(E255,3)</f>
        <v>0F5</v>
      </c>
      <c r="H255" s="10" t="str">
        <f>IF(ROUND(D255/$B$6,0)&gt;$B$7,"YES","NO")</f>
        <v>NO</v>
      </c>
    </row>
    <row r="256" spans="1:8">
      <c r="A256" s="8">
        <v>246</v>
      </c>
      <c r="B256" s="9">
        <f>D255</f>
        <v>287.109375</v>
      </c>
      <c r="C256" s="9">
        <f>$B$6</f>
        <v>1.171875</v>
      </c>
      <c r="D256" s="9">
        <f>B256+C256</f>
        <v>288.28125</v>
      </c>
      <c r="E256" s="8">
        <f>MIN($B$7,ROUND(D256/$B$6,0))</f>
        <v>246</v>
      </c>
      <c r="F256" s="8" t="str">
        <f>DEC2BIN(INT(E256/64),5)&amp;DEC2BIN(MOD(E256,64),6)</f>
        <v>00011110110</v>
      </c>
      <c r="G256" s="8" t="str">
        <f>DEC2HEX(E256,3)</f>
        <v>0F6</v>
      </c>
      <c r="H256" s="8" t="str">
        <f>IF(ROUND(D256/$B$6,0)&gt;$B$7,"YES","NO")</f>
        <v>NO</v>
      </c>
    </row>
    <row r="257" spans="1:8">
      <c r="A257" s="10">
        <v>247</v>
      </c>
      <c r="B257" s="11">
        <f>D256</f>
        <v>288.28125</v>
      </c>
      <c r="C257" s="11">
        <f>$B$6</f>
        <v>1.171875</v>
      </c>
      <c r="D257" s="11">
        <f>B257+C257</f>
        <v>289.453125</v>
      </c>
      <c r="E257" s="10">
        <f>MIN($B$7,ROUND(D257/$B$6,0))</f>
        <v>247</v>
      </c>
      <c r="F257" s="10" t="str">
        <f>DEC2BIN(INT(E257/64),5)&amp;DEC2BIN(MOD(E257,64),6)</f>
        <v>00011110111</v>
      </c>
      <c r="G257" s="10" t="str">
        <f>DEC2HEX(E257,3)</f>
        <v>0F7</v>
      </c>
      <c r="H257" s="10" t="str">
        <f>IF(ROUND(D257/$B$6,0)&gt;$B$7,"YES","NO")</f>
        <v>NO</v>
      </c>
    </row>
    <row r="258" spans="1:8">
      <c r="A258" s="8">
        <v>248</v>
      </c>
      <c r="B258" s="9">
        <f>D257</f>
        <v>289.453125</v>
      </c>
      <c r="C258" s="9">
        <f>$B$6</f>
        <v>1.171875</v>
      </c>
      <c r="D258" s="9">
        <f>B258+C258</f>
        <v>290.625</v>
      </c>
      <c r="E258" s="8">
        <f>MIN($B$7,ROUND(D258/$B$6,0))</f>
        <v>248</v>
      </c>
      <c r="F258" s="8" t="str">
        <f>DEC2BIN(INT(E258/64),5)&amp;DEC2BIN(MOD(E258,64),6)</f>
        <v>00011111000</v>
      </c>
      <c r="G258" s="8" t="str">
        <f>DEC2HEX(E258,3)</f>
        <v>0F8</v>
      </c>
      <c r="H258" s="8" t="str">
        <f>IF(ROUND(D258/$B$6,0)&gt;$B$7,"YES","NO")</f>
        <v>NO</v>
      </c>
    </row>
    <row r="259" spans="1:8">
      <c r="A259" s="10">
        <v>249</v>
      </c>
      <c r="B259" s="11">
        <f>D258</f>
        <v>290.625</v>
      </c>
      <c r="C259" s="11">
        <f>$B$6</f>
        <v>1.171875</v>
      </c>
      <c r="D259" s="11">
        <f>B259+C259</f>
        <v>291.796875</v>
      </c>
      <c r="E259" s="10">
        <f>MIN($B$7,ROUND(D259/$B$6,0))</f>
        <v>249</v>
      </c>
      <c r="F259" s="10" t="str">
        <f>DEC2BIN(INT(E259/64),5)&amp;DEC2BIN(MOD(E259,64),6)</f>
        <v>00011111001</v>
      </c>
      <c r="G259" s="10" t="str">
        <f>DEC2HEX(E259,3)</f>
        <v>0F9</v>
      </c>
      <c r="H259" s="10" t="str">
        <f>IF(ROUND(D259/$B$6,0)&gt;$B$7,"YES","NO")</f>
        <v>NO</v>
      </c>
    </row>
    <row r="260" spans="1:8">
      <c r="A260" s="8">
        <v>250</v>
      </c>
      <c r="B260" s="9">
        <f>D259</f>
        <v>291.796875</v>
      </c>
      <c r="C260" s="9">
        <f>$B$6</f>
        <v>1.171875</v>
      </c>
      <c r="D260" s="9">
        <f>B260+C260</f>
        <v>292.96875</v>
      </c>
      <c r="E260" s="8">
        <f>MIN($B$7,ROUND(D260/$B$6,0))</f>
        <v>250</v>
      </c>
      <c r="F260" s="8" t="str">
        <f>DEC2BIN(INT(E260/64),5)&amp;DEC2BIN(MOD(E260,64),6)</f>
        <v>00011111010</v>
      </c>
      <c r="G260" s="8" t="str">
        <f>DEC2HEX(E260,3)</f>
        <v>0FA</v>
      </c>
      <c r="H260" s="8" t="str">
        <f>IF(ROUND(D260/$B$6,0)&gt;$B$7,"YES","NO")</f>
        <v>NO</v>
      </c>
    </row>
    <row r="261" spans="1:8">
      <c r="A261" s="10">
        <v>251</v>
      </c>
      <c r="B261" s="11">
        <f>D260</f>
        <v>292.96875</v>
      </c>
      <c r="C261" s="11">
        <f>$B$6</f>
        <v>1.171875</v>
      </c>
      <c r="D261" s="11">
        <f>B261+C261</f>
        <v>294.140625</v>
      </c>
      <c r="E261" s="10">
        <f>MIN($B$7,ROUND(D261/$B$6,0))</f>
        <v>251</v>
      </c>
      <c r="F261" s="10" t="str">
        <f>DEC2BIN(INT(E261/64),5)&amp;DEC2BIN(MOD(E261,64),6)</f>
        <v>00011111011</v>
      </c>
      <c r="G261" s="10" t="str">
        <f>DEC2HEX(E261,3)</f>
        <v>0FB</v>
      </c>
      <c r="H261" s="10" t="str">
        <f>IF(ROUND(D261/$B$6,0)&gt;$B$7,"YES","NO")</f>
        <v>NO</v>
      </c>
    </row>
    <row r="262" spans="1:8">
      <c r="A262" s="8">
        <v>252</v>
      </c>
      <c r="B262" s="9">
        <f>D261</f>
        <v>294.140625</v>
      </c>
      <c r="C262" s="9">
        <f>$B$6</f>
        <v>1.171875</v>
      </c>
      <c r="D262" s="9">
        <f>B262+C262</f>
        <v>295.3125</v>
      </c>
      <c r="E262" s="8">
        <f>MIN($B$7,ROUND(D262/$B$6,0))</f>
        <v>252</v>
      </c>
      <c r="F262" s="8" t="str">
        <f>DEC2BIN(INT(E262/64),5)&amp;DEC2BIN(MOD(E262,64),6)</f>
        <v>00011111100</v>
      </c>
      <c r="G262" s="8" t="str">
        <f>DEC2HEX(E262,3)</f>
        <v>0FC</v>
      </c>
      <c r="H262" s="8" t="str">
        <f>IF(ROUND(D262/$B$6,0)&gt;$B$7,"YES","NO")</f>
        <v>NO</v>
      </c>
    </row>
    <row r="263" spans="1:8">
      <c r="A263" s="10">
        <v>253</v>
      </c>
      <c r="B263" s="11">
        <f>D262</f>
        <v>295.3125</v>
      </c>
      <c r="C263" s="11">
        <f>$B$6</f>
        <v>1.171875</v>
      </c>
      <c r="D263" s="11">
        <f>B263+C263</f>
        <v>296.484375</v>
      </c>
      <c r="E263" s="10">
        <f>MIN($B$7,ROUND(D263/$B$6,0))</f>
        <v>253</v>
      </c>
      <c r="F263" s="10" t="str">
        <f>DEC2BIN(INT(E263/64),5)&amp;DEC2BIN(MOD(E263,64),6)</f>
        <v>00011111101</v>
      </c>
      <c r="G263" s="10" t="str">
        <f>DEC2HEX(E263,3)</f>
        <v>0FD</v>
      </c>
      <c r="H263" s="10" t="str">
        <f>IF(ROUND(D263/$B$6,0)&gt;$B$7,"YES","NO")</f>
        <v>NO</v>
      </c>
    </row>
    <row r="264" spans="1:8">
      <c r="A264" s="8">
        <v>254</v>
      </c>
      <c r="B264" s="9">
        <f>D263</f>
        <v>296.484375</v>
      </c>
      <c r="C264" s="9">
        <f>$B$6</f>
        <v>1.171875</v>
      </c>
      <c r="D264" s="9">
        <f>B264+C264</f>
        <v>297.65625</v>
      </c>
      <c r="E264" s="8">
        <f>MIN($B$7,ROUND(D264/$B$6,0))</f>
        <v>254</v>
      </c>
      <c r="F264" s="8" t="str">
        <f>DEC2BIN(INT(E264/64),5)&amp;DEC2BIN(MOD(E264,64),6)</f>
        <v>00011111110</v>
      </c>
      <c r="G264" s="8" t="str">
        <f>DEC2HEX(E264,3)</f>
        <v>0FE</v>
      </c>
      <c r="H264" s="8" t="str">
        <f>IF(ROUND(D264/$B$6,0)&gt;$B$7,"YES","NO")</f>
        <v>NO</v>
      </c>
    </row>
    <row r="265" spans="1:8">
      <c r="A265" s="10">
        <v>255</v>
      </c>
      <c r="B265" s="11">
        <f>D264</f>
        <v>297.65625</v>
      </c>
      <c r="C265" s="11">
        <f>$B$6</f>
        <v>1.171875</v>
      </c>
      <c r="D265" s="11">
        <f>B265+C265</f>
        <v>298.828125</v>
      </c>
      <c r="E265" s="10">
        <f>MIN($B$7,ROUND(D265/$B$6,0))</f>
        <v>255</v>
      </c>
      <c r="F265" s="10" t="str">
        <f>DEC2BIN(INT(E265/64),5)&amp;DEC2BIN(MOD(E265,64),6)</f>
        <v>00011111111</v>
      </c>
      <c r="G265" s="10" t="str">
        <f>DEC2HEX(E265,3)</f>
        <v>0FF</v>
      </c>
      <c r="H265" s="10" t="str">
        <f>IF(ROUND(D265/$B$6,0)&gt;$B$7,"YES","NO")</f>
        <v>NO</v>
      </c>
    </row>
    <row r="266" spans="1:8">
      <c r="A266" s="8">
        <v>256</v>
      </c>
      <c r="B266" s="9">
        <f>D265</f>
        <v>298.828125</v>
      </c>
      <c r="C266" s="9">
        <f>$B$6</f>
        <v>1.171875</v>
      </c>
      <c r="D266" s="9">
        <f>B266+C266</f>
        <v>300</v>
      </c>
      <c r="E266" s="8">
        <f>MIN($B$7,ROUND(D266/$B$6,0))</f>
        <v>256</v>
      </c>
      <c r="F266" s="8" t="str">
        <f>DEC2BIN(INT(E266/64),5)&amp;DEC2BIN(MOD(E266,64),6)</f>
        <v>00100000000</v>
      </c>
      <c r="G266" s="8" t="str">
        <f>DEC2HEX(E266,3)</f>
        <v>100</v>
      </c>
      <c r="H266" s="8" t="str">
        <f>IF(ROUND(D266/$B$6,0)&gt;$B$7,"YES","NO")</f>
        <v>NO</v>
      </c>
    </row>
    <row r="267" spans="1:8">
      <c r="A267" s="10">
        <v>257</v>
      </c>
      <c r="B267" s="11">
        <f>D266</f>
        <v>300</v>
      </c>
      <c r="C267" s="11">
        <f>$B$6</f>
        <v>1.171875</v>
      </c>
      <c r="D267" s="11">
        <f>B267+C267</f>
        <v>301.171875</v>
      </c>
      <c r="E267" s="10">
        <f>MIN($B$7,ROUND(D267/$B$6,0))</f>
        <v>257</v>
      </c>
      <c r="F267" s="10" t="str">
        <f>DEC2BIN(INT(E267/64),5)&amp;DEC2BIN(MOD(E267,64),6)</f>
        <v>00100000001</v>
      </c>
      <c r="G267" s="10" t="str">
        <f>DEC2HEX(E267,3)</f>
        <v>101</v>
      </c>
      <c r="H267" s="10" t="str">
        <f>IF(ROUND(D267/$B$6,0)&gt;$B$7,"YES","NO")</f>
        <v>NO</v>
      </c>
    </row>
    <row r="268" spans="1:8">
      <c r="A268" s="8">
        <v>258</v>
      </c>
      <c r="B268" s="9">
        <f>D267</f>
        <v>301.171875</v>
      </c>
      <c r="C268" s="9">
        <f>$B$6</f>
        <v>1.171875</v>
      </c>
      <c r="D268" s="9">
        <f>B268+C268</f>
        <v>302.34375</v>
      </c>
      <c r="E268" s="8">
        <f>MIN($B$7,ROUND(D268/$B$6,0))</f>
        <v>258</v>
      </c>
      <c r="F268" s="8" t="str">
        <f>DEC2BIN(INT(E268/64),5)&amp;DEC2BIN(MOD(E268,64),6)</f>
        <v>00100000010</v>
      </c>
      <c r="G268" s="8" t="str">
        <f>DEC2HEX(E268,3)</f>
        <v>102</v>
      </c>
      <c r="H268" s="8" t="str">
        <f>IF(ROUND(D268/$B$6,0)&gt;$B$7,"YES","NO")</f>
        <v>NO</v>
      </c>
    </row>
    <row r="269" spans="1:8">
      <c r="A269" s="10">
        <v>259</v>
      </c>
      <c r="B269" s="11">
        <f>D268</f>
        <v>302.34375</v>
      </c>
      <c r="C269" s="11">
        <f>$B$6</f>
        <v>1.171875</v>
      </c>
      <c r="D269" s="11">
        <f>B269+C269</f>
        <v>303.515625</v>
      </c>
      <c r="E269" s="10">
        <f>MIN($B$7,ROUND(D269/$B$6,0))</f>
        <v>259</v>
      </c>
      <c r="F269" s="10" t="str">
        <f>DEC2BIN(INT(E269/64),5)&amp;DEC2BIN(MOD(E269,64),6)</f>
        <v>00100000011</v>
      </c>
      <c r="G269" s="10" t="str">
        <f>DEC2HEX(E269,3)</f>
        <v>103</v>
      </c>
      <c r="H269" s="10" t="str">
        <f>IF(ROUND(D269/$B$6,0)&gt;$B$7,"YES","NO")</f>
        <v>NO</v>
      </c>
    </row>
    <row r="270" spans="1:8">
      <c r="A270" s="8">
        <v>260</v>
      </c>
      <c r="B270" s="9">
        <f>D269</f>
        <v>303.515625</v>
      </c>
      <c r="C270" s="9">
        <f>$B$6</f>
        <v>1.171875</v>
      </c>
      <c r="D270" s="9">
        <f>B270+C270</f>
        <v>304.6875</v>
      </c>
      <c r="E270" s="8">
        <f>MIN($B$7,ROUND(D270/$B$6,0))</f>
        <v>260</v>
      </c>
      <c r="F270" s="8" t="str">
        <f>DEC2BIN(INT(E270/64),5)&amp;DEC2BIN(MOD(E270,64),6)</f>
        <v>00100000100</v>
      </c>
      <c r="G270" s="8" t="str">
        <f>DEC2HEX(E270,3)</f>
        <v>104</v>
      </c>
      <c r="H270" s="8" t="str">
        <f>IF(ROUND(D270/$B$6,0)&gt;$B$7,"YES","NO")</f>
        <v>NO</v>
      </c>
    </row>
    <row r="271" spans="1:8">
      <c r="A271" s="10">
        <v>261</v>
      </c>
      <c r="B271" s="11">
        <f>D270</f>
        <v>304.6875</v>
      </c>
      <c r="C271" s="11">
        <f>$B$6</f>
        <v>1.171875</v>
      </c>
      <c r="D271" s="11">
        <f>B271+C271</f>
        <v>305.859375</v>
      </c>
      <c r="E271" s="10">
        <f>MIN($B$7,ROUND(D271/$B$6,0))</f>
        <v>261</v>
      </c>
      <c r="F271" s="10" t="str">
        <f>DEC2BIN(INT(E271/64),5)&amp;DEC2BIN(MOD(E271,64),6)</f>
        <v>00100000101</v>
      </c>
      <c r="G271" s="10" t="str">
        <f>DEC2HEX(E271,3)</f>
        <v>105</v>
      </c>
      <c r="H271" s="10" t="str">
        <f>IF(ROUND(D271/$B$6,0)&gt;$B$7,"YES","NO")</f>
        <v>NO</v>
      </c>
    </row>
    <row r="272" spans="1:8">
      <c r="A272" s="8">
        <v>262</v>
      </c>
      <c r="B272" s="9">
        <f>D271</f>
        <v>305.859375</v>
      </c>
      <c r="C272" s="9">
        <f>$B$6</f>
        <v>1.171875</v>
      </c>
      <c r="D272" s="9">
        <f>B272+C272</f>
        <v>307.03125</v>
      </c>
      <c r="E272" s="8">
        <f>MIN($B$7,ROUND(D272/$B$6,0))</f>
        <v>262</v>
      </c>
      <c r="F272" s="8" t="str">
        <f>DEC2BIN(INT(E272/64),5)&amp;DEC2BIN(MOD(E272,64),6)</f>
        <v>00100000110</v>
      </c>
      <c r="G272" s="8" t="str">
        <f>DEC2HEX(E272,3)</f>
        <v>106</v>
      </c>
      <c r="H272" s="8" t="str">
        <f>IF(ROUND(D272/$B$6,0)&gt;$B$7,"YES","NO")</f>
        <v>NO</v>
      </c>
    </row>
    <row r="273" spans="1:8">
      <c r="A273" s="10">
        <v>263</v>
      </c>
      <c r="B273" s="11">
        <f>D272</f>
        <v>307.03125</v>
      </c>
      <c r="C273" s="11">
        <f>$B$6</f>
        <v>1.171875</v>
      </c>
      <c r="D273" s="11">
        <f>B273+C273</f>
        <v>308.203125</v>
      </c>
      <c r="E273" s="10">
        <f>MIN($B$7,ROUND(D273/$B$6,0))</f>
        <v>263</v>
      </c>
      <c r="F273" s="10" t="str">
        <f>DEC2BIN(INT(E273/64),5)&amp;DEC2BIN(MOD(E273,64),6)</f>
        <v>00100000111</v>
      </c>
      <c r="G273" s="10" t="str">
        <f>DEC2HEX(E273,3)</f>
        <v>107</v>
      </c>
      <c r="H273" s="10" t="str">
        <f>IF(ROUND(D273/$B$6,0)&gt;$B$7,"YES","NO")</f>
        <v>NO</v>
      </c>
    </row>
    <row r="274" spans="1:8">
      <c r="A274" s="8">
        <v>264</v>
      </c>
      <c r="B274" s="9">
        <f>D273</f>
        <v>308.203125</v>
      </c>
      <c r="C274" s="9">
        <f>$B$6</f>
        <v>1.171875</v>
      </c>
      <c r="D274" s="9">
        <f>B274+C274</f>
        <v>309.375</v>
      </c>
      <c r="E274" s="8">
        <f>MIN($B$7,ROUND(D274/$B$6,0))</f>
        <v>264</v>
      </c>
      <c r="F274" s="8" t="str">
        <f>DEC2BIN(INT(E274/64),5)&amp;DEC2BIN(MOD(E274,64),6)</f>
        <v>00100001000</v>
      </c>
      <c r="G274" s="8" t="str">
        <f>DEC2HEX(E274,3)</f>
        <v>108</v>
      </c>
      <c r="H274" s="8" t="str">
        <f>IF(ROUND(D274/$B$6,0)&gt;$B$7,"YES","NO")</f>
        <v>NO</v>
      </c>
    </row>
    <row r="275" spans="1:8">
      <c r="A275" s="10">
        <v>265</v>
      </c>
      <c r="B275" s="11">
        <f>D274</f>
        <v>309.375</v>
      </c>
      <c r="C275" s="11">
        <f>$B$6</f>
        <v>1.171875</v>
      </c>
      <c r="D275" s="11">
        <f>B275+C275</f>
        <v>310.546875</v>
      </c>
      <c r="E275" s="10">
        <f>MIN($B$7,ROUND(D275/$B$6,0))</f>
        <v>265</v>
      </c>
      <c r="F275" s="10" t="str">
        <f>DEC2BIN(INT(E275/64),5)&amp;DEC2BIN(MOD(E275,64),6)</f>
        <v>00100001001</v>
      </c>
      <c r="G275" s="10" t="str">
        <f>DEC2HEX(E275,3)</f>
        <v>109</v>
      </c>
      <c r="H275" s="10" t="str">
        <f>IF(ROUND(D275/$B$6,0)&gt;$B$7,"YES","NO")</f>
        <v>NO</v>
      </c>
    </row>
    <row r="276" spans="1:8">
      <c r="A276" s="8">
        <v>266</v>
      </c>
      <c r="B276" s="9">
        <f>D275</f>
        <v>310.546875</v>
      </c>
      <c r="C276" s="9">
        <f>$B$6</f>
        <v>1.171875</v>
      </c>
      <c r="D276" s="9">
        <f>B276+C276</f>
        <v>311.71875</v>
      </c>
      <c r="E276" s="8">
        <f>MIN($B$7,ROUND(D276/$B$6,0))</f>
        <v>266</v>
      </c>
      <c r="F276" s="8" t="str">
        <f>DEC2BIN(INT(E276/64),5)&amp;DEC2BIN(MOD(E276,64),6)</f>
        <v>00100001010</v>
      </c>
      <c r="G276" s="8" t="str">
        <f>DEC2HEX(E276,3)</f>
        <v>10A</v>
      </c>
      <c r="H276" s="8" t="str">
        <f>IF(ROUND(D276/$B$6,0)&gt;$B$7,"YES","NO")</f>
        <v>NO</v>
      </c>
    </row>
    <row r="277" spans="1:8">
      <c r="A277" s="10">
        <v>267</v>
      </c>
      <c r="B277" s="11">
        <f>D276</f>
        <v>311.71875</v>
      </c>
      <c r="C277" s="11">
        <f>$B$6</f>
        <v>1.171875</v>
      </c>
      <c r="D277" s="11">
        <f>B277+C277</f>
        <v>312.890625</v>
      </c>
      <c r="E277" s="10">
        <f>MIN($B$7,ROUND(D277/$B$6,0))</f>
        <v>267</v>
      </c>
      <c r="F277" s="10" t="str">
        <f>DEC2BIN(INT(E277/64),5)&amp;DEC2BIN(MOD(E277,64),6)</f>
        <v>00100001011</v>
      </c>
      <c r="G277" s="10" t="str">
        <f>DEC2HEX(E277,3)</f>
        <v>10B</v>
      </c>
      <c r="H277" s="10" t="str">
        <f>IF(ROUND(D277/$B$6,0)&gt;$B$7,"YES","NO")</f>
        <v>NO</v>
      </c>
    </row>
    <row r="278" spans="1:8">
      <c r="A278" s="8">
        <v>268</v>
      </c>
      <c r="B278" s="9">
        <f>D277</f>
        <v>312.890625</v>
      </c>
      <c r="C278" s="9">
        <f>$B$6</f>
        <v>1.171875</v>
      </c>
      <c r="D278" s="9">
        <f>B278+C278</f>
        <v>314.0625</v>
      </c>
      <c r="E278" s="8">
        <f>MIN($B$7,ROUND(D278/$B$6,0))</f>
        <v>268</v>
      </c>
      <c r="F278" s="8" t="str">
        <f>DEC2BIN(INT(E278/64),5)&amp;DEC2BIN(MOD(E278,64),6)</f>
        <v>00100001100</v>
      </c>
      <c r="G278" s="8" t="str">
        <f>DEC2HEX(E278,3)</f>
        <v>10C</v>
      </c>
      <c r="H278" s="8" t="str">
        <f>IF(ROUND(D278/$B$6,0)&gt;$B$7,"YES","NO")</f>
        <v>NO</v>
      </c>
    </row>
    <row r="279" spans="1:8">
      <c r="A279" s="10">
        <v>269</v>
      </c>
      <c r="B279" s="11">
        <f>D278</f>
        <v>314.0625</v>
      </c>
      <c r="C279" s="11">
        <f>$B$6</f>
        <v>1.171875</v>
      </c>
      <c r="D279" s="11">
        <f>B279+C279</f>
        <v>315.234375</v>
      </c>
      <c r="E279" s="10">
        <f>MIN($B$7,ROUND(D279/$B$6,0))</f>
        <v>269</v>
      </c>
      <c r="F279" s="10" t="str">
        <f>DEC2BIN(INT(E279/64),5)&amp;DEC2BIN(MOD(E279,64),6)</f>
        <v>00100001101</v>
      </c>
      <c r="G279" s="10" t="str">
        <f>DEC2HEX(E279,3)</f>
        <v>10D</v>
      </c>
      <c r="H279" s="10" t="str">
        <f>IF(ROUND(D279/$B$6,0)&gt;$B$7,"YES","NO")</f>
        <v>NO</v>
      </c>
    </row>
    <row r="280" spans="1:8">
      <c r="A280" s="8">
        <v>270</v>
      </c>
      <c r="B280" s="9">
        <f>D279</f>
        <v>315.234375</v>
      </c>
      <c r="C280" s="9">
        <f>$B$6</f>
        <v>1.171875</v>
      </c>
      <c r="D280" s="9">
        <f>B280+C280</f>
        <v>316.40625</v>
      </c>
      <c r="E280" s="8">
        <f>MIN($B$7,ROUND(D280/$B$6,0))</f>
        <v>270</v>
      </c>
      <c r="F280" s="8" t="str">
        <f>DEC2BIN(INT(E280/64),5)&amp;DEC2BIN(MOD(E280,64),6)</f>
        <v>00100001110</v>
      </c>
      <c r="G280" s="8" t="str">
        <f>DEC2HEX(E280,3)</f>
        <v>10E</v>
      </c>
      <c r="H280" s="8" t="str">
        <f>IF(ROUND(D280/$B$6,0)&gt;$B$7,"YES","NO")</f>
        <v>NO</v>
      </c>
    </row>
    <row r="281" spans="1:8">
      <c r="A281" s="10">
        <v>271</v>
      </c>
      <c r="B281" s="11">
        <f>D280</f>
        <v>316.40625</v>
      </c>
      <c r="C281" s="11">
        <f>$B$6</f>
        <v>1.171875</v>
      </c>
      <c r="D281" s="11">
        <f>B281+C281</f>
        <v>317.578125</v>
      </c>
      <c r="E281" s="10">
        <f>MIN($B$7,ROUND(D281/$B$6,0))</f>
        <v>271</v>
      </c>
      <c r="F281" s="10" t="str">
        <f>DEC2BIN(INT(E281/64),5)&amp;DEC2BIN(MOD(E281,64),6)</f>
        <v>00100001111</v>
      </c>
      <c r="G281" s="10" t="str">
        <f>DEC2HEX(E281,3)</f>
        <v>10F</v>
      </c>
      <c r="H281" s="10" t="str">
        <f>IF(ROUND(D281/$B$6,0)&gt;$B$7,"YES","NO")</f>
        <v>NO</v>
      </c>
    </row>
    <row r="282" spans="1:8">
      <c r="A282" s="8">
        <v>272</v>
      </c>
      <c r="B282" s="9">
        <f>D281</f>
        <v>317.578125</v>
      </c>
      <c r="C282" s="9">
        <f>$B$6</f>
        <v>1.171875</v>
      </c>
      <c r="D282" s="9">
        <f>B282+C282</f>
        <v>318.75</v>
      </c>
      <c r="E282" s="8">
        <f>MIN($B$7,ROUND(D282/$B$6,0))</f>
        <v>272</v>
      </c>
      <c r="F282" s="8" t="str">
        <f>DEC2BIN(INT(E282/64),5)&amp;DEC2BIN(MOD(E282,64),6)</f>
        <v>00100010000</v>
      </c>
      <c r="G282" s="8" t="str">
        <f>DEC2HEX(E282,3)</f>
        <v>110</v>
      </c>
      <c r="H282" s="8" t="str">
        <f>IF(ROUND(D282/$B$6,0)&gt;$B$7,"YES","NO")</f>
        <v>NO</v>
      </c>
    </row>
    <row r="283" spans="1:8">
      <c r="A283" s="10">
        <v>273</v>
      </c>
      <c r="B283" s="11">
        <f>D282</f>
        <v>318.75</v>
      </c>
      <c r="C283" s="11">
        <f>$B$6</f>
        <v>1.171875</v>
      </c>
      <c r="D283" s="11">
        <f>B283+C283</f>
        <v>319.921875</v>
      </c>
      <c r="E283" s="10">
        <f>MIN($B$7,ROUND(D283/$B$6,0))</f>
        <v>273</v>
      </c>
      <c r="F283" s="10" t="str">
        <f>DEC2BIN(INT(E283/64),5)&amp;DEC2BIN(MOD(E283,64),6)</f>
        <v>00100010001</v>
      </c>
      <c r="G283" s="10" t="str">
        <f>DEC2HEX(E283,3)</f>
        <v>111</v>
      </c>
      <c r="H283" s="10" t="str">
        <f>IF(ROUND(D283/$B$6,0)&gt;$B$7,"YES","NO")</f>
        <v>NO</v>
      </c>
    </row>
    <row r="284" spans="1:8">
      <c r="A284" s="8">
        <v>274</v>
      </c>
      <c r="B284" s="9">
        <f>D283</f>
        <v>319.921875</v>
      </c>
      <c r="C284" s="9">
        <f>$B$6</f>
        <v>1.171875</v>
      </c>
      <c r="D284" s="9">
        <f>B284+C284</f>
        <v>321.09375</v>
      </c>
      <c r="E284" s="8">
        <f>MIN($B$7,ROUND(D284/$B$6,0))</f>
        <v>274</v>
      </c>
      <c r="F284" s="8" t="str">
        <f>DEC2BIN(INT(E284/64),5)&amp;DEC2BIN(MOD(E284,64),6)</f>
        <v>00100010010</v>
      </c>
      <c r="G284" s="8" t="str">
        <f>DEC2HEX(E284,3)</f>
        <v>112</v>
      </c>
      <c r="H284" s="8" t="str">
        <f>IF(ROUND(D284/$B$6,0)&gt;$B$7,"YES","NO")</f>
        <v>NO</v>
      </c>
    </row>
    <row r="285" spans="1:8">
      <c r="A285" s="10">
        <v>275</v>
      </c>
      <c r="B285" s="11">
        <f>D284</f>
        <v>321.09375</v>
      </c>
      <c r="C285" s="11">
        <f>$B$6</f>
        <v>1.171875</v>
      </c>
      <c r="D285" s="11">
        <f>B285+C285</f>
        <v>322.265625</v>
      </c>
      <c r="E285" s="10">
        <f>MIN($B$7,ROUND(D285/$B$6,0))</f>
        <v>275</v>
      </c>
      <c r="F285" s="10" t="str">
        <f>DEC2BIN(INT(E285/64),5)&amp;DEC2BIN(MOD(E285,64),6)</f>
        <v>00100010011</v>
      </c>
      <c r="G285" s="10" t="str">
        <f>DEC2HEX(E285,3)</f>
        <v>113</v>
      </c>
      <c r="H285" s="10" t="str">
        <f>IF(ROUND(D285/$B$6,0)&gt;$B$7,"YES","NO")</f>
        <v>NO</v>
      </c>
    </row>
    <row r="286" spans="1:8">
      <c r="A286" s="8">
        <v>276</v>
      </c>
      <c r="B286" s="9">
        <f>D285</f>
        <v>322.265625</v>
      </c>
      <c r="C286" s="9">
        <f>$B$6</f>
        <v>1.171875</v>
      </c>
      <c r="D286" s="9">
        <f>B286+C286</f>
        <v>323.4375</v>
      </c>
      <c r="E286" s="8">
        <f>MIN($B$7,ROUND(D286/$B$6,0))</f>
        <v>276</v>
      </c>
      <c r="F286" s="8" t="str">
        <f>DEC2BIN(INT(E286/64),5)&amp;DEC2BIN(MOD(E286,64),6)</f>
        <v>00100010100</v>
      </c>
      <c r="G286" s="8" t="str">
        <f>DEC2HEX(E286,3)</f>
        <v>114</v>
      </c>
      <c r="H286" s="8" t="str">
        <f>IF(ROUND(D286/$B$6,0)&gt;$B$7,"YES","NO")</f>
        <v>NO</v>
      </c>
    </row>
    <row r="287" spans="1:8">
      <c r="A287" s="10">
        <v>277</v>
      </c>
      <c r="B287" s="11">
        <f>D286</f>
        <v>323.4375</v>
      </c>
      <c r="C287" s="11">
        <f>$B$6</f>
        <v>1.171875</v>
      </c>
      <c r="D287" s="11">
        <f>B287+C287</f>
        <v>324.609375</v>
      </c>
      <c r="E287" s="10">
        <f>MIN($B$7,ROUND(D287/$B$6,0))</f>
        <v>277</v>
      </c>
      <c r="F287" s="10" t="str">
        <f>DEC2BIN(INT(E287/64),5)&amp;DEC2BIN(MOD(E287,64),6)</f>
        <v>00100010101</v>
      </c>
      <c r="G287" s="10" t="str">
        <f>DEC2HEX(E287,3)</f>
        <v>115</v>
      </c>
      <c r="H287" s="10" t="str">
        <f>IF(ROUND(D287/$B$6,0)&gt;$B$7,"YES","NO")</f>
        <v>NO</v>
      </c>
    </row>
    <row r="288" spans="1:8">
      <c r="A288" s="8">
        <v>278</v>
      </c>
      <c r="B288" s="9">
        <f>D287</f>
        <v>324.609375</v>
      </c>
      <c r="C288" s="9">
        <f>$B$6</f>
        <v>1.171875</v>
      </c>
      <c r="D288" s="9">
        <f>B288+C288</f>
        <v>325.78125</v>
      </c>
      <c r="E288" s="8">
        <f>MIN($B$7,ROUND(D288/$B$6,0))</f>
        <v>278</v>
      </c>
      <c r="F288" s="8" t="str">
        <f>DEC2BIN(INT(E288/64),5)&amp;DEC2BIN(MOD(E288,64),6)</f>
        <v>00100010110</v>
      </c>
      <c r="G288" s="8" t="str">
        <f>DEC2HEX(E288,3)</f>
        <v>116</v>
      </c>
      <c r="H288" s="8" t="str">
        <f>IF(ROUND(D288/$B$6,0)&gt;$B$7,"YES","NO")</f>
        <v>NO</v>
      </c>
    </row>
    <row r="289" spans="1:8">
      <c r="A289" s="10">
        <v>279</v>
      </c>
      <c r="B289" s="11">
        <f>D288</f>
        <v>325.78125</v>
      </c>
      <c r="C289" s="11">
        <f>$B$6</f>
        <v>1.171875</v>
      </c>
      <c r="D289" s="11">
        <f>B289+C289</f>
        <v>326.953125</v>
      </c>
      <c r="E289" s="10">
        <f>MIN($B$7,ROUND(D289/$B$6,0))</f>
        <v>279</v>
      </c>
      <c r="F289" s="10" t="str">
        <f>DEC2BIN(INT(E289/64),5)&amp;DEC2BIN(MOD(E289,64),6)</f>
        <v>00100010111</v>
      </c>
      <c r="G289" s="10" t="str">
        <f>DEC2HEX(E289,3)</f>
        <v>117</v>
      </c>
      <c r="H289" s="10" t="str">
        <f>IF(ROUND(D289/$B$6,0)&gt;$B$7,"YES","NO")</f>
        <v>NO</v>
      </c>
    </row>
    <row r="290" spans="1:8">
      <c r="A290" s="8">
        <v>280</v>
      </c>
      <c r="B290" s="9">
        <f>D289</f>
        <v>326.953125</v>
      </c>
      <c r="C290" s="9">
        <f>$B$6</f>
        <v>1.171875</v>
      </c>
      <c r="D290" s="9">
        <f>B290+C290</f>
        <v>328.125</v>
      </c>
      <c r="E290" s="8">
        <f>MIN($B$7,ROUND(D290/$B$6,0))</f>
        <v>280</v>
      </c>
      <c r="F290" s="8" t="str">
        <f>DEC2BIN(INT(E290/64),5)&amp;DEC2BIN(MOD(E290,64),6)</f>
        <v>00100011000</v>
      </c>
      <c r="G290" s="8" t="str">
        <f>DEC2HEX(E290,3)</f>
        <v>118</v>
      </c>
      <c r="H290" s="8" t="str">
        <f>IF(ROUND(D290/$B$6,0)&gt;$B$7,"YES","NO")</f>
        <v>NO</v>
      </c>
    </row>
    <row r="291" spans="1:8">
      <c r="A291" s="10">
        <v>281</v>
      </c>
      <c r="B291" s="11">
        <f>D290</f>
        <v>328.125</v>
      </c>
      <c r="C291" s="11">
        <f>$B$6</f>
        <v>1.171875</v>
      </c>
      <c r="D291" s="11">
        <f>B291+C291</f>
        <v>329.296875</v>
      </c>
      <c r="E291" s="10">
        <f>MIN($B$7,ROUND(D291/$B$6,0))</f>
        <v>281</v>
      </c>
      <c r="F291" s="10" t="str">
        <f>DEC2BIN(INT(E291/64),5)&amp;DEC2BIN(MOD(E291,64),6)</f>
        <v>00100011001</v>
      </c>
      <c r="G291" s="10" t="str">
        <f>DEC2HEX(E291,3)</f>
        <v>119</v>
      </c>
      <c r="H291" s="10" t="str">
        <f>IF(ROUND(D291/$B$6,0)&gt;$B$7,"YES","NO")</f>
        <v>NO</v>
      </c>
    </row>
    <row r="292" spans="1:8">
      <c r="A292" s="8">
        <v>282</v>
      </c>
      <c r="B292" s="9">
        <f>D291</f>
        <v>329.296875</v>
      </c>
      <c r="C292" s="9">
        <f>$B$6</f>
        <v>1.171875</v>
      </c>
      <c r="D292" s="9">
        <f>B292+C292</f>
        <v>330.46875</v>
      </c>
      <c r="E292" s="8">
        <f>MIN($B$7,ROUND(D292/$B$6,0))</f>
        <v>282</v>
      </c>
      <c r="F292" s="8" t="str">
        <f>DEC2BIN(INT(E292/64),5)&amp;DEC2BIN(MOD(E292,64),6)</f>
        <v>00100011010</v>
      </c>
      <c r="G292" s="8" t="str">
        <f>DEC2HEX(E292,3)</f>
        <v>11A</v>
      </c>
      <c r="H292" s="8" t="str">
        <f>IF(ROUND(D292/$B$6,0)&gt;$B$7,"YES","NO")</f>
        <v>NO</v>
      </c>
    </row>
    <row r="293" spans="1:8">
      <c r="A293" s="10">
        <v>283</v>
      </c>
      <c r="B293" s="11">
        <f>D292</f>
        <v>330.46875</v>
      </c>
      <c r="C293" s="11">
        <f>$B$6</f>
        <v>1.171875</v>
      </c>
      <c r="D293" s="11">
        <f>B293+C293</f>
        <v>331.640625</v>
      </c>
      <c r="E293" s="10">
        <f>MIN($B$7,ROUND(D293/$B$6,0))</f>
        <v>283</v>
      </c>
      <c r="F293" s="10" t="str">
        <f>DEC2BIN(INT(E293/64),5)&amp;DEC2BIN(MOD(E293,64),6)</f>
        <v>00100011011</v>
      </c>
      <c r="G293" s="10" t="str">
        <f>DEC2HEX(E293,3)</f>
        <v>11B</v>
      </c>
      <c r="H293" s="10" t="str">
        <f>IF(ROUND(D293/$B$6,0)&gt;$B$7,"YES","NO")</f>
        <v>NO</v>
      </c>
    </row>
    <row r="294" spans="1:8">
      <c r="A294" s="8">
        <v>284</v>
      </c>
      <c r="B294" s="9">
        <f>D293</f>
        <v>331.640625</v>
      </c>
      <c r="C294" s="9">
        <f>$B$6</f>
        <v>1.171875</v>
      </c>
      <c r="D294" s="9">
        <f>B294+C294</f>
        <v>332.8125</v>
      </c>
      <c r="E294" s="8">
        <f>MIN($B$7,ROUND(D294/$B$6,0))</f>
        <v>284</v>
      </c>
      <c r="F294" s="8" t="str">
        <f>DEC2BIN(INT(E294/64),5)&amp;DEC2BIN(MOD(E294,64),6)</f>
        <v>00100011100</v>
      </c>
      <c r="G294" s="8" t="str">
        <f>DEC2HEX(E294,3)</f>
        <v>11C</v>
      </c>
      <c r="H294" s="8" t="str">
        <f>IF(ROUND(D294/$B$6,0)&gt;$B$7,"YES","NO")</f>
        <v>NO</v>
      </c>
    </row>
    <row r="295" spans="1:8">
      <c r="A295" s="10">
        <v>285</v>
      </c>
      <c r="B295" s="11">
        <f>D294</f>
        <v>332.8125</v>
      </c>
      <c r="C295" s="11">
        <f>$B$6</f>
        <v>1.171875</v>
      </c>
      <c r="D295" s="11">
        <f>B295+C295</f>
        <v>333.984375</v>
      </c>
      <c r="E295" s="10">
        <f>MIN($B$7,ROUND(D295/$B$6,0))</f>
        <v>285</v>
      </c>
      <c r="F295" s="10" t="str">
        <f>DEC2BIN(INT(E295/64),5)&amp;DEC2BIN(MOD(E295,64),6)</f>
        <v>00100011101</v>
      </c>
      <c r="G295" s="10" t="str">
        <f>DEC2HEX(E295,3)</f>
        <v>11D</v>
      </c>
      <c r="H295" s="10" t="str">
        <f>IF(ROUND(D295/$B$6,0)&gt;$B$7,"YES","NO")</f>
        <v>NO</v>
      </c>
    </row>
    <row r="296" spans="1:8">
      <c r="A296" s="8">
        <v>286</v>
      </c>
      <c r="B296" s="9">
        <f>D295</f>
        <v>333.984375</v>
      </c>
      <c r="C296" s="9">
        <f>$B$6</f>
        <v>1.171875</v>
      </c>
      <c r="D296" s="9">
        <f>B296+C296</f>
        <v>335.15625</v>
      </c>
      <c r="E296" s="8">
        <f>MIN($B$7,ROUND(D296/$B$6,0))</f>
        <v>286</v>
      </c>
      <c r="F296" s="8" t="str">
        <f>DEC2BIN(INT(E296/64),5)&amp;DEC2BIN(MOD(E296,64),6)</f>
        <v>00100011110</v>
      </c>
      <c r="G296" s="8" t="str">
        <f>DEC2HEX(E296,3)</f>
        <v>11E</v>
      </c>
      <c r="H296" s="8" t="str">
        <f>IF(ROUND(D296/$B$6,0)&gt;$B$7,"YES","NO")</f>
        <v>NO</v>
      </c>
    </row>
    <row r="297" spans="1:8">
      <c r="A297" s="10">
        <v>287</v>
      </c>
      <c r="B297" s="11">
        <f>D296</f>
        <v>335.15625</v>
      </c>
      <c r="C297" s="11">
        <f>$B$6</f>
        <v>1.171875</v>
      </c>
      <c r="D297" s="11">
        <f>B297+C297</f>
        <v>336.328125</v>
      </c>
      <c r="E297" s="10">
        <f>MIN($B$7,ROUND(D297/$B$6,0))</f>
        <v>287</v>
      </c>
      <c r="F297" s="10" t="str">
        <f>DEC2BIN(INT(E297/64),5)&amp;DEC2BIN(MOD(E297,64),6)</f>
        <v>00100011111</v>
      </c>
      <c r="G297" s="10" t="str">
        <f>DEC2HEX(E297,3)</f>
        <v>11F</v>
      </c>
      <c r="H297" s="10" t="str">
        <f>IF(ROUND(D297/$B$6,0)&gt;$B$7,"YES","NO")</f>
        <v>NO</v>
      </c>
    </row>
    <row r="298" spans="1:8">
      <c r="A298" s="8">
        <v>288</v>
      </c>
      <c r="B298" s="9">
        <f>D297</f>
        <v>336.328125</v>
      </c>
      <c r="C298" s="9">
        <f>$B$6</f>
        <v>1.171875</v>
      </c>
      <c r="D298" s="9">
        <f>B298+C298</f>
        <v>337.5</v>
      </c>
      <c r="E298" s="8">
        <f>MIN($B$7,ROUND(D298/$B$6,0))</f>
        <v>288</v>
      </c>
      <c r="F298" s="8" t="str">
        <f>DEC2BIN(INT(E298/64),5)&amp;DEC2BIN(MOD(E298,64),6)</f>
        <v>00100100000</v>
      </c>
      <c r="G298" s="8" t="str">
        <f>DEC2HEX(E298,3)</f>
        <v>120</v>
      </c>
      <c r="H298" s="8" t="str">
        <f>IF(ROUND(D298/$B$6,0)&gt;$B$7,"YES","NO")</f>
        <v>NO</v>
      </c>
    </row>
    <row r="299" spans="1:8">
      <c r="A299" s="10">
        <v>289</v>
      </c>
      <c r="B299" s="11">
        <f>D298</f>
        <v>337.5</v>
      </c>
      <c r="C299" s="11">
        <f>$B$6</f>
        <v>1.171875</v>
      </c>
      <c r="D299" s="11">
        <f>B299+C299</f>
        <v>338.671875</v>
      </c>
      <c r="E299" s="10">
        <f>MIN($B$7,ROUND(D299/$B$6,0))</f>
        <v>289</v>
      </c>
      <c r="F299" s="10" t="str">
        <f>DEC2BIN(INT(E299/64),5)&amp;DEC2BIN(MOD(E299,64),6)</f>
        <v>00100100001</v>
      </c>
      <c r="G299" s="10" t="str">
        <f>DEC2HEX(E299,3)</f>
        <v>121</v>
      </c>
      <c r="H299" s="10" t="str">
        <f>IF(ROUND(D299/$B$6,0)&gt;$B$7,"YES","NO")</f>
        <v>NO</v>
      </c>
    </row>
    <row r="300" spans="1:8">
      <c r="A300" s="8">
        <v>290</v>
      </c>
      <c r="B300" s="9">
        <f>D299</f>
        <v>338.671875</v>
      </c>
      <c r="C300" s="9">
        <f>$B$6</f>
        <v>1.171875</v>
      </c>
      <c r="D300" s="9">
        <f>B300+C300</f>
        <v>339.84375</v>
      </c>
      <c r="E300" s="8">
        <f>MIN($B$7,ROUND(D300/$B$6,0))</f>
        <v>290</v>
      </c>
      <c r="F300" s="8" t="str">
        <f>DEC2BIN(INT(E300/64),5)&amp;DEC2BIN(MOD(E300,64),6)</f>
        <v>00100100010</v>
      </c>
      <c r="G300" s="8" t="str">
        <f>DEC2HEX(E300,3)</f>
        <v>122</v>
      </c>
      <c r="H300" s="8" t="str">
        <f>IF(ROUND(D300/$B$6,0)&gt;$B$7,"YES","NO")</f>
        <v>NO</v>
      </c>
    </row>
    <row r="301" spans="1:8">
      <c r="A301" s="10">
        <v>291</v>
      </c>
      <c r="B301" s="11">
        <f>D300</f>
        <v>339.84375</v>
      </c>
      <c r="C301" s="11">
        <f>$B$6</f>
        <v>1.171875</v>
      </c>
      <c r="D301" s="11">
        <f>B301+C301</f>
        <v>341.015625</v>
      </c>
      <c r="E301" s="10">
        <f>MIN($B$7,ROUND(D301/$B$6,0))</f>
        <v>291</v>
      </c>
      <c r="F301" s="10" t="str">
        <f>DEC2BIN(INT(E301/64),5)&amp;DEC2BIN(MOD(E301,64),6)</f>
        <v>00100100011</v>
      </c>
      <c r="G301" s="10" t="str">
        <f>DEC2HEX(E301,3)</f>
        <v>123</v>
      </c>
      <c r="H301" s="10" t="str">
        <f>IF(ROUND(D301/$B$6,0)&gt;$B$7,"YES","NO")</f>
        <v>NO</v>
      </c>
    </row>
    <row r="302" spans="1:8">
      <c r="A302" s="8">
        <v>292</v>
      </c>
      <c r="B302" s="9">
        <f>D301</f>
        <v>341.015625</v>
      </c>
      <c r="C302" s="9">
        <f>$B$6</f>
        <v>1.171875</v>
      </c>
      <c r="D302" s="9">
        <f>B302+C302</f>
        <v>342.1875</v>
      </c>
      <c r="E302" s="8">
        <f>MIN($B$7,ROUND(D302/$B$6,0))</f>
        <v>292</v>
      </c>
      <c r="F302" s="8" t="str">
        <f>DEC2BIN(INT(E302/64),5)&amp;DEC2BIN(MOD(E302,64),6)</f>
        <v>00100100100</v>
      </c>
      <c r="G302" s="8" t="str">
        <f>DEC2HEX(E302,3)</f>
        <v>124</v>
      </c>
      <c r="H302" s="8" t="str">
        <f>IF(ROUND(D302/$B$6,0)&gt;$B$7,"YES","NO")</f>
        <v>NO</v>
      </c>
    </row>
    <row r="303" spans="1:8">
      <c r="A303" s="10">
        <v>293</v>
      </c>
      <c r="B303" s="11">
        <f>D302</f>
        <v>342.1875</v>
      </c>
      <c r="C303" s="11">
        <f>$B$6</f>
        <v>1.171875</v>
      </c>
      <c r="D303" s="11">
        <f>B303+C303</f>
        <v>343.359375</v>
      </c>
      <c r="E303" s="10">
        <f>MIN($B$7,ROUND(D303/$B$6,0))</f>
        <v>293</v>
      </c>
      <c r="F303" s="10" t="str">
        <f>DEC2BIN(INT(E303/64),5)&amp;DEC2BIN(MOD(E303,64),6)</f>
        <v>00100100101</v>
      </c>
      <c r="G303" s="10" t="str">
        <f>DEC2HEX(E303,3)</f>
        <v>125</v>
      </c>
      <c r="H303" s="10" t="str">
        <f>IF(ROUND(D303/$B$6,0)&gt;$B$7,"YES","NO")</f>
        <v>NO</v>
      </c>
    </row>
    <row r="304" spans="1:8">
      <c r="A304" s="8">
        <v>294</v>
      </c>
      <c r="B304" s="9">
        <f>D303</f>
        <v>343.359375</v>
      </c>
      <c r="C304" s="9">
        <f>$B$6</f>
        <v>1.171875</v>
      </c>
      <c r="D304" s="9">
        <f>B304+C304</f>
        <v>344.53125</v>
      </c>
      <c r="E304" s="8">
        <f>MIN($B$7,ROUND(D304/$B$6,0))</f>
        <v>294</v>
      </c>
      <c r="F304" s="8" t="str">
        <f>DEC2BIN(INT(E304/64),5)&amp;DEC2BIN(MOD(E304,64),6)</f>
        <v>00100100110</v>
      </c>
      <c r="G304" s="8" t="str">
        <f>DEC2HEX(E304,3)</f>
        <v>126</v>
      </c>
      <c r="H304" s="8" t="str">
        <f>IF(ROUND(D304/$B$6,0)&gt;$B$7,"YES","NO")</f>
        <v>NO</v>
      </c>
    </row>
    <row r="305" spans="1:8">
      <c r="A305" s="10">
        <v>295</v>
      </c>
      <c r="B305" s="11">
        <f>D304</f>
        <v>344.53125</v>
      </c>
      <c r="C305" s="11">
        <f>$B$6</f>
        <v>1.171875</v>
      </c>
      <c r="D305" s="11">
        <f>B305+C305</f>
        <v>345.703125</v>
      </c>
      <c r="E305" s="10">
        <f>MIN($B$7,ROUND(D305/$B$6,0))</f>
        <v>295</v>
      </c>
      <c r="F305" s="10" t="str">
        <f>DEC2BIN(INT(E305/64),5)&amp;DEC2BIN(MOD(E305,64),6)</f>
        <v>00100100111</v>
      </c>
      <c r="G305" s="10" t="str">
        <f>DEC2HEX(E305,3)</f>
        <v>127</v>
      </c>
      <c r="H305" s="10" t="str">
        <f>IF(ROUND(D305/$B$6,0)&gt;$B$7,"YES","NO")</f>
        <v>NO</v>
      </c>
    </row>
    <row r="306" spans="1:8">
      <c r="A306" s="8">
        <v>296</v>
      </c>
      <c r="B306" s="9">
        <f>D305</f>
        <v>345.703125</v>
      </c>
      <c r="C306" s="9">
        <f>$B$6</f>
        <v>1.171875</v>
      </c>
      <c r="D306" s="9">
        <f>B306+C306</f>
        <v>346.875</v>
      </c>
      <c r="E306" s="8">
        <f>MIN($B$7,ROUND(D306/$B$6,0))</f>
        <v>296</v>
      </c>
      <c r="F306" s="8" t="str">
        <f>DEC2BIN(INT(E306/64),5)&amp;DEC2BIN(MOD(E306,64),6)</f>
        <v>00100101000</v>
      </c>
      <c r="G306" s="8" t="str">
        <f>DEC2HEX(E306,3)</f>
        <v>128</v>
      </c>
      <c r="H306" s="8" t="str">
        <f>IF(ROUND(D306/$B$6,0)&gt;$B$7,"YES","NO")</f>
        <v>NO</v>
      </c>
    </row>
    <row r="307" spans="1:8">
      <c r="A307" s="10">
        <v>297</v>
      </c>
      <c r="B307" s="11">
        <f>D306</f>
        <v>346.875</v>
      </c>
      <c r="C307" s="11">
        <f>$B$6</f>
        <v>1.171875</v>
      </c>
      <c r="D307" s="11">
        <f>B307+C307</f>
        <v>348.046875</v>
      </c>
      <c r="E307" s="10">
        <f>MIN($B$7,ROUND(D307/$B$6,0))</f>
        <v>297</v>
      </c>
      <c r="F307" s="10" t="str">
        <f>DEC2BIN(INT(E307/64),5)&amp;DEC2BIN(MOD(E307,64),6)</f>
        <v>00100101001</v>
      </c>
      <c r="G307" s="10" t="str">
        <f>DEC2HEX(E307,3)</f>
        <v>129</v>
      </c>
      <c r="H307" s="10" t="str">
        <f>IF(ROUND(D307/$B$6,0)&gt;$B$7,"YES","NO")</f>
        <v>NO</v>
      </c>
    </row>
    <row r="308" spans="1:8">
      <c r="A308" s="8">
        <v>298</v>
      </c>
      <c r="B308" s="9">
        <f>D307</f>
        <v>348.046875</v>
      </c>
      <c r="C308" s="9">
        <f>$B$6</f>
        <v>1.171875</v>
      </c>
      <c r="D308" s="9">
        <f>B308+C308</f>
        <v>349.21875</v>
      </c>
      <c r="E308" s="8">
        <f>MIN($B$7,ROUND(D308/$B$6,0))</f>
        <v>298</v>
      </c>
      <c r="F308" s="8" t="str">
        <f>DEC2BIN(INT(E308/64),5)&amp;DEC2BIN(MOD(E308,64),6)</f>
        <v>00100101010</v>
      </c>
      <c r="G308" s="8" t="str">
        <f>DEC2HEX(E308,3)</f>
        <v>12A</v>
      </c>
      <c r="H308" s="8" t="str">
        <f>IF(ROUND(D308/$B$6,0)&gt;$B$7,"YES","NO")</f>
        <v>NO</v>
      </c>
    </row>
    <row r="309" spans="1:8">
      <c r="A309" s="10">
        <v>299</v>
      </c>
      <c r="B309" s="11">
        <f>D308</f>
        <v>349.21875</v>
      </c>
      <c r="C309" s="11">
        <f>$B$6</f>
        <v>1.171875</v>
      </c>
      <c r="D309" s="11">
        <f>B309+C309</f>
        <v>350.390625</v>
      </c>
      <c r="E309" s="10">
        <f>MIN($B$7,ROUND(D309/$B$6,0))</f>
        <v>299</v>
      </c>
      <c r="F309" s="10" t="str">
        <f>DEC2BIN(INT(E309/64),5)&amp;DEC2BIN(MOD(E309,64),6)</f>
        <v>00100101011</v>
      </c>
      <c r="G309" s="10" t="str">
        <f>DEC2HEX(E309,3)</f>
        <v>12B</v>
      </c>
      <c r="H309" s="10" t="str">
        <f>IF(ROUND(D309/$B$6,0)&gt;$B$7,"YES","NO")</f>
        <v>NO</v>
      </c>
    </row>
    <row r="310" spans="1:8">
      <c r="A310" s="8">
        <v>300</v>
      </c>
      <c r="B310" s="9">
        <f>D309</f>
        <v>350.390625</v>
      </c>
      <c r="C310" s="9">
        <f>$B$6</f>
        <v>1.171875</v>
      </c>
      <c r="D310" s="9">
        <f>B310+C310</f>
        <v>351.5625</v>
      </c>
      <c r="E310" s="8">
        <f>MIN($B$7,ROUND(D310/$B$6,0))</f>
        <v>300</v>
      </c>
      <c r="F310" s="8" t="str">
        <f>DEC2BIN(INT(E310/64),5)&amp;DEC2BIN(MOD(E310,64),6)</f>
        <v>00100101100</v>
      </c>
      <c r="G310" s="8" t="str">
        <f>DEC2HEX(E310,3)</f>
        <v>12C</v>
      </c>
      <c r="H310" s="8" t="str">
        <f>IF(ROUND(D310/$B$6,0)&gt;$B$7,"YES","NO")</f>
        <v>NO</v>
      </c>
    </row>
    <row r="311" spans="1:8">
      <c r="A311" s="10">
        <v>301</v>
      </c>
      <c r="B311" s="11">
        <f>D310</f>
        <v>351.5625</v>
      </c>
      <c r="C311" s="11">
        <f>$B$6</f>
        <v>1.171875</v>
      </c>
      <c r="D311" s="11">
        <f>B311+C311</f>
        <v>352.734375</v>
      </c>
      <c r="E311" s="10">
        <f>MIN($B$7,ROUND(D311/$B$6,0))</f>
        <v>301</v>
      </c>
      <c r="F311" s="10" t="str">
        <f>DEC2BIN(INT(E311/64),5)&amp;DEC2BIN(MOD(E311,64),6)</f>
        <v>00100101101</v>
      </c>
      <c r="G311" s="10" t="str">
        <f>DEC2HEX(E311,3)</f>
        <v>12D</v>
      </c>
      <c r="H311" s="10" t="str">
        <f>IF(ROUND(D311/$B$6,0)&gt;$B$7,"YES","NO")</f>
        <v>NO</v>
      </c>
    </row>
    <row r="312" spans="1:8">
      <c r="A312" s="8">
        <v>302</v>
      </c>
      <c r="B312" s="9">
        <f>D311</f>
        <v>352.734375</v>
      </c>
      <c r="C312" s="9">
        <f>$B$6</f>
        <v>1.171875</v>
      </c>
      <c r="D312" s="9">
        <f>B312+C312</f>
        <v>353.90625</v>
      </c>
      <c r="E312" s="8">
        <f>MIN($B$7,ROUND(D312/$B$6,0))</f>
        <v>302</v>
      </c>
      <c r="F312" s="8" t="str">
        <f>DEC2BIN(INT(E312/64),5)&amp;DEC2BIN(MOD(E312,64),6)</f>
        <v>00100101110</v>
      </c>
      <c r="G312" s="8" t="str">
        <f>DEC2HEX(E312,3)</f>
        <v>12E</v>
      </c>
      <c r="H312" s="8" t="str">
        <f>IF(ROUND(D312/$B$6,0)&gt;$B$7,"YES","NO")</f>
        <v>NO</v>
      </c>
    </row>
    <row r="313" spans="1:8">
      <c r="A313" s="10">
        <v>303</v>
      </c>
      <c r="B313" s="11">
        <f>D312</f>
        <v>353.90625</v>
      </c>
      <c r="C313" s="11">
        <f>$B$6</f>
        <v>1.171875</v>
      </c>
      <c r="D313" s="11">
        <f>B313+C313</f>
        <v>355.078125</v>
      </c>
      <c r="E313" s="10">
        <f>MIN($B$7,ROUND(D313/$B$6,0))</f>
        <v>303</v>
      </c>
      <c r="F313" s="10" t="str">
        <f>DEC2BIN(INT(E313/64),5)&amp;DEC2BIN(MOD(E313,64),6)</f>
        <v>00100101111</v>
      </c>
      <c r="G313" s="10" t="str">
        <f>DEC2HEX(E313,3)</f>
        <v>12F</v>
      </c>
      <c r="H313" s="10" t="str">
        <f>IF(ROUND(D313/$B$6,0)&gt;$B$7,"YES","NO")</f>
        <v>NO</v>
      </c>
    </row>
    <row r="314" spans="1:8">
      <c r="A314" s="8">
        <v>304</v>
      </c>
      <c r="B314" s="9">
        <f>D313</f>
        <v>355.078125</v>
      </c>
      <c r="C314" s="9">
        <f>$B$6</f>
        <v>1.171875</v>
      </c>
      <c r="D314" s="9">
        <f>B314+C314</f>
        <v>356.25</v>
      </c>
      <c r="E314" s="8">
        <f>MIN($B$7,ROUND(D314/$B$6,0))</f>
        <v>304</v>
      </c>
      <c r="F314" s="8" t="str">
        <f>DEC2BIN(INT(E314/64),5)&amp;DEC2BIN(MOD(E314,64),6)</f>
        <v>00100110000</v>
      </c>
      <c r="G314" s="8" t="str">
        <f>DEC2HEX(E314,3)</f>
        <v>130</v>
      </c>
      <c r="H314" s="8" t="str">
        <f>IF(ROUND(D314/$B$6,0)&gt;$B$7,"YES","NO")</f>
        <v>NO</v>
      </c>
    </row>
    <row r="315" spans="1:8">
      <c r="A315" s="10">
        <v>305</v>
      </c>
      <c r="B315" s="11">
        <f>D314</f>
        <v>356.25</v>
      </c>
      <c r="C315" s="11">
        <f>$B$6</f>
        <v>1.171875</v>
      </c>
      <c r="D315" s="11">
        <f>B315+C315</f>
        <v>357.421875</v>
      </c>
      <c r="E315" s="10">
        <f>MIN($B$7,ROUND(D315/$B$6,0))</f>
        <v>305</v>
      </c>
      <c r="F315" s="10" t="str">
        <f>DEC2BIN(INT(E315/64),5)&amp;DEC2BIN(MOD(E315,64),6)</f>
        <v>00100110001</v>
      </c>
      <c r="G315" s="10" t="str">
        <f>DEC2HEX(E315,3)</f>
        <v>131</v>
      </c>
      <c r="H315" s="10" t="str">
        <f>IF(ROUND(D315/$B$6,0)&gt;$B$7,"YES","NO")</f>
        <v>NO</v>
      </c>
    </row>
    <row r="316" spans="1:8">
      <c r="A316" s="8">
        <v>306</v>
      </c>
      <c r="B316" s="9">
        <f>D315</f>
        <v>357.421875</v>
      </c>
      <c r="C316" s="9">
        <f>$B$6</f>
        <v>1.171875</v>
      </c>
      <c r="D316" s="9">
        <f>B316+C316</f>
        <v>358.59375</v>
      </c>
      <c r="E316" s="8">
        <f>MIN($B$7,ROUND(D316/$B$6,0))</f>
        <v>306</v>
      </c>
      <c r="F316" s="8" t="str">
        <f>DEC2BIN(INT(E316/64),5)&amp;DEC2BIN(MOD(E316,64),6)</f>
        <v>00100110010</v>
      </c>
      <c r="G316" s="8" t="str">
        <f>DEC2HEX(E316,3)</f>
        <v>132</v>
      </c>
      <c r="H316" s="8" t="str">
        <f>IF(ROUND(D316/$B$6,0)&gt;$B$7,"YES","NO")</f>
        <v>NO</v>
      </c>
    </row>
    <row r="317" spans="1:8">
      <c r="A317" s="10">
        <v>307</v>
      </c>
      <c r="B317" s="11">
        <f>D316</f>
        <v>358.59375</v>
      </c>
      <c r="C317" s="11">
        <f>$B$6</f>
        <v>1.171875</v>
      </c>
      <c r="D317" s="11">
        <f>B317+C317</f>
        <v>359.765625</v>
      </c>
      <c r="E317" s="10">
        <f>MIN($B$7,ROUND(D317/$B$6,0))</f>
        <v>307</v>
      </c>
      <c r="F317" s="10" t="str">
        <f>DEC2BIN(INT(E317/64),5)&amp;DEC2BIN(MOD(E317,64),6)</f>
        <v>00100110011</v>
      </c>
      <c r="G317" s="10" t="str">
        <f>DEC2HEX(E317,3)</f>
        <v>133</v>
      </c>
      <c r="H317" s="10" t="str">
        <f>IF(ROUND(D317/$B$6,0)&gt;$B$7,"YES","NO")</f>
        <v>NO</v>
      </c>
    </row>
    <row r="318" spans="1:8">
      <c r="A318" s="8">
        <v>308</v>
      </c>
      <c r="B318" s="9">
        <f>D317</f>
        <v>359.765625</v>
      </c>
      <c r="C318" s="9">
        <f>$B$6</f>
        <v>1.171875</v>
      </c>
      <c r="D318" s="9">
        <f>B318+C318</f>
        <v>360.9375</v>
      </c>
      <c r="E318" s="8">
        <f>MIN($B$7,ROUND(D318/$B$6,0))</f>
        <v>308</v>
      </c>
      <c r="F318" s="8" t="str">
        <f>DEC2BIN(INT(E318/64),5)&amp;DEC2BIN(MOD(E318,64),6)</f>
        <v>00100110100</v>
      </c>
      <c r="G318" s="8" t="str">
        <f>DEC2HEX(E318,3)</f>
        <v>134</v>
      </c>
      <c r="H318" s="8" t="str">
        <f>IF(ROUND(D318/$B$6,0)&gt;$B$7,"YES","NO")</f>
        <v>NO</v>
      </c>
    </row>
    <row r="319" spans="1:8">
      <c r="A319" s="10">
        <v>309</v>
      </c>
      <c r="B319" s="11">
        <f>D318</f>
        <v>360.9375</v>
      </c>
      <c r="C319" s="11">
        <f>$B$6</f>
        <v>1.171875</v>
      </c>
      <c r="D319" s="11">
        <f>B319+C319</f>
        <v>362.109375</v>
      </c>
      <c r="E319" s="10">
        <f>MIN($B$7,ROUND(D319/$B$6,0))</f>
        <v>309</v>
      </c>
      <c r="F319" s="10" t="str">
        <f>DEC2BIN(INT(E319/64),5)&amp;DEC2BIN(MOD(E319,64),6)</f>
        <v>00100110101</v>
      </c>
      <c r="G319" s="10" t="str">
        <f>DEC2HEX(E319,3)</f>
        <v>135</v>
      </c>
      <c r="H319" s="10" t="str">
        <f>IF(ROUND(D319/$B$6,0)&gt;$B$7,"YES","NO")</f>
        <v>NO</v>
      </c>
    </row>
    <row r="320" spans="1:8">
      <c r="A320" s="8">
        <v>310</v>
      </c>
      <c r="B320" s="9">
        <f>D319</f>
        <v>362.109375</v>
      </c>
      <c r="C320" s="9">
        <f>$B$6</f>
        <v>1.171875</v>
      </c>
      <c r="D320" s="9">
        <f>B320+C320</f>
        <v>363.28125</v>
      </c>
      <c r="E320" s="8">
        <f>MIN($B$7,ROUND(D320/$B$6,0))</f>
        <v>310</v>
      </c>
      <c r="F320" s="8" t="str">
        <f>DEC2BIN(INT(E320/64),5)&amp;DEC2BIN(MOD(E320,64),6)</f>
        <v>00100110110</v>
      </c>
      <c r="G320" s="8" t="str">
        <f>DEC2HEX(E320,3)</f>
        <v>136</v>
      </c>
      <c r="H320" s="8" t="str">
        <f>IF(ROUND(D320/$B$6,0)&gt;$B$7,"YES","NO")</f>
        <v>NO</v>
      </c>
    </row>
    <row r="321" spans="1:8">
      <c r="A321" s="10">
        <v>311</v>
      </c>
      <c r="B321" s="11">
        <f>D320</f>
        <v>363.28125</v>
      </c>
      <c r="C321" s="11">
        <f>$B$6</f>
        <v>1.171875</v>
      </c>
      <c r="D321" s="11">
        <f>B321+C321</f>
        <v>364.453125</v>
      </c>
      <c r="E321" s="10">
        <f>MIN($B$7,ROUND(D321/$B$6,0))</f>
        <v>311</v>
      </c>
      <c r="F321" s="10" t="str">
        <f>DEC2BIN(INT(E321/64),5)&amp;DEC2BIN(MOD(E321,64),6)</f>
        <v>00100110111</v>
      </c>
      <c r="G321" s="10" t="str">
        <f>DEC2HEX(E321,3)</f>
        <v>137</v>
      </c>
      <c r="H321" s="10" t="str">
        <f>IF(ROUND(D321/$B$6,0)&gt;$B$7,"YES","NO")</f>
        <v>NO</v>
      </c>
    </row>
    <row r="322" spans="1:8">
      <c r="A322" s="8">
        <v>312</v>
      </c>
      <c r="B322" s="9">
        <f>D321</f>
        <v>364.453125</v>
      </c>
      <c r="C322" s="9">
        <f>$B$6</f>
        <v>1.171875</v>
      </c>
      <c r="D322" s="9">
        <f>B322+C322</f>
        <v>365.625</v>
      </c>
      <c r="E322" s="8">
        <f>MIN($B$7,ROUND(D322/$B$6,0))</f>
        <v>312</v>
      </c>
      <c r="F322" s="8" t="str">
        <f>DEC2BIN(INT(E322/64),5)&amp;DEC2BIN(MOD(E322,64),6)</f>
        <v>00100111000</v>
      </c>
      <c r="G322" s="8" t="str">
        <f>DEC2HEX(E322,3)</f>
        <v>138</v>
      </c>
      <c r="H322" s="8" t="str">
        <f>IF(ROUND(D322/$B$6,0)&gt;$B$7,"YES","NO")</f>
        <v>NO</v>
      </c>
    </row>
    <row r="323" spans="1:8">
      <c r="A323" s="10">
        <v>313</v>
      </c>
      <c r="B323" s="11">
        <f>D322</f>
        <v>365.625</v>
      </c>
      <c r="C323" s="11">
        <f>$B$6</f>
        <v>1.171875</v>
      </c>
      <c r="D323" s="11">
        <f>B323+C323</f>
        <v>366.796875</v>
      </c>
      <c r="E323" s="10">
        <f>MIN($B$7,ROUND(D323/$B$6,0))</f>
        <v>313</v>
      </c>
      <c r="F323" s="10" t="str">
        <f>DEC2BIN(INT(E323/64),5)&amp;DEC2BIN(MOD(E323,64),6)</f>
        <v>00100111001</v>
      </c>
      <c r="G323" s="10" t="str">
        <f>DEC2HEX(E323,3)</f>
        <v>139</v>
      </c>
      <c r="H323" s="10" t="str">
        <f>IF(ROUND(D323/$B$6,0)&gt;$B$7,"YES","NO")</f>
        <v>NO</v>
      </c>
    </row>
    <row r="324" spans="1:8">
      <c r="A324" s="8">
        <v>314</v>
      </c>
      <c r="B324" s="9">
        <f>D323</f>
        <v>366.796875</v>
      </c>
      <c r="C324" s="9">
        <f>$B$6</f>
        <v>1.171875</v>
      </c>
      <c r="D324" s="9">
        <f>B324+C324</f>
        <v>367.96875</v>
      </c>
      <c r="E324" s="8">
        <f>MIN($B$7,ROUND(D324/$B$6,0))</f>
        <v>314</v>
      </c>
      <c r="F324" s="8" t="str">
        <f>DEC2BIN(INT(E324/64),5)&amp;DEC2BIN(MOD(E324,64),6)</f>
        <v>00100111010</v>
      </c>
      <c r="G324" s="8" t="str">
        <f>DEC2HEX(E324,3)</f>
        <v>13A</v>
      </c>
      <c r="H324" s="8" t="str">
        <f>IF(ROUND(D324/$B$6,0)&gt;$B$7,"YES","NO")</f>
        <v>NO</v>
      </c>
    </row>
    <row r="325" spans="1:8">
      <c r="A325" s="10">
        <v>315</v>
      </c>
      <c r="B325" s="11">
        <f>D324</f>
        <v>367.96875</v>
      </c>
      <c r="C325" s="11">
        <f>$B$6</f>
        <v>1.171875</v>
      </c>
      <c r="D325" s="11">
        <f>B325+C325</f>
        <v>369.140625</v>
      </c>
      <c r="E325" s="10">
        <f>MIN($B$7,ROUND(D325/$B$6,0))</f>
        <v>315</v>
      </c>
      <c r="F325" s="10" t="str">
        <f>DEC2BIN(INT(E325/64),5)&amp;DEC2BIN(MOD(E325,64),6)</f>
        <v>00100111011</v>
      </c>
      <c r="G325" s="10" t="str">
        <f>DEC2HEX(E325,3)</f>
        <v>13B</v>
      </c>
      <c r="H325" s="10" t="str">
        <f>IF(ROUND(D325/$B$6,0)&gt;$B$7,"YES","NO")</f>
        <v>NO</v>
      </c>
    </row>
    <row r="326" spans="1:8">
      <c r="A326" s="8">
        <v>316</v>
      </c>
      <c r="B326" s="9">
        <f>D325</f>
        <v>369.140625</v>
      </c>
      <c r="C326" s="9">
        <f>$B$6</f>
        <v>1.171875</v>
      </c>
      <c r="D326" s="9">
        <f>B326+C326</f>
        <v>370.3125</v>
      </c>
      <c r="E326" s="8">
        <f>MIN($B$7,ROUND(D326/$B$6,0))</f>
        <v>316</v>
      </c>
      <c r="F326" s="8" t="str">
        <f>DEC2BIN(INT(E326/64),5)&amp;DEC2BIN(MOD(E326,64),6)</f>
        <v>00100111100</v>
      </c>
      <c r="G326" s="8" t="str">
        <f>DEC2HEX(E326,3)</f>
        <v>13C</v>
      </c>
      <c r="H326" s="8" t="str">
        <f>IF(ROUND(D326/$B$6,0)&gt;$B$7,"YES","NO")</f>
        <v>NO</v>
      </c>
    </row>
    <row r="327" spans="1:8">
      <c r="A327" s="10">
        <v>317</v>
      </c>
      <c r="B327" s="11">
        <f>D326</f>
        <v>370.3125</v>
      </c>
      <c r="C327" s="11">
        <f>$B$6</f>
        <v>1.171875</v>
      </c>
      <c r="D327" s="11">
        <f>B327+C327</f>
        <v>371.484375</v>
      </c>
      <c r="E327" s="10">
        <f>MIN($B$7,ROUND(D327/$B$6,0))</f>
        <v>317</v>
      </c>
      <c r="F327" s="10" t="str">
        <f>DEC2BIN(INT(E327/64),5)&amp;DEC2BIN(MOD(E327,64),6)</f>
        <v>00100111101</v>
      </c>
      <c r="G327" s="10" t="str">
        <f>DEC2HEX(E327,3)</f>
        <v>13D</v>
      </c>
      <c r="H327" s="10" t="str">
        <f>IF(ROUND(D327/$B$6,0)&gt;$B$7,"YES","NO")</f>
        <v>NO</v>
      </c>
    </row>
    <row r="328" spans="1:8">
      <c r="A328" s="8">
        <v>318</v>
      </c>
      <c r="B328" s="9">
        <f>D327</f>
        <v>371.484375</v>
      </c>
      <c r="C328" s="9">
        <f>$B$6</f>
        <v>1.171875</v>
      </c>
      <c r="D328" s="9">
        <f>B328+C328</f>
        <v>372.65625</v>
      </c>
      <c r="E328" s="8">
        <f>MIN($B$7,ROUND(D328/$B$6,0))</f>
        <v>318</v>
      </c>
      <c r="F328" s="8" t="str">
        <f>DEC2BIN(INT(E328/64),5)&amp;DEC2BIN(MOD(E328,64),6)</f>
        <v>00100111110</v>
      </c>
      <c r="G328" s="8" t="str">
        <f>DEC2HEX(E328,3)</f>
        <v>13E</v>
      </c>
      <c r="H328" s="8" t="str">
        <f>IF(ROUND(D328/$B$6,0)&gt;$B$7,"YES","NO")</f>
        <v>NO</v>
      </c>
    </row>
    <row r="329" spans="1:8">
      <c r="A329" s="10">
        <v>319</v>
      </c>
      <c r="B329" s="11">
        <f>D328</f>
        <v>372.65625</v>
      </c>
      <c r="C329" s="11">
        <f>$B$6</f>
        <v>1.171875</v>
      </c>
      <c r="D329" s="11">
        <f>B329+C329</f>
        <v>373.828125</v>
      </c>
      <c r="E329" s="10">
        <f>MIN($B$7,ROUND(D329/$B$6,0))</f>
        <v>319</v>
      </c>
      <c r="F329" s="10" t="str">
        <f>DEC2BIN(INT(E329/64),5)&amp;DEC2BIN(MOD(E329,64),6)</f>
        <v>00100111111</v>
      </c>
      <c r="G329" s="10" t="str">
        <f>DEC2HEX(E329,3)</f>
        <v>13F</v>
      </c>
      <c r="H329" s="10" t="str">
        <f>IF(ROUND(D329/$B$6,0)&gt;$B$7,"YES","NO")</f>
        <v>NO</v>
      </c>
    </row>
    <row r="330" spans="1:8">
      <c r="A330" s="8">
        <v>320</v>
      </c>
      <c r="B330" s="9">
        <f>D329</f>
        <v>373.828125</v>
      </c>
      <c r="C330" s="9">
        <f>$B$6</f>
        <v>1.171875</v>
      </c>
      <c r="D330" s="9">
        <f>B330+C330</f>
        <v>375</v>
      </c>
      <c r="E330" s="8">
        <f>MIN($B$7,ROUND(D330/$B$6,0))</f>
        <v>320</v>
      </c>
      <c r="F330" s="8" t="str">
        <f>DEC2BIN(INT(E330/64),5)&amp;DEC2BIN(MOD(E330,64),6)</f>
        <v>00101000000</v>
      </c>
      <c r="G330" s="8" t="str">
        <f>DEC2HEX(E330,3)</f>
        <v>140</v>
      </c>
      <c r="H330" s="8" t="str">
        <f>IF(ROUND(D330/$B$6,0)&gt;$B$7,"YES","NO")</f>
        <v>NO</v>
      </c>
    </row>
    <row r="331" spans="1:8">
      <c r="A331" s="10">
        <v>321</v>
      </c>
      <c r="B331" s="11">
        <f>D330</f>
        <v>375</v>
      </c>
      <c r="C331" s="11">
        <f>$B$6</f>
        <v>1.171875</v>
      </c>
      <c r="D331" s="11">
        <f>B331+C331</f>
        <v>376.171875</v>
      </c>
      <c r="E331" s="10">
        <f>MIN($B$7,ROUND(D331/$B$6,0))</f>
        <v>321</v>
      </c>
      <c r="F331" s="10" t="str">
        <f>DEC2BIN(INT(E331/64),5)&amp;DEC2BIN(MOD(E331,64),6)</f>
        <v>00101000001</v>
      </c>
      <c r="G331" s="10" t="str">
        <f>DEC2HEX(E331,3)</f>
        <v>141</v>
      </c>
      <c r="H331" s="10" t="str">
        <f>IF(ROUND(D331/$B$6,0)&gt;$B$7,"YES","NO")</f>
        <v>NO</v>
      </c>
    </row>
    <row r="332" spans="1:8">
      <c r="A332" s="8">
        <v>322</v>
      </c>
      <c r="B332" s="9">
        <f>D331</f>
        <v>376.171875</v>
      </c>
      <c r="C332" s="9">
        <f>$B$6</f>
        <v>1.171875</v>
      </c>
      <c r="D332" s="9">
        <f>B332+C332</f>
        <v>377.34375</v>
      </c>
      <c r="E332" s="8">
        <f>MIN($B$7,ROUND(D332/$B$6,0))</f>
        <v>322</v>
      </c>
      <c r="F332" s="8" t="str">
        <f>DEC2BIN(INT(E332/64),5)&amp;DEC2BIN(MOD(E332,64),6)</f>
        <v>00101000010</v>
      </c>
      <c r="G332" s="8" t="str">
        <f>DEC2HEX(E332,3)</f>
        <v>142</v>
      </c>
      <c r="H332" s="8" t="str">
        <f>IF(ROUND(D332/$B$6,0)&gt;$B$7,"YES","NO")</f>
        <v>NO</v>
      </c>
    </row>
    <row r="333" spans="1:8">
      <c r="A333" s="10">
        <v>323</v>
      </c>
      <c r="B333" s="11">
        <f>D332</f>
        <v>377.34375</v>
      </c>
      <c r="C333" s="11">
        <f>$B$6</f>
        <v>1.171875</v>
      </c>
      <c r="D333" s="11">
        <f>B333+C333</f>
        <v>378.515625</v>
      </c>
      <c r="E333" s="10">
        <f>MIN($B$7,ROUND(D333/$B$6,0))</f>
        <v>323</v>
      </c>
      <c r="F333" s="10" t="str">
        <f>DEC2BIN(INT(E333/64),5)&amp;DEC2BIN(MOD(E333,64),6)</f>
        <v>00101000011</v>
      </c>
      <c r="G333" s="10" t="str">
        <f>DEC2HEX(E333,3)</f>
        <v>143</v>
      </c>
      <c r="H333" s="10" t="str">
        <f>IF(ROUND(D333/$B$6,0)&gt;$B$7,"YES","NO")</f>
        <v>NO</v>
      </c>
    </row>
    <row r="334" spans="1:8">
      <c r="A334" s="8">
        <v>324</v>
      </c>
      <c r="B334" s="9">
        <f>D333</f>
        <v>378.515625</v>
      </c>
      <c r="C334" s="9">
        <f>$B$6</f>
        <v>1.171875</v>
      </c>
      <c r="D334" s="9">
        <f>B334+C334</f>
        <v>379.6875</v>
      </c>
      <c r="E334" s="8">
        <f>MIN($B$7,ROUND(D334/$B$6,0))</f>
        <v>324</v>
      </c>
      <c r="F334" s="8" t="str">
        <f>DEC2BIN(INT(E334/64),5)&amp;DEC2BIN(MOD(E334,64),6)</f>
        <v>00101000100</v>
      </c>
      <c r="G334" s="8" t="str">
        <f>DEC2HEX(E334,3)</f>
        <v>144</v>
      </c>
      <c r="H334" s="8" t="str">
        <f>IF(ROUND(D334/$B$6,0)&gt;$B$7,"YES","NO")</f>
        <v>NO</v>
      </c>
    </row>
    <row r="335" spans="1:8">
      <c r="A335" s="10">
        <v>325</v>
      </c>
      <c r="B335" s="11">
        <f>D334</f>
        <v>379.6875</v>
      </c>
      <c r="C335" s="11">
        <f>$B$6</f>
        <v>1.171875</v>
      </c>
      <c r="D335" s="11">
        <f>B335+C335</f>
        <v>380.859375</v>
      </c>
      <c r="E335" s="10">
        <f>MIN($B$7,ROUND(D335/$B$6,0))</f>
        <v>325</v>
      </c>
      <c r="F335" s="10" t="str">
        <f>DEC2BIN(INT(E335/64),5)&amp;DEC2BIN(MOD(E335,64),6)</f>
        <v>00101000101</v>
      </c>
      <c r="G335" s="10" t="str">
        <f>DEC2HEX(E335,3)</f>
        <v>145</v>
      </c>
      <c r="H335" s="10" t="str">
        <f>IF(ROUND(D335/$B$6,0)&gt;$B$7,"YES","NO")</f>
        <v>NO</v>
      </c>
    </row>
    <row r="336" spans="1:8">
      <c r="A336" s="8">
        <v>326</v>
      </c>
      <c r="B336" s="9">
        <f>D335</f>
        <v>380.859375</v>
      </c>
      <c r="C336" s="9">
        <f>$B$6</f>
        <v>1.171875</v>
      </c>
      <c r="D336" s="9">
        <f>B336+C336</f>
        <v>382.03125</v>
      </c>
      <c r="E336" s="8">
        <f>MIN($B$7,ROUND(D336/$B$6,0))</f>
        <v>326</v>
      </c>
      <c r="F336" s="8" t="str">
        <f>DEC2BIN(INT(E336/64),5)&amp;DEC2BIN(MOD(E336,64),6)</f>
        <v>00101000110</v>
      </c>
      <c r="G336" s="8" t="str">
        <f>DEC2HEX(E336,3)</f>
        <v>146</v>
      </c>
      <c r="H336" s="8" t="str">
        <f>IF(ROUND(D336/$B$6,0)&gt;$B$7,"YES","NO")</f>
        <v>NO</v>
      </c>
    </row>
    <row r="337" spans="1:8">
      <c r="A337" s="10">
        <v>327</v>
      </c>
      <c r="B337" s="11">
        <f>D336</f>
        <v>382.03125</v>
      </c>
      <c r="C337" s="11">
        <f>$B$6</f>
        <v>1.171875</v>
      </c>
      <c r="D337" s="11">
        <f>B337+C337</f>
        <v>383.203125</v>
      </c>
      <c r="E337" s="10">
        <f>MIN($B$7,ROUND(D337/$B$6,0))</f>
        <v>327</v>
      </c>
      <c r="F337" s="10" t="str">
        <f>DEC2BIN(INT(E337/64),5)&amp;DEC2BIN(MOD(E337,64),6)</f>
        <v>00101000111</v>
      </c>
      <c r="G337" s="10" t="str">
        <f>DEC2HEX(E337,3)</f>
        <v>147</v>
      </c>
      <c r="H337" s="10" t="str">
        <f>IF(ROUND(D337/$B$6,0)&gt;$B$7,"YES","NO")</f>
        <v>NO</v>
      </c>
    </row>
    <row r="338" spans="1:8">
      <c r="A338" s="8">
        <v>328</v>
      </c>
      <c r="B338" s="9">
        <f>D337</f>
        <v>383.203125</v>
      </c>
      <c r="C338" s="9">
        <f>$B$6</f>
        <v>1.171875</v>
      </c>
      <c r="D338" s="9">
        <f>B338+C338</f>
        <v>384.375</v>
      </c>
      <c r="E338" s="8">
        <f>MIN($B$7,ROUND(D338/$B$6,0))</f>
        <v>328</v>
      </c>
      <c r="F338" s="8" t="str">
        <f>DEC2BIN(INT(E338/64),5)&amp;DEC2BIN(MOD(E338,64),6)</f>
        <v>00101001000</v>
      </c>
      <c r="G338" s="8" t="str">
        <f>DEC2HEX(E338,3)</f>
        <v>148</v>
      </c>
      <c r="H338" s="8" t="str">
        <f>IF(ROUND(D338/$B$6,0)&gt;$B$7,"YES","NO")</f>
        <v>NO</v>
      </c>
    </row>
    <row r="339" spans="1:8">
      <c r="A339" s="10">
        <v>329</v>
      </c>
      <c r="B339" s="11">
        <f>D338</f>
        <v>384.375</v>
      </c>
      <c r="C339" s="11">
        <f>$B$6</f>
        <v>1.171875</v>
      </c>
      <c r="D339" s="11">
        <f>B339+C339</f>
        <v>385.546875</v>
      </c>
      <c r="E339" s="10">
        <f>MIN($B$7,ROUND(D339/$B$6,0))</f>
        <v>329</v>
      </c>
      <c r="F339" s="10" t="str">
        <f>DEC2BIN(INT(E339/64),5)&amp;DEC2BIN(MOD(E339,64),6)</f>
        <v>00101001001</v>
      </c>
      <c r="G339" s="10" t="str">
        <f>DEC2HEX(E339,3)</f>
        <v>149</v>
      </c>
      <c r="H339" s="10" t="str">
        <f>IF(ROUND(D339/$B$6,0)&gt;$B$7,"YES","NO")</f>
        <v>NO</v>
      </c>
    </row>
    <row r="340" spans="1:8">
      <c r="A340" s="8">
        <v>330</v>
      </c>
      <c r="B340" s="9">
        <f>D339</f>
        <v>385.546875</v>
      </c>
      <c r="C340" s="9">
        <f>$B$6</f>
        <v>1.171875</v>
      </c>
      <c r="D340" s="9">
        <f>B340+C340</f>
        <v>386.71875</v>
      </c>
      <c r="E340" s="8">
        <f>MIN($B$7,ROUND(D340/$B$6,0))</f>
        <v>330</v>
      </c>
      <c r="F340" s="8" t="str">
        <f>DEC2BIN(INT(E340/64),5)&amp;DEC2BIN(MOD(E340,64),6)</f>
        <v>00101001010</v>
      </c>
      <c r="G340" s="8" t="str">
        <f>DEC2HEX(E340,3)</f>
        <v>14A</v>
      </c>
      <c r="H340" s="8" t="str">
        <f>IF(ROUND(D340/$B$6,0)&gt;$B$7,"YES","NO")</f>
        <v>NO</v>
      </c>
    </row>
    <row r="341" spans="1:8">
      <c r="A341" s="10">
        <v>331</v>
      </c>
      <c r="B341" s="11">
        <f>D340</f>
        <v>386.71875</v>
      </c>
      <c r="C341" s="11">
        <f>$B$6</f>
        <v>1.171875</v>
      </c>
      <c r="D341" s="11">
        <f>B341+C341</f>
        <v>387.890625</v>
      </c>
      <c r="E341" s="10">
        <f>MIN($B$7,ROUND(D341/$B$6,0))</f>
        <v>331</v>
      </c>
      <c r="F341" s="10" t="str">
        <f>DEC2BIN(INT(E341/64),5)&amp;DEC2BIN(MOD(E341,64),6)</f>
        <v>00101001011</v>
      </c>
      <c r="G341" s="10" t="str">
        <f>DEC2HEX(E341,3)</f>
        <v>14B</v>
      </c>
      <c r="H341" s="10" t="str">
        <f>IF(ROUND(D341/$B$6,0)&gt;$B$7,"YES","NO")</f>
        <v>NO</v>
      </c>
    </row>
    <row r="342" spans="1:8">
      <c r="A342" s="8">
        <v>332</v>
      </c>
      <c r="B342" s="9">
        <f>D341</f>
        <v>387.890625</v>
      </c>
      <c r="C342" s="9">
        <f>$B$6</f>
        <v>1.171875</v>
      </c>
      <c r="D342" s="9">
        <f>B342+C342</f>
        <v>389.0625</v>
      </c>
      <c r="E342" s="8">
        <f>MIN($B$7,ROUND(D342/$B$6,0))</f>
        <v>332</v>
      </c>
      <c r="F342" s="8" t="str">
        <f>DEC2BIN(INT(E342/64),5)&amp;DEC2BIN(MOD(E342,64),6)</f>
        <v>00101001100</v>
      </c>
      <c r="G342" s="8" t="str">
        <f>DEC2HEX(E342,3)</f>
        <v>14C</v>
      </c>
      <c r="H342" s="8" t="str">
        <f>IF(ROUND(D342/$B$6,0)&gt;$B$7,"YES","NO")</f>
        <v>NO</v>
      </c>
    </row>
    <row r="343" spans="1:8">
      <c r="A343" s="10">
        <v>333</v>
      </c>
      <c r="B343" s="11">
        <f>D342</f>
        <v>389.0625</v>
      </c>
      <c r="C343" s="11">
        <f>$B$6</f>
        <v>1.171875</v>
      </c>
      <c r="D343" s="11">
        <f>B343+C343</f>
        <v>390.234375</v>
      </c>
      <c r="E343" s="10">
        <f>MIN($B$7,ROUND(D343/$B$6,0))</f>
        <v>333</v>
      </c>
      <c r="F343" s="10" t="str">
        <f>DEC2BIN(INT(E343/64),5)&amp;DEC2BIN(MOD(E343,64),6)</f>
        <v>00101001101</v>
      </c>
      <c r="G343" s="10" t="str">
        <f>DEC2HEX(E343,3)</f>
        <v>14D</v>
      </c>
      <c r="H343" s="10" t="str">
        <f>IF(ROUND(D343/$B$6,0)&gt;$B$7,"YES","NO")</f>
        <v>NO</v>
      </c>
    </row>
    <row r="344" spans="1:8">
      <c r="A344" s="8">
        <v>334</v>
      </c>
      <c r="B344" s="9">
        <f>D343</f>
        <v>390.234375</v>
      </c>
      <c r="C344" s="9">
        <f>$B$6</f>
        <v>1.171875</v>
      </c>
      <c r="D344" s="9">
        <f>B344+C344</f>
        <v>391.40625</v>
      </c>
      <c r="E344" s="8">
        <f>MIN($B$7,ROUND(D344/$B$6,0))</f>
        <v>334</v>
      </c>
      <c r="F344" s="8" t="str">
        <f>DEC2BIN(INT(E344/64),5)&amp;DEC2BIN(MOD(E344,64),6)</f>
        <v>00101001110</v>
      </c>
      <c r="G344" s="8" t="str">
        <f>DEC2HEX(E344,3)</f>
        <v>14E</v>
      </c>
      <c r="H344" s="8" t="str">
        <f>IF(ROUND(D344/$B$6,0)&gt;$B$7,"YES","NO")</f>
        <v>NO</v>
      </c>
    </row>
    <row r="345" spans="1:8">
      <c r="A345" s="10">
        <v>335</v>
      </c>
      <c r="B345" s="11">
        <f>D344</f>
        <v>391.40625</v>
      </c>
      <c r="C345" s="11">
        <f>$B$6</f>
        <v>1.171875</v>
      </c>
      <c r="D345" s="11">
        <f>B345+C345</f>
        <v>392.578125</v>
      </c>
      <c r="E345" s="10">
        <f>MIN($B$7,ROUND(D345/$B$6,0))</f>
        <v>335</v>
      </c>
      <c r="F345" s="10" t="str">
        <f>DEC2BIN(INT(E345/64),5)&amp;DEC2BIN(MOD(E345,64),6)</f>
        <v>00101001111</v>
      </c>
      <c r="G345" s="10" t="str">
        <f>DEC2HEX(E345,3)</f>
        <v>14F</v>
      </c>
      <c r="H345" s="10" t="str">
        <f>IF(ROUND(D345/$B$6,0)&gt;$B$7,"YES","NO")</f>
        <v>NO</v>
      </c>
    </row>
    <row r="346" spans="1:8">
      <c r="A346" s="8">
        <v>336</v>
      </c>
      <c r="B346" s="9">
        <f>D345</f>
        <v>392.578125</v>
      </c>
      <c r="C346" s="9">
        <f>$B$6</f>
        <v>1.171875</v>
      </c>
      <c r="D346" s="9">
        <f>B346+C346</f>
        <v>393.75</v>
      </c>
      <c r="E346" s="8">
        <f>MIN($B$7,ROUND(D346/$B$6,0))</f>
        <v>336</v>
      </c>
      <c r="F346" s="8" t="str">
        <f>DEC2BIN(INT(E346/64),5)&amp;DEC2BIN(MOD(E346,64),6)</f>
        <v>00101010000</v>
      </c>
      <c r="G346" s="8" t="str">
        <f>DEC2HEX(E346,3)</f>
        <v>150</v>
      </c>
      <c r="H346" s="8" t="str">
        <f>IF(ROUND(D346/$B$6,0)&gt;$B$7,"YES","NO")</f>
        <v>NO</v>
      </c>
    </row>
    <row r="347" spans="1:8">
      <c r="A347" s="10">
        <v>337</v>
      </c>
      <c r="B347" s="11">
        <f>D346</f>
        <v>393.75</v>
      </c>
      <c r="C347" s="11">
        <f>$B$6</f>
        <v>1.171875</v>
      </c>
      <c r="D347" s="11">
        <f>B347+C347</f>
        <v>394.921875</v>
      </c>
      <c r="E347" s="10">
        <f>MIN($B$7,ROUND(D347/$B$6,0))</f>
        <v>337</v>
      </c>
      <c r="F347" s="10" t="str">
        <f>DEC2BIN(INT(E347/64),5)&amp;DEC2BIN(MOD(E347,64),6)</f>
        <v>00101010001</v>
      </c>
      <c r="G347" s="10" t="str">
        <f>DEC2HEX(E347,3)</f>
        <v>151</v>
      </c>
      <c r="H347" s="10" t="str">
        <f>IF(ROUND(D347/$B$6,0)&gt;$B$7,"YES","NO")</f>
        <v>NO</v>
      </c>
    </row>
    <row r="348" spans="1:8">
      <c r="A348" s="8">
        <v>338</v>
      </c>
      <c r="B348" s="9">
        <f>D347</f>
        <v>394.921875</v>
      </c>
      <c r="C348" s="9">
        <f>$B$6</f>
        <v>1.171875</v>
      </c>
      <c r="D348" s="9">
        <f>B348+C348</f>
        <v>396.09375</v>
      </c>
      <c r="E348" s="8">
        <f>MIN($B$7,ROUND(D348/$B$6,0))</f>
        <v>338</v>
      </c>
      <c r="F348" s="8" t="str">
        <f>DEC2BIN(INT(E348/64),5)&amp;DEC2BIN(MOD(E348,64),6)</f>
        <v>00101010010</v>
      </c>
      <c r="G348" s="8" t="str">
        <f>DEC2HEX(E348,3)</f>
        <v>152</v>
      </c>
      <c r="H348" s="8" t="str">
        <f>IF(ROUND(D348/$B$6,0)&gt;$B$7,"YES","NO")</f>
        <v>NO</v>
      </c>
    </row>
    <row r="349" spans="1:8">
      <c r="A349" s="10">
        <v>339</v>
      </c>
      <c r="B349" s="11">
        <f>D348</f>
        <v>396.09375</v>
      </c>
      <c r="C349" s="11">
        <f>$B$6</f>
        <v>1.171875</v>
      </c>
      <c r="D349" s="11">
        <f>B349+C349</f>
        <v>397.265625</v>
      </c>
      <c r="E349" s="10">
        <f>MIN($B$7,ROUND(D349/$B$6,0))</f>
        <v>339</v>
      </c>
      <c r="F349" s="10" t="str">
        <f>DEC2BIN(INT(E349/64),5)&amp;DEC2BIN(MOD(E349,64),6)</f>
        <v>00101010011</v>
      </c>
      <c r="G349" s="10" t="str">
        <f>DEC2HEX(E349,3)</f>
        <v>153</v>
      </c>
      <c r="H349" s="10" t="str">
        <f>IF(ROUND(D349/$B$6,0)&gt;$B$7,"YES","NO")</f>
        <v>NO</v>
      </c>
    </row>
    <row r="350" spans="1:8">
      <c r="A350" s="8">
        <v>340</v>
      </c>
      <c r="B350" s="9">
        <f>D349</f>
        <v>397.265625</v>
      </c>
      <c r="C350" s="9">
        <f>$B$6</f>
        <v>1.171875</v>
      </c>
      <c r="D350" s="9">
        <f>B350+C350</f>
        <v>398.4375</v>
      </c>
      <c r="E350" s="8">
        <f>MIN($B$7,ROUND(D350/$B$6,0))</f>
        <v>340</v>
      </c>
      <c r="F350" s="8" t="str">
        <f>DEC2BIN(INT(E350/64),5)&amp;DEC2BIN(MOD(E350,64),6)</f>
        <v>00101010100</v>
      </c>
      <c r="G350" s="8" t="str">
        <f>DEC2HEX(E350,3)</f>
        <v>154</v>
      </c>
      <c r="H350" s="8" t="str">
        <f>IF(ROUND(D350/$B$6,0)&gt;$B$7,"YES","NO")</f>
        <v>NO</v>
      </c>
    </row>
    <row r="351" spans="1:8">
      <c r="A351" s="10">
        <v>341</v>
      </c>
      <c r="B351" s="11">
        <f>D350</f>
        <v>398.4375</v>
      </c>
      <c r="C351" s="11">
        <f>$B$6</f>
        <v>1.171875</v>
      </c>
      <c r="D351" s="11">
        <f>B351+C351</f>
        <v>399.609375</v>
      </c>
      <c r="E351" s="10">
        <f>MIN($B$7,ROUND(D351/$B$6,0))</f>
        <v>341</v>
      </c>
      <c r="F351" s="10" t="str">
        <f>DEC2BIN(INT(E351/64),5)&amp;DEC2BIN(MOD(E351,64),6)</f>
        <v>00101010101</v>
      </c>
      <c r="G351" s="10" t="str">
        <f>DEC2HEX(E351,3)</f>
        <v>155</v>
      </c>
      <c r="H351" s="10" t="str">
        <f>IF(ROUND(D351/$B$6,0)&gt;$B$7,"YES","NO")</f>
        <v>NO</v>
      </c>
    </row>
    <row r="352" spans="1:8">
      <c r="A352" s="8">
        <v>342</v>
      </c>
      <c r="B352" s="9">
        <f>D351</f>
        <v>399.609375</v>
      </c>
      <c r="C352" s="9">
        <f>$B$6</f>
        <v>1.171875</v>
      </c>
      <c r="D352" s="9">
        <f>B352+C352</f>
        <v>400.78125</v>
      </c>
      <c r="E352" s="8">
        <f>MIN($B$7,ROUND(D352/$B$6,0))</f>
        <v>342</v>
      </c>
      <c r="F352" s="8" t="str">
        <f>DEC2BIN(INT(E352/64),5)&amp;DEC2BIN(MOD(E352,64),6)</f>
        <v>00101010110</v>
      </c>
      <c r="G352" s="8" t="str">
        <f>DEC2HEX(E352,3)</f>
        <v>156</v>
      </c>
      <c r="H352" s="8" t="str">
        <f>IF(ROUND(D352/$B$6,0)&gt;$B$7,"YES","NO")</f>
        <v>NO</v>
      </c>
    </row>
    <row r="353" spans="1:8">
      <c r="A353" s="10">
        <v>343</v>
      </c>
      <c r="B353" s="11">
        <f>D352</f>
        <v>400.78125</v>
      </c>
      <c r="C353" s="11">
        <f>$B$6</f>
        <v>1.171875</v>
      </c>
      <c r="D353" s="11">
        <f>B353+C353</f>
        <v>401.953125</v>
      </c>
      <c r="E353" s="10">
        <f>MIN($B$7,ROUND(D353/$B$6,0))</f>
        <v>343</v>
      </c>
      <c r="F353" s="10" t="str">
        <f>DEC2BIN(INT(E353/64),5)&amp;DEC2BIN(MOD(E353,64),6)</f>
        <v>00101010111</v>
      </c>
      <c r="G353" s="10" t="str">
        <f>DEC2HEX(E353,3)</f>
        <v>157</v>
      </c>
      <c r="H353" s="10" t="str">
        <f>IF(ROUND(D353/$B$6,0)&gt;$B$7,"YES","NO")</f>
        <v>NO</v>
      </c>
    </row>
    <row r="354" spans="1:8">
      <c r="A354" s="8">
        <v>344</v>
      </c>
      <c r="B354" s="9">
        <f>D353</f>
        <v>401.953125</v>
      </c>
      <c r="C354" s="9">
        <f>$B$6</f>
        <v>1.171875</v>
      </c>
      <c r="D354" s="9">
        <f>B354+C354</f>
        <v>403.125</v>
      </c>
      <c r="E354" s="8">
        <f>MIN($B$7,ROUND(D354/$B$6,0))</f>
        <v>344</v>
      </c>
      <c r="F354" s="8" t="str">
        <f>DEC2BIN(INT(E354/64),5)&amp;DEC2BIN(MOD(E354,64),6)</f>
        <v>00101011000</v>
      </c>
      <c r="G354" s="8" t="str">
        <f>DEC2HEX(E354,3)</f>
        <v>158</v>
      </c>
      <c r="H354" s="8" t="str">
        <f>IF(ROUND(D354/$B$6,0)&gt;$B$7,"YES","NO")</f>
        <v>NO</v>
      </c>
    </row>
    <row r="355" spans="1:8">
      <c r="A355" s="10">
        <v>345</v>
      </c>
      <c r="B355" s="11">
        <f>D354</f>
        <v>403.125</v>
      </c>
      <c r="C355" s="11">
        <f>$B$6</f>
        <v>1.171875</v>
      </c>
      <c r="D355" s="11">
        <f>B355+C355</f>
        <v>404.296875</v>
      </c>
      <c r="E355" s="10">
        <f>MIN($B$7,ROUND(D355/$B$6,0))</f>
        <v>345</v>
      </c>
      <c r="F355" s="10" t="str">
        <f>DEC2BIN(INT(E355/64),5)&amp;DEC2BIN(MOD(E355,64),6)</f>
        <v>00101011001</v>
      </c>
      <c r="G355" s="10" t="str">
        <f>DEC2HEX(E355,3)</f>
        <v>159</v>
      </c>
      <c r="H355" s="10" t="str">
        <f>IF(ROUND(D355/$B$6,0)&gt;$B$7,"YES","NO")</f>
        <v>NO</v>
      </c>
    </row>
    <row r="356" spans="1:8">
      <c r="A356" s="8">
        <v>346</v>
      </c>
      <c r="B356" s="9">
        <f>D355</f>
        <v>404.296875</v>
      </c>
      <c r="C356" s="9">
        <f>$B$6</f>
        <v>1.171875</v>
      </c>
      <c r="D356" s="9">
        <f>B356+C356</f>
        <v>405.46875</v>
      </c>
      <c r="E356" s="8">
        <f>MIN($B$7,ROUND(D356/$B$6,0))</f>
        <v>346</v>
      </c>
      <c r="F356" s="8" t="str">
        <f>DEC2BIN(INT(E356/64),5)&amp;DEC2BIN(MOD(E356,64),6)</f>
        <v>00101011010</v>
      </c>
      <c r="G356" s="8" t="str">
        <f>DEC2HEX(E356,3)</f>
        <v>15A</v>
      </c>
      <c r="H356" s="8" t="str">
        <f>IF(ROUND(D356/$B$6,0)&gt;$B$7,"YES","NO")</f>
        <v>NO</v>
      </c>
    </row>
    <row r="357" spans="1:8">
      <c r="A357" s="10">
        <v>347</v>
      </c>
      <c r="B357" s="11">
        <f>D356</f>
        <v>405.46875</v>
      </c>
      <c r="C357" s="11">
        <f>$B$6</f>
        <v>1.171875</v>
      </c>
      <c r="D357" s="11">
        <f>B357+C357</f>
        <v>406.640625</v>
      </c>
      <c r="E357" s="10">
        <f>MIN($B$7,ROUND(D357/$B$6,0))</f>
        <v>347</v>
      </c>
      <c r="F357" s="10" t="str">
        <f>DEC2BIN(INT(E357/64),5)&amp;DEC2BIN(MOD(E357,64),6)</f>
        <v>00101011011</v>
      </c>
      <c r="G357" s="10" t="str">
        <f>DEC2HEX(E357,3)</f>
        <v>15B</v>
      </c>
      <c r="H357" s="10" t="str">
        <f>IF(ROUND(D357/$B$6,0)&gt;$B$7,"YES","NO")</f>
        <v>NO</v>
      </c>
    </row>
    <row r="358" spans="1:8">
      <c r="A358" s="8">
        <v>348</v>
      </c>
      <c r="B358" s="9">
        <f>D357</f>
        <v>406.640625</v>
      </c>
      <c r="C358" s="9">
        <f>$B$6</f>
        <v>1.171875</v>
      </c>
      <c r="D358" s="9">
        <f>B358+C358</f>
        <v>407.8125</v>
      </c>
      <c r="E358" s="8">
        <f>MIN($B$7,ROUND(D358/$B$6,0))</f>
        <v>348</v>
      </c>
      <c r="F358" s="8" t="str">
        <f>DEC2BIN(INT(E358/64),5)&amp;DEC2BIN(MOD(E358,64),6)</f>
        <v>00101011100</v>
      </c>
      <c r="G358" s="8" t="str">
        <f>DEC2HEX(E358,3)</f>
        <v>15C</v>
      </c>
      <c r="H358" s="8" t="str">
        <f>IF(ROUND(D358/$B$6,0)&gt;$B$7,"YES","NO")</f>
        <v>NO</v>
      </c>
    </row>
    <row r="359" spans="1:8">
      <c r="A359" s="10">
        <v>349</v>
      </c>
      <c r="B359" s="11">
        <f>D358</f>
        <v>407.8125</v>
      </c>
      <c r="C359" s="11">
        <f>$B$6</f>
        <v>1.171875</v>
      </c>
      <c r="D359" s="11">
        <f>B359+C359</f>
        <v>408.984375</v>
      </c>
      <c r="E359" s="10">
        <f>MIN($B$7,ROUND(D359/$B$6,0))</f>
        <v>349</v>
      </c>
      <c r="F359" s="10" t="str">
        <f>DEC2BIN(INT(E359/64),5)&amp;DEC2BIN(MOD(E359,64),6)</f>
        <v>00101011101</v>
      </c>
      <c r="G359" s="10" t="str">
        <f>DEC2HEX(E359,3)</f>
        <v>15D</v>
      </c>
      <c r="H359" s="10" t="str">
        <f>IF(ROUND(D359/$B$6,0)&gt;$B$7,"YES","NO")</f>
        <v>NO</v>
      </c>
    </row>
    <row r="360" spans="1:8">
      <c r="A360" s="8">
        <v>350</v>
      </c>
      <c r="B360" s="9">
        <f>D359</f>
        <v>408.984375</v>
      </c>
      <c r="C360" s="9">
        <f>$B$6</f>
        <v>1.171875</v>
      </c>
      <c r="D360" s="9">
        <f>B360+C360</f>
        <v>410.15625</v>
      </c>
      <c r="E360" s="8">
        <f>MIN($B$7,ROUND(D360/$B$6,0))</f>
        <v>350</v>
      </c>
      <c r="F360" s="8" t="str">
        <f>DEC2BIN(INT(E360/64),5)&amp;DEC2BIN(MOD(E360,64),6)</f>
        <v>00101011110</v>
      </c>
      <c r="G360" s="8" t="str">
        <f>DEC2HEX(E360,3)</f>
        <v>15E</v>
      </c>
      <c r="H360" s="8" t="str">
        <f>IF(ROUND(D360/$B$6,0)&gt;$B$7,"YES","NO")</f>
        <v>NO</v>
      </c>
    </row>
    <row r="361" spans="1:8">
      <c r="A361" s="10">
        <v>351</v>
      </c>
      <c r="B361" s="11">
        <f>D360</f>
        <v>410.15625</v>
      </c>
      <c r="C361" s="11">
        <f>$B$6</f>
        <v>1.171875</v>
      </c>
      <c r="D361" s="11">
        <f>B361+C361</f>
        <v>411.328125</v>
      </c>
      <c r="E361" s="10">
        <f>MIN($B$7,ROUND(D361/$B$6,0))</f>
        <v>351</v>
      </c>
      <c r="F361" s="10" t="str">
        <f>DEC2BIN(INT(E361/64),5)&amp;DEC2BIN(MOD(E361,64),6)</f>
        <v>00101011111</v>
      </c>
      <c r="G361" s="10" t="str">
        <f>DEC2HEX(E361,3)</f>
        <v>15F</v>
      </c>
      <c r="H361" s="10" t="str">
        <f>IF(ROUND(D361/$B$6,0)&gt;$B$7,"YES","NO")</f>
        <v>NO</v>
      </c>
    </row>
    <row r="362" spans="1:8">
      <c r="A362" s="8">
        <v>352</v>
      </c>
      <c r="B362" s="9">
        <f>D361</f>
        <v>411.328125</v>
      </c>
      <c r="C362" s="9">
        <f>$B$6</f>
        <v>1.171875</v>
      </c>
      <c r="D362" s="9">
        <f>B362+C362</f>
        <v>412.5</v>
      </c>
      <c r="E362" s="8">
        <f>MIN($B$7,ROUND(D362/$B$6,0))</f>
        <v>352</v>
      </c>
      <c r="F362" s="8" t="str">
        <f>DEC2BIN(INT(E362/64),5)&amp;DEC2BIN(MOD(E362,64),6)</f>
        <v>00101100000</v>
      </c>
      <c r="G362" s="8" t="str">
        <f>DEC2HEX(E362,3)</f>
        <v>160</v>
      </c>
      <c r="H362" s="8" t="str">
        <f>IF(ROUND(D362/$B$6,0)&gt;$B$7,"YES","NO")</f>
        <v>NO</v>
      </c>
    </row>
    <row r="363" spans="1:8">
      <c r="A363" s="10">
        <v>353</v>
      </c>
      <c r="B363" s="11">
        <f>D362</f>
        <v>412.5</v>
      </c>
      <c r="C363" s="11">
        <f>$B$6</f>
        <v>1.171875</v>
      </c>
      <c r="D363" s="11">
        <f>B363+C363</f>
        <v>413.671875</v>
      </c>
      <c r="E363" s="10">
        <f>MIN($B$7,ROUND(D363/$B$6,0))</f>
        <v>353</v>
      </c>
      <c r="F363" s="10" t="str">
        <f>DEC2BIN(INT(E363/64),5)&amp;DEC2BIN(MOD(E363,64),6)</f>
        <v>00101100001</v>
      </c>
      <c r="G363" s="10" t="str">
        <f>DEC2HEX(E363,3)</f>
        <v>161</v>
      </c>
      <c r="H363" s="10" t="str">
        <f>IF(ROUND(D363/$B$6,0)&gt;$B$7,"YES","NO")</f>
        <v>NO</v>
      </c>
    </row>
    <row r="364" spans="1:8">
      <c r="A364" s="8">
        <v>354</v>
      </c>
      <c r="B364" s="9">
        <f>D363</f>
        <v>413.671875</v>
      </c>
      <c r="C364" s="9">
        <f>$B$6</f>
        <v>1.171875</v>
      </c>
      <c r="D364" s="9">
        <f>B364+C364</f>
        <v>414.84375</v>
      </c>
      <c r="E364" s="8">
        <f>MIN($B$7,ROUND(D364/$B$6,0))</f>
        <v>354</v>
      </c>
      <c r="F364" s="8" t="str">
        <f>DEC2BIN(INT(E364/64),5)&amp;DEC2BIN(MOD(E364,64),6)</f>
        <v>00101100010</v>
      </c>
      <c r="G364" s="8" t="str">
        <f>DEC2HEX(E364,3)</f>
        <v>162</v>
      </c>
      <c r="H364" s="8" t="str">
        <f>IF(ROUND(D364/$B$6,0)&gt;$B$7,"YES","NO")</f>
        <v>NO</v>
      </c>
    </row>
    <row r="365" spans="1:8">
      <c r="A365" s="10">
        <v>355</v>
      </c>
      <c r="B365" s="11">
        <f>D364</f>
        <v>414.84375</v>
      </c>
      <c r="C365" s="11">
        <f>$B$6</f>
        <v>1.171875</v>
      </c>
      <c r="D365" s="11">
        <f>B365+C365</f>
        <v>416.015625</v>
      </c>
      <c r="E365" s="10">
        <f>MIN($B$7,ROUND(D365/$B$6,0))</f>
        <v>355</v>
      </c>
      <c r="F365" s="10" t="str">
        <f>DEC2BIN(INT(E365/64),5)&amp;DEC2BIN(MOD(E365,64),6)</f>
        <v>00101100011</v>
      </c>
      <c r="G365" s="10" t="str">
        <f>DEC2HEX(E365,3)</f>
        <v>163</v>
      </c>
      <c r="H365" s="10" t="str">
        <f>IF(ROUND(D365/$B$6,0)&gt;$B$7,"YES","NO")</f>
        <v>NO</v>
      </c>
    </row>
    <row r="366" spans="1:8">
      <c r="A366" s="8">
        <v>356</v>
      </c>
      <c r="B366" s="9">
        <f>D365</f>
        <v>416.015625</v>
      </c>
      <c r="C366" s="9">
        <f>$B$6</f>
        <v>1.171875</v>
      </c>
      <c r="D366" s="9">
        <f>B366+C366</f>
        <v>417.1875</v>
      </c>
      <c r="E366" s="8">
        <f>MIN($B$7,ROUND(D366/$B$6,0))</f>
        <v>356</v>
      </c>
      <c r="F366" s="8" t="str">
        <f>DEC2BIN(INT(E366/64),5)&amp;DEC2BIN(MOD(E366,64),6)</f>
        <v>00101100100</v>
      </c>
      <c r="G366" s="8" t="str">
        <f>DEC2HEX(E366,3)</f>
        <v>164</v>
      </c>
      <c r="H366" s="8" t="str">
        <f>IF(ROUND(D366/$B$6,0)&gt;$B$7,"YES","NO")</f>
        <v>NO</v>
      </c>
    </row>
    <row r="367" spans="1:8">
      <c r="A367" s="10">
        <v>357</v>
      </c>
      <c r="B367" s="11">
        <f>D366</f>
        <v>417.1875</v>
      </c>
      <c r="C367" s="11">
        <f>$B$6</f>
        <v>1.171875</v>
      </c>
      <c r="D367" s="11">
        <f>B367+C367</f>
        <v>418.359375</v>
      </c>
      <c r="E367" s="10">
        <f>MIN($B$7,ROUND(D367/$B$6,0))</f>
        <v>357</v>
      </c>
      <c r="F367" s="10" t="str">
        <f>DEC2BIN(INT(E367/64),5)&amp;DEC2BIN(MOD(E367,64),6)</f>
        <v>00101100101</v>
      </c>
      <c r="G367" s="10" t="str">
        <f>DEC2HEX(E367,3)</f>
        <v>165</v>
      </c>
      <c r="H367" s="10" t="str">
        <f>IF(ROUND(D367/$B$6,0)&gt;$B$7,"YES","NO")</f>
        <v>NO</v>
      </c>
    </row>
    <row r="368" spans="1:8">
      <c r="A368" s="8">
        <v>358</v>
      </c>
      <c r="B368" s="9">
        <f>D367</f>
        <v>418.359375</v>
      </c>
      <c r="C368" s="9">
        <f>$B$6</f>
        <v>1.171875</v>
      </c>
      <c r="D368" s="9">
        <f>B368+C368</f>
        <v>419.53125</v>
      </c>
      <c r="E368" s="8">
        <f>MIN($B$7,ROUND(D368/$B$6,0))</f>
        <v>358</v>
      </c>
      <c r="F368" s="8" t="str">
        <f>DEC2BIN(INT(E368/64),5)&amp;DEC2BIN(MOD(E368,64),6)</f>
        <v>00101100110</v>
      </c>
      <c r="G368" s="8" t="str">
        <f>DEC2HEX(E368,3)</f>
        <v>166</v>
      </c>
      <c r="H368" s="8" t="str">
        <f>IF(ROUND(D368/$B$6,0)&gt;$B$7,"YES","NO")</f>
        <v>NO</v>
      </c>
    </row>
    <row r="369" spans="1:8">
      <c r="A369" s="10">
        <v>359</v>
      </c>
      <c r="B369" s="11">
        <f>D368</f>
        <v>419.53125</v>
      </c>
      <c r="C369" s="11">
        <f>$B$6</f>
        <v>1.171875</v>
      </c>
      <c r="D369" s="11">
        <f>B369+C369</f>
        <v>420.703125</v>
      </c>
      <c r="E369" s="10">
        <f>MIN($B$7,ROUND(D369/$B$6,0))</f>
        <v>359</v>
      </c>
      <c r="F369" s="10" t="str">
        <f>DEC2BIN(INT(E369/64),5)&amp;DEC2BIN(MOD(E369,64),6)</f>
        <v>00101100111</v>
      </c>
      <c r="G369" s="10" t="str">
        <f>DEC2HEX(E369,3)</f>
        <v>167</v>
      </c>
      <c r="H369" s="10" t="str">
        <f>IF(ROUND(D369/$B$6,0)&gt;$B$7,"YES","NO")</f>
        <v>NO</v>
      </c>
    </row>
    <row r="370" spans="1:8">
      <c r="A370" s="8">
        <v>360</v>
      </c>
      <c r="B370" s="9">
        <f>D369</f>
        <v>420.703125</v>
      </c>
      <c r="C370" s="9">
        <f>$B$6</f>
        <v>1.171875</v>
      </c>
      <c r="D370" s="9">
        <f>B370+C370</f>
        <v>421.875</v>
      </c>
      <c r="E370" s="8">
        <f>MIN($B$7,ROUND(D370/$B$6,0))</f>
        <v>360</v>
      </c>
      <c r="F370" s="8" t="str">
        <f>DEC2BIN(INT(E370/64),5)&amp;DEC2BIN(MOD(E370,64),6)</f>
        <v>00101101000</v>
      </c>
      <c r="G370" s="8" t="str">
        <f>DEC2HEX(E370,3)</f>
        <v>168</v>
      </c>
      <c r="H370" s="8" t="str">
        <f>IF(ROUND(D370/$B$6,0)&gt;$B$7,"YES","NO")</f>
        <v>NO</v>
      </c>
    </row>
    <row r="371" spans="1:8">
      <c r="A371" s="10">
        <v>361</v>
      </c>
      <c r="B371" s="11">
        <f>D370</f>
        <v>421.875</v>
      </c>
      <c r="C371" s="11">
        <f>$B$6</f>
        <v>1.171875</v>
      </c>
      <c r="D371" s="11">
        <f>B371+C371</f>
        <v>423.046875</v>
      </c>
      <c r="E371" s="10">
        <f>MIN($B$7,ROUND(D371/$B$6,0))</f>
        <v>361</v>
      </c>
      <c r="F371" s="10" t="str">
        <f>DEC2BIN(INT(E371/64),5)&amp;DEC2BIN(MOD(E371,64),6)</f>
        <v>00101101001</v>
      </c>
      <c r="G371" s="10" t="str">
        <f>DEC2HEX(E371,3)</f>
        <v>169</v>
      </c>
      <c r="H371" s="10" t="str">
        <f>IF(ROUND(D371/$B$6,0)&gt;$B$7,"YES","NO")</f>
        <v>NO</v>
      </c>
    </row>
    <row r="372" spans="1:8">
      <c r="A372" s="8">
        <v>362</v>
      </c>
      <c r="B372" s="9">
        <f>D371</f>
        <v>423.046875</v>
      </c>
      <c r="C372" s="9">
        <f>$B$6</f>
        <v>1.171875</v>
      </c>
      <c r="D372" s="9">
        <f>B372+C372</f>
        <v>424.21875</v>
      </c>
      <c r="E372" s="8">
        <f>MIN($B$7,ROUND(D372/$B$6,0))</f>
        <v>362</v>
      </c>
      <c r="F372" s="8" t="str">
        <f>DEC2BIN(INT(E372/64),5)&amp;DEC2BIN(MOD(E372,64),6)</f>
        <v>00101101010</v>
      </c>
      <c r="G372" s="8" t="str">
        <f>DEC2HEX(E372,3)</f>
        <v>16A</v>
      </c>
      <c r="H372" s="8" t="str">
        <f>IF(ROUND(D372/$B$6,0)&gt;$B$7,"YES","NO")</f>
        <v>NO</v>
      </c>
    </row>
    <row r="373" spans="1:8">
      <c r="A373" s="10">
        <v>363</v>
      </c>
      <c r="B373" s="11">
        <f>D372</f>
        <v>424.21875</v>
      </c>
      <c r="C373" s="11">
        <f>$B$6</f>
        <v>1.171875</v>
      </c>
      <c r="D373" s="11">
        <f>B373+C373</f>
        <v>425.390625</v>
      </c>
      <c r="E373" s="10">
        <f>MIN($B$7,ROUND(D373/$B$6,0))</f>
        <v>363</v>
      </c>
      <c r="F373" s="10" t="str">
        <f>DEC2BIN(INT(E373/64),5)&amp;DEC2BIN(MOD(E373,64),6)</f>
        <v>00101101011</v>
      </c>
      <c r="G373" s="10" t="str">
        <f>DEC2HEX(E373,3)</f>
        <v>16B</v>
      </c>
      <c r="H373" s="10" t="str">
        <f>IF(ROUND(D373/$B$6,0)&gt;$B$7,"YES","NO")</f>
        <v>NO</v>
      </c>
    </row>
    <row r="374" spans="1:8">
      <c r="A374" s="8">
        <v>364</v>
      </c>
      <c r="B374" s="9">
        <f>D373</f>
        <v>425.390625</v>
      </c>
      <c r="C374" s="9">
        <f>$B$6</f>
        <v>1.171875</v>
      </c>
      <c r="D374" s="9">
        <f>B374+C374</f>
        <v>426.5625</v>
      </c>
      <c r="E374" s="8">
        <f>MIN($B$7,ROUND(D374/$B$6,0))</f>
        <v>364</v>
      </c>
      <c r="F374" s="8" t="str">
        <f>DEC2BIN(INT(E374/64),5)&amp;DEC2BIN(MOD(E374,64),6)</f>
        <v>00101101100</v>
      </c>
      <c r="G374" s="8" t="str">
        <f>DEC2HEX(E374,3)</f>
        <v>16C</v>
      </c>
      <c r="H374" s="8" t="str">
        <f>IF(ROUND(D374/$B$6,0)&gt;$B$7,"YES","NO")</f>
        <v>NO</v>
      </c>
    </row>
    <row r="375" spans="1:8">
      <c r="A375" s="10">
        <v>365</v>
      </c>
      <c r="B375" s="11">
        <f>D374</f>
        <v>426.5625</v>
      </c>
      <c r="C375" s="11">
        <f>$B$6</f>
        <v>1.171875</v>
      </c>
      <c r="D375" s="11">
        <f>B375+C375</f>
        <v>427.734375</v>
      </c>
      <c r="E375" s="10">
        <f>MIN($B$7,ROUND(D375/$B$6,0))</f>
        <v>365</v>
      </c>
      <c r="F375" s="10" t="str">
        <f>DEC2BIN(INT(E375/64),5)&amp;DEC2BIN(MOD(E375,64),6)</f>
        <v>00101101101</v>
      </c>
      <c r="G375" s="10" t="str">
        <f>DEC2HEX(E375,3)</f>
        <v>16D</v>
      </c>
      <c r="H375" s="10" t="str">
        <f>IF(ROUND(D375/$B$6,0)&gt;$B$7,"YES","NO")</f>
        <v>NO</v>
      </c>
    </row>
    <row r="376" spans="1:8">
      <c r="A376" s="8">
        <v>366</v>
      </c>
      <c r="B376" s="9">
        <f>D375</f>
        <v>427.734375</v>
      </c>
      <c r="C376" s="9">
        <f>$B$6</f>
        <v>1.171875</v>
      </c>
      <c r="D376" s="9">
        <f>B376+C376</f>
        <v>428.90625</v>
      </c>
      <c r="E376" s="8">
        <f>MIN($B$7,ROUND(D376/$B$6,0))</f>
        <v>366</v>
      </c>
      <c r="F376" s="8" t="str">
        <f>DEC2BIN(INT(E376/64),5)&amp;DEC2BIN(MOD(E376,64),6)</f>
        <v>00101101110</v>
      </c>
      <c r="G376" s="8" t="str">
        <f>DEC2HEX(E376,3)</f>
        <v>16E</v>
      </c>
      <c r="H376" s="8" t="str">
        <f>IF(ROUND(D376/$B$6,0)&gt;$B$7,"YES","NO")</f>
        <v>NO</v>
      </c>
    </row>
    <row r="377" spans="1:8">
      <c r="A377" s="10">
        <v>367</v>
      </c>
      <c r="B377" s="11">
        <f>D376</f>
        <v>428.90625</v>
      </c>
      <c r="C377" s="11">
        <f>$B$6</f>
        <v>1.171875</v>
      </c>
      <c r="D377" s="11">
        <f>B377+C377</f>
        <v>430.078125</v>
      </c>
      <c r="E377" s="10">
        <f>MIN($B$7,ROUND(D377/$B$6,0))</f>
        <v>367</v>
      </c>
      <c r="F377" s="10" t="str">
        <f>DEC2BIN(INT(E377/64),5)&amp;DEC2BIN(MOD(E377,64),6)</f>
        <v>00101101111</v>
      </c>
      <c r="G377" s="10" t="str">
        <f>DEC2HEX(E377,3)</f>
        <v>16F</v>
      </c>
      <c r="H377" s="10" t="str">
        <f>IF(ROUND(D377/$B$6,0)&gt;$B$7,"YES","NO")</f>
        <v>NO</v>
      </c>
    </row>
    <row r="378" spans="1:8">
      <c r="A378" s="8">
        <v>368</v>
      </c>
      <c r="B378" s="9">
        <f>D377</f>
        <v>430.078125</v>
      </c>
      <c r="C378" s="9">
        <f>$B$6</f>
        <v>1.171875</v>
      </c>
      <c r="D378" s="9">
        <f>B378+C378</f>
        <v>431.25</v>
      </c>
      <c r="E378" s="8">
        <f>MIN($B$7,ROUND(D378/$B$6,0))</f>
        <v>368</v>
      </c>
      <c r="F378" s="8" t="str">
        <f>DEC2BIN(INT(E378/64),5)&amp;DEC2BIN(MOD(E378,64),6)</f>
        <v>00101110000</v>
      </c>
      <c r="G378" s="8" t="str">
        <f>DEC2HEX(E378,3)</f>
        <v>170</v>
      </c>
      <c r="H378" s="8" t="str">
        <f>IF(ROUND(D378/$B$6,0)&gt;$B$7,"YES","NO")</f>
        <v>NO</v>
      </c>
    </row>
    <row r="379" spans="1:8">
      <c r="A379" s="10">
        <v>369</v>
      </c>
      <c r="B379" s="11">
        <f>D378</f>
        <v>431.25</v>
      </c>
      <c r="C379" s="11">
        <f>$B$6</f>
        <v>1.171875</v>
      </c>
      <c r="D379" s="11">
        <f>B379+C379</f>
        <v>432.421875</v>
      </c>
      <c r="E379" s="10">
        <f>MIN($B$7,ROUND(D379/$B$6,0))</f>
        <v>369</v>
      </c>
      <c r="F379" s="10" t="str">
        <f>DEC2BIN(INT(E379/64),5)&amp;DEC2BIN(MOD(E379,64),6)</f>
        <v>00101110001</v>
      </c>
      <c r="G379" s="10" t="str">
        <f>DEC2HEX(E379,3)</f>
        <v>171</v>
      </c>
      <c r="H379" s="10" t="str">
        <f>IF(ROUND(D379/$B$6,0)&gt;$B$7,"YES","NO")</f>
        <v>NO</v>
      </c>
    </row>
    <row r="380" spans="1:8">
      <c r="A380" s="8">
        <v>370</v>
      </c>
      <c r="B380" s="9">
        <f>D379</f>
        <v>432.421875</v>
      </c>
      <c r="C380" s="9">
        <f>$B$6</f>
        <v>1.171875</v>
      </c>
      <c r="D380" s="9">
        <f>B380+C380</f>
        <v>433.59375</v>
      </c>
      <c r="E380" s="8">
        <f>MIN($B$7,ROUND(D380/$B$6,0))</f>
        <v>370</v>
      </c>
      <c r="F380" s="8" t="str">
        <f>DEC2BIN(INT(E380/64),5)&amp;DEC2BIN(MOD(E380,64),6)</f>
        <v>00101110010</v>
      </c>
      <c r="G380" s="8" t="str">
        <f>DEC2HEX(E380,3)</f>
        <v>172</v>
      </c>
      <c r="H380" s="8" t="str">
        <f>IF(ROUND(D380/$B$6,0)&gt;$B$7,"YES","NO")</f>
        <v>NO</v>
      </c>
    </row>
    <row r="381" spans="1:8">
      <c r="A381" s="10">
        <v>371</v>
      </c>
      <c r="B381" s="11">
        <f>D380</f>
        <v>433.59375</v>
      </c>
      <c r="C381" s="11">
        <f>$B$6</f>
        <v>1.171875</v>
      </c>
      <c r="D381" s="11">
        <f>B381+C381</f>
        <v>434.765625</v>
      </c>
      <c r="E381" s="10">
        <f>MIN($B$7,ROUND(D381/$B$6,0))</f>
        <v>371</v>
      </c>
      <c r="F381" s="10" t="str">
        <f>DEC2BIN(INT(E381/64),5)&amp;DEC2BIN(MOD(E381,64),6)</f>
        <v>00101110011</v>
      </c>
      <c r="G381" s="10" t="str">
        <f>DEC2HEX(E381,3)</f>
        <v>173</v>
      </c>
      <c r="H381" s="10" t="str">
        <f>IF(ROUND(D381/$B$6,0)&gt;$B$7,"YES","NO")</f>
        <v>NO</v>
      </c>
    </row>
    <row r="382" spans="1:8">
      <c r="A382" s="8">
        <v>372</v>
      </c>
      <c r="B382" s="9">
        <f>D381</f>
        <v>434.765625</v>
      </c>
      <c r="C382" s="9">
        <f>$B$6</f>
        <v>1.171875</v>
      </c>
      <c r="D382" s="9">
        <f>B382+C382</f>
        <v>435.9375</v>
      </c>
      <c r="E382" s="8">
        <f>MIN($B$7,ROUND(D382/$B$6,0))</f>
        <v>372</v>
      </c>
      <c r="F382" s="8" t="str">
        <f>DEC2BIN(INT(E382/64),5)&amp;DEC2BIN(MOD(E382,64),6)</f>
        <v>00101110100</v>
      </c>
      <c r="G382" s="8" t="str">
        <f>DEC2HEX(E382,3)</f>
        <v>174</v>
      </c>
      <c r="H382" s="8" t="str">
        <f>IF(ROUND(D382/$B$6,0)&gt;$B$7,"YES","NO")</f>
        <v>NO</v>
      </c>
    </row>
    <row r="383" spans="1:8">
      <c r="A383" s="10">
        <v>373</v>
      </c>
      <c r="B383" s="11">
        <f>D382</f>
        <v>435.9375</v>
      </c>
      <c r="C383" s="11">
        <f>$B$6</f>
        <v>1.171875</v>
      </c>
      <c r="D383" s="11">
        <f>B383+C383</f>
        <v>437.109375</v>
      </c>
      <c r="E383" s="10">
        <f>MIN($B$7,ROUND(D383/$B$6,0))</f>
        <v>373</v>
      </c>
      <c r="F383" s="10" t="str">
        <f>DEC2BIN(INT(E383/64),5)&amp;DEC2BIN(MOD(E383,64),6)</f>
        <v>00101110101</v>
      </c>
      <c r="G383" s="10" t="str">
        <f>DEC2HEX(E383,3)</f>
        <v>175</v>
      </c>
      <c r="H383" s="10" t="str">
        <f>IF(ROUND(D383/$B$6,0)&gt;$B$7,"YES","NO")</f>
        <v>NO</v>
      </c>
    </row>
    <row r="384" spans="1:8">
      <c r="A384" s="8">
        <v>374</v>
      </c>
      <c r="B384" s="9">
        <f>D383</f>
        <v>437.109375</v>
      </c>
      <c r="C384" s="9">
        <f>$B$6</f>
        <v>1.171875</v>
      </c>
      <c r="D384" s="9">
        <f>B384+C384</f>
        <v>438.28125</v>
      </c>
      <c r="E384" s="8">
        <f>MIN($B$7,ROUND(D384/$B$6,0))</f>
        <v>374</v>
      </c>
      <c r="F384" s="8" t="str">
        <f>DEC2BIN(INT(E384/64),5)&amp;DEC2BIN(MOD(E384,64),6)</f>
        <v>00101110110</v>
      </c>
      <c r="G384" s="8" t="str">
        <f>DEC2HEX(E384,3)</f>
        <v>176</v>
      </c>
      <c r="H384" s="8" t="str">
        <f>IF(ROUND(D384/$B$6,0)&gt;$B$7,"YES","NO")</f>
        <v>NO</v>
      </c>
    </row>
    <row r="385" spans="1:8">
      <c r="A385" s="10">
        <v>375</v>
      </c>
      <c r="B385" s="11">
        <f>D384</f>
        <v>438.28125</v>
      </c>
      <c r="C385" s="11">
        <f>$B$6</f>
        <v>1.171875</v>
      </c>
      <c r="D385" s="11">
        <f>B385+C385</f>
        <v>439.453125</v>
      </c>
      <c r="E385" s="10">
        <f>MIN($B$7,ROUND(D385/$B$6,0))</f>
        <v>375</v>
      </c>
      <c r="F385" s="10" t="str">
        <f>DEC2BIN(INT(E385/64),5)&amp;DEC2BIN(MOD(E385,64),6)</f>
        <v>00101110111</v>
      </c>
      <c r="G385" s="10" t="str">
        <f>DEC2HEX(E385,3)</f>
        <v>177</v>
      </c>
      <c r="H385" s="10" t="str">
        <f>IF(ROUND(D385/$B$6,0)&gt;$B$7,"YES","NO")</f>
        <v>NO</v>
      </c>
    </row>
    <row r="386" spans="1:8">
      <c r="A386" s="8">
        <v>376</v>
      </c>
      <c r="B386" s="9">
        <f>D385</f>
        <v>439.453125</v>
      </c>
      <c r="C386" s="9">
        <f>$B$6</f>
        <v>1.171875</v>
      </c>
      <c r="D386" s="9">
        <f>B386+C386</f>
        <v>440.625</v>
      </c>
      <c r="E386" s="8">
        <f>MIN($B$7,ROUND(D386/$B$6,0))</f>
        <v>376</v>
      </c>
      <c r="F386" s="8" t="str">
        <f>DEC2BIN(INT(E386/64),5)&amp;DEC2BIN(MOD(E386,64),6)</f>
        <v>00101111000</v>
      </c>
      <c r="G386" s="8" t="str">
        <f>DEC2HEX(E386,3)</f>
        <v>178</v>
      </c>
      <c r="H386" s="8" t="str">
        <f>IF(ROUND(D386/$B$6,0)&gt;$B$7,"YES","NO")</f>
        <v>NO</v>
      </c>
    </row>
    <row r="387" spans="1:8">
      <c r="A387" s="10">
        <v>377</v>
      </c>
      <c r="B387" s="11">
        <f>D386</f>
        <v>440.625</v>
      </c>
      <c r="C387" s="11">
        <f>$B$6</f>
        <v>1.171875</v>
      </c>
      <c r="D387" s="11">
        <f>B387+C387</f>
        <v>441.796875</v>
      </c>
      <c r="E387" s="10">
        <f>MIN($B$7,ROUND(D387/$B$6,0))</f>
        <v>377</v>
      </c>
      <c r="F387" s="10" t="str">
        <f>DEC2BIN(INT(E387/64),5)&amp;DEC2BIN(MOD(E387,64),6)</f>
        <v>00101111001</v>
      </c>
      <c r="G387" s="10" t="str">
        <f>DEC2HEX(E387,3)</f>
        <v>179</v>
      </c>
      <c r="H387" s="10" t="str">
        <f>IF(ROUND(D387/$B$6,0)&gt;$B$7,"YES","NO")</f>
        <v>NO</v>
      </c>
    </row>
    <row r="388" spans="1:8">
      <c r="A388" s="8">
        <v>378</v>
      </c>
      <c r="B388" s="9">
        <f>D387</f>
        <v>441.796875</v>
      </c>
      <c r="C388" s="9">
        <f>$B$6</f>
        <v>1.171875</v>
      </c>
      <c r="D388" s="9">
        <f>B388+C388</f>
        <v>442.96875</v>
      </c>
      <c r="E388" s="8">
        <f>MIN($B$7,ROUND(D388/$B$6,0))</f>
        <v>378</v>
      </c>
      <c r="F388" s="8" t="str">
        <f>DEC2BIN(INT(E388/64),5)&amp;DEC2BIN(MOD(E388,64),6)</f>
        <v>00101111010</v>
      </c>
      <c r="G388" s="8" t="str">
        <f>DEC2HEX(E388,3)</f>
        <v>17A</v>
      </c>
      <c r="H388" s="8" t="str">
        <f>IF(ROUND(D388/$B$6,0)&gt;$B$7,"YES","NO")</f>
        <v>NO</v>
      </c>
    </row>
    <row r="389" spans="1:8">
      <c r="A389" s="10">
        <v>379</v>
      </c>
      <c r="B389" s="11">
        <f>D388</f>
        <v>442.96875</v>
      </c>
      <c r="C389" s="11">
        <f>$B$6</f>
        <v>1.171875</v>
      </c>
      <c r="D389" s="11">
        <f>B389+C389</f>
        <v>444.140625</v>
      </c>
      <c r="E389" s="10">
        <f>MIN($B$7,ROUND(D389/$B$6,0))</f>
        <v>379</v>
      </c>
      <c r="F389" s="10" t="str">
        <f>DEC2BIN(INT(E389/64),5)&amp;DEC2BIN(MOD(E389,64),6)</f>
        <v>00101111011</v>
      </c>
      <c r="G389" s="10" t="str">
        <f>DEC2HEX(E389,3)</f>
        <v>17B</v>
      </c>
      <c r="H389" s="10" t="str">
        <f>IF(ROUND(D389/$B$6,0)&gt;$B$7,"YES","NO")</f>
        <v>NO</v>
      </c>
    </row>
    <row r="390" spans="1:8">
      <c r="A390" s="8">
        <v>380</v>
      </c>
      <c r="B390" s="9">
        <f>D389</f>
        <v>444.140625</v>
      </c>
      <c r="C390" s="9">
        <f>$B$6</f>
        <v>1.171875</v>
      </c>
      <c r="D390" s="9">
        <f>B390+C390</f>
        <v>445.3125</v>
      </c>
      <c r="E390" s="8">
        <f>MIN($B$7,ROUND(D390/$B$6,0))</f>
        <v>380</v>
      </c>
      <c r="F390" s="8" t="str">
        <f>DEC2BIN(INT(E390/64),5)&amp;DEC2BIN(MOD(E390,64),6)</f>
        <v>00101111100</v>
      </c>
      <c r="G390" s="8" t="str">
        <f>DEC2HEX(E390,3)</f>
        <v>17C</v>
      </c>
      <c r="H390" s="8" t="str">
        <f>IF(ROUND(D390/$B$6,0)&gt;$B$7,"YES","NO")</f>
        <v>NO</v>
      </c>
    </row>
    <row r="391" spans="1:8">
      <c r="A391" s="10">
        <v>381</v>
      </c>
      <c r="B391" s="11">
        <f>D390</f>
        <v>445.3125</v>
      </c>
      <c r="C391" s="11">
        <f>$B$6</f>
        <v>1.171875</v>
      </c>
      <c r="D391" s="11">
        <f>B391+C391</f>
        <v>446.484375</v>
      </c>
      <c r="E391" s="10">
        <f>MIN($B$7,ROUND(D391/$B$6,0))</f>
        <v>381</v>
      </c>
      <c r="F391" s="10" t="str">
        <f>DEC2BIN(INT(E391/64),5)&amp;DEC2BIN(MOD(E391,64),6)</f>
        <v>00101111101</v>
      </c>
      <c r="G391" s="10" t="str">
        <f>DEC2HEX(E391,3)</f>
        <v>17D</v>
      </c>
      <c r="H391" s="10" t="str">
        <f>IF(ROUND(D391/$B$6,0)&gt;$B$7,"YES","NO")</f>
        <v>NO</v>
      </c>
    </row>
    <row r="392" spans="1:8">
      <c r="A392" s="8">
        <v>382</v>
      </c>
      <c r="B392" s="9">
        <f>D391</f>
        <v>446.484375</v>
      </c>
      <c r="C392" s="9">
        <f>$B$6</f>
        <v>1.171875</v>
      </c>
      <c r="D392" s="9">
        <f>B392+C392</f>
        <v>447.65625</v>
      </c>
      <c r="E392" s="8">
        <f>MIN($B$7,ROUND(D392/$B$6,0))</f>
        <v>382</v>
      </c>
      <c r="F392" s="8" t="str">
        <f>DEC2BIN(INT(E392/64),5)&amp;DEC2BIN(MOD(E392,64),6)</f>
        <v>00101111110</v>
      </c>
      <c r="G392" s="8" t="str">
        <f>DEC2HEX(E392,3)</f>
        <v>17E</v>
      </c>
      <c r="H392" s="8" t="str">
        <f>IF(ROUND(D392/$B$6,0)&gt;$B$7,"YES","NO")</f>
        <v>NO</v>
      </c>
    </row>
    <row r="393" spans="1:8">
      <c r="A393" s="10">
        <v>383</v>
      </c>
      <c r="B393" s="11">
        <f>D392</f>
        <v>447.65625</v>
      </c>
      <c r="C393" s="11">
        <f>$B$6</f>
        <v>1.171875</v>
      </c>
      <c r="D393" s="11">
        <f>B393+C393</f>
        <v>448.828125</v>
      </c>
      <c r="E393" s="10">
        <f>MIN($B$7,ROUND(D393/$B$6,0))</f>
        <v>383</v>
      </c>
      <c r="F393" s="10" t="str">
        <f>DEC2BIN(INT(E393/64),5)&amp;DEC2BIN(MOD(E393,64),6)</f>
        <v>00101111111</v>
      </c>
      <c r="G393" s="10" t="str">
        <f>DEC2HEX(E393,3)</f>
        <v>17F</v>
      </c>
      <c r="H393" s="10" t="str">
        <f>IF(ROUND(D393/$B$6,0)&gt;$B$7,"YES","NO")</f>
        <v>NO</v>
      </c>
    </row>
    <row r="394" spans="1:8">
      <c r="A394" s="8">
        <v>384</v>
      </c>
      <c r="B394" s="9">
        <f>D393</f>
        <v>448.828125</v>
      </c>
      <c r="C394" s="9">
        <f>$B$6</f>
        <v>1.171875</v>
      </c>
      <c r="D394" s="9">
        <f>B394+C394</f>
        <v>450</v>
      </c>
      <c r="E394" s="8">
        <f>MIN($B$7,ROUND(D394/$B$6,0))</f>
        <v>384</v>
      </c>
      <c r="F394" s="8" t="str">
        <f>DEC2BIN(INT(E394/64),5)&amp;DEC2BIN(MOD(E394,64),6)</f>
        <v>00110000000</v>
      </c>
      <c r="G394" s="8" t="str">
        <f>DEC2HEX(E394,3)</f>
        <v>180</v>
      </c>
      <c r="H394" s="8" t="str">
        <f>IF(ROUND(D394/$B$6,0)&gt;$B$7,"YES","NO")</f>
        <v>NO</v>
      </c>
    </row>
    <row r="395" spans="1:8">
      <c r="A395" s="10">
        <v>385</v>
      </c>
      <c r="B395" s="11">
        <f>D394</f>
        <v>450</v>
      </c>
      <c r="C395" s="11">
        <f>$B$6</f>
        <v>1.171875</v>
      </c>
      <c r="D395" s="11">
        <f>B395+C395</f>
        <v>451.171875</v>
      </c>
      <c r="E395" s="10">
        <f>MIN($B$7,ROUND(D395/$B$6,0))</f>
        <v>385</v>
      </c>
      <c r="F395" s="10" t="str">
        <f>DEC2BIN(INT(E395/64),5)&amp;DEC2BIN(MOD(E395,64),6)</f>
        <v>00110000001</v>
      </c>
      <c r="G395" s="10" t="str">
        <f>DEC2HEX(E395,3)</f>
        <v>181</v>
      </c>
      <c r="H395" s="10" t="str">
        <f>IF(ROUND(D395/$B$6,0)&gt;$B$7,"YES","NO")</f>
        <v>NO</v>
      </c>
    </row>
    <row r="396" spans="1:8">
      <c r="A396" s="8">
        <v>386</v>
      </c>
      <c r="B396" s="9">
        <f>D395</f>
        <v>451.171875</v>
      </c>
      <c r="C396" s="9">
        <f>$B$6</f>
        <v>1.171875</v>
      </c>
      <c r="D396" s="9">
        <f>B396+C396</f>
        <v>452.34375</v>
      </c>
      <c r="E396" s="8">
        <f>MIN($B$7,ROUND(D396/$B$6,0))</f>
        <v>386</v>
      </c>
      <c r="F396" s="8" t="str">
        <f>DEC2BIN(INT(E396/64),5)&amp;DEC2BIN(MOD(E396,64),6)</f>
        <v>00110000010</v>
      </c>
      <c r="G396" s="8" t="str">
        <f>DEC2HEX(E396,3)</f>
        <v>182</v>
      </c>
      <c r="H396" s="8" t="str">
        <f>IF(ROUND(D396/$B$6,0)&gt;$B$7,"YES","NO")</f>
        <v>NO</v>
      </c>
    </row>
    <row r="397" spans="1:8">
      <c r="A397" s="10">
        <v>387</v>
      </c>
      <c r="B397" s="11">
        <f>D396</f>
        <v>452.34375</v>
      </c>
      <c r="C397" s="11">
        <f>$B$6</f>
        <v>1.171875</v>
      </c>
      <c r="D397" s="11">
        <f>B397+C397</f>
        <v>453.515625</v>
      </c>
      <c r="E397" s="10">
        <f>MIN($B$7,ROUND(D397/$B$6,0))</f>
        <v>387</v>
      </c>
      <c r="F397" s="10" t="str">
        <f>DEC2BIN(INT(E397/64),5)&amp;DEC2BIN(MOD(E397,64),6)</f>
        <v>00110000011</v>
      </c>
      <c r="G397" s="10" t="str">
        <f>DEC2HEX(E397,3)</f>
        <v>183</v>
      </c>
      <c r="H397" s="10" t="str">
        <f>IF(ROUND(D397/$B$6,0)&gt;$B$7,"YES","NO")</f>
        <v>NO</v>
      </c>
    </row>
    <row r="398" spans="1:8">
      <c r="A398" s="8">
        <v>388</v>
      </c>
      <c r="B398" s="9">
        <f>D397</f>
        <v>453.515625</v>
      </c>
      <c r="C398" s="9">
        <f>$B$6</f>
        <v>1.171875</v>
      </c>
      <c r="D398" s="9">
        <f>B398+C398</f>
        <v>454.6875</v>
      </c>
      <c r="E398" s="8">
        <f>MIN($B$7,ROUND(D398/$B$6,0))</f>
        <v>388</v>
      </c>
      <c r="F398" s="8" t="str">
        <f>DEC2BIN(INT(E398/64),5)&amp;DEC2BIN(MOD(E398,64),6)</f>
        <v>00110000100</v>
      </c>
      <c r="G398" s="8" t="str">
        <f>DEC2HEX(E398,3)</f>
        <v>184</v>
      </c>
      <c r="H398" s="8" t="str">
        <f>IF(ROUND(D398/$B$6,0)&gt;$B$7,"YES","NO")</f>
        <v>NO</v>
      </c>
    </row>
    <row r="399" spans="1:8">
      <c r="A399" s="10">
        <v>389</v>
      </c>
      <c r="B399" s="11">
        <f>D398</f>
        <v>454.6875</v>
      </c>
      <c r="C399" s="11">
        <f>$B$6</f>
        <v>1.171875</v>
      </c>
      <c r="D399" s="11">
        <f>B399+C399</f>
        <v>455.859375</v>
      </c>
      <c r="E399" s="10">
        <f>MIN($B$7,ROUND(D399/$B$6,0))</f>
        <v>389</v>
      </c>
      <c r="F399" s="10" t="str">
        <f>DEC2BIN(INT(E399/64),5)&amp;DEC2BIN(MOD(E399,64),6)</f>
        <v>00110000101</v>
      </c>
      <c r="G399" s="10" t="str">
        <f>DEC2HEX(E399,3)</f>
        <v>185</v>
      </c>
      <c r="H399" s="10" t="str">
        <f>IF(ROUND(D399/$B$6,0)&gt;$B$7,"YES","NO")</f>
        <v>NO</v>
      </c>
    </row>
    <row r="400" spans="1:8">
      <c r="A400" s="8">
        <v>390</v>
      </c>
      <c r="B400" s="9">
        <f>D399</f>
        <v>455.859375</v>
      </c>
      <c r="C400" s="9">
        <f>$B$6</f>
        <v>1.171875</v>
      </c>
      <c r="D400" s="9">
        <f>B400+C400</f>
        <v>457.03125</v>
      </c>
      <c r="E400" s="8">
        <f>MIN($B$7,ROUND(D400/$B$6,0))</f>
        <v>390</v>
      </c>
      <c r="F400" s="8" t="str">
        <f>DEC2BIN(INT(E400/64),5)&amp;DEC2BIN(MOD(E400,64),6)</f>
        <v>00110000110</v>
      </c>
      <c r="G400" s="8" t="str">
        <f>DEC2HEX(E400,3)</f>
        <v>186</v>
      </c>
      <c r="H400" s="8" t="str">
        <f>IF(ROUND(D400/$B$6,0)&gt;$B$7,"YES","NO")</f>
        <v>NO</v>
      </c>
    </row>
    <row r="401" spans="1:8">
      <c r="A401" s="10">
        <v>391</v>
      </c>
      <c r="B401" s="11">
        <f>D400</f>
        <v>457.03125</v>
      </c>
      <c r="C401" s="11">
        <f>$B$6</f>
        <v>1.171875</v>
      </c>
      <c r="D401" s="11">
        <f>B401+C401</f>
        <v>458.203125</v>
      </c>
      <c r="E401" s="10">
        <f>MIN($B$7,ROUND(D401/$B$6,0))</f>
        <v>391</v>
      </c>
      <c r="F401" s="10" t="str">
        <f>DEC2BIN(INT(E401/64),5)&amp;DEC2BIN(MOD(E401,64),6)</f>
        <v>00110000111</v>
      </c>
      <c r="G401" s="10" t="str">
        <f>DEC2HEX(E401,3)</f>
        <v>187</v>
      </c>
      <c r="H401" s="10" t="str">
        <f>IF(ROUND(D401/$B$6,0)&gt;$B$7,"YES","NO")</f>
        <v>NO</v>
      </c>
    </row>
    <row r="402" spans="1:8">
      <c r="A402" s="8">
        <v>392</v>
      </c>
      <c r="B402" s="9">
        <f>D401</f>
        <v>458.203125</v>
      </c>
      <c r="C402" s="9">
        <f>$B$6</f>
        <v>1.171875</v>
      </c>
      <c r="D402" s="9">
        <f>B402+C402</f>
        <v>459.375</v>
      </c>
      <c r="E402" s="8">
        <f>MIN($B$7,ROUND(D402/$B$6,0))</f>
        <v>392</v>
      </c>
      <c r="F402" s="8" t="str">
        <f>DEC2BIN(INT(E402/64),5)&amp;DEC2BIN(MOD(E402,64),6)</f>
        <v>00110001000</v>
      </c>
      <c r="G402" s="8" t="str">
        <f>DEC2HEX(E402,3)</f>
        <v>188</v>
      </c>
      <c r="H402" s="8" t="str">
        <f>IF(ROUND(D402/$B$6,0)&gt;$B$7,"YES","NO")</f>
        <v>NO</v>
      </c>
    </row>
    <row r="403" spans="1:8">
      <c r="A403" s="10">
        <v>393</v>
      </c>
      <c r="B403" s="11">
        <f>D402</f>
        <v>459.375</v>
      </c>
      <c r="C403" s="11">
        <f>$B$6</f>
        <v>1.171875</v>
      </c>
      <c r="D403" s="11">
        <f>B403+C403</f>
        <v>460.546875</v>
      </c>
      <c r="E403" s="10">
        <f>MIN($B$7,ROUND(D403/$B$6,0))</f>
        <v>393</v>
      </c>
      <c r="F403" s="10" t="str">
        <f>DEC2BIN(INT(E403/64),5)&amp;DEC2BIN(MOD(E403,64),6)</f>
        <v>00110001001</v>
      </c>
      <c r="G403" s="10" t="str">
        <f>DEC2HEX(E403,3)</f>
        <v>189</v>
      </c>
      <c r="H403" s="10" t="str">
        <f>IF(ROUND(D403/$B$6,0)&gt;$B$7,"YES","NO")</f>
        <v>NO</v>
      </c>
    </row>
    <row r="404" spans="1:8">
      <c r="A404" s="8">
        <v>394</v>
      </c>
      <c r="B404" s="9">
        <f>D403</f>
        <v>460.546875</v>
      </c>
      <c r="C404" s="9">
        <f>$B$6</f>
        <v>1.171875</v>
      </c>
      <c r="D404" s="9">
        <f>B404+C404</f>
        <v>461.71875</v>
      </c>
      <c r="E404" s="8">
        <f>MIN($B$7,ROUND(D404/$B$6,0))</f>
        <v>394</v>
      </c>
      <c r="F404" s="8" t="str">
        <f>DEC2BIN(INT(E404/64),5)&amp;DEC2BIN(MOD(E404,64),6)</f>
        <v>00110001010</v>
      </c>
      <c r="G404" s="8" t="str">
        <f>DEC2HEX(E404,3)</f>
        <v>18A</v>
      </c>
      <c r="H404" s="8" t="str">
        <f>IF(ROUND(D404/$B$6,0)&gt;$B$7,"YES","NO")</f>
        <v>NO</v>
      </c>
    </row>
    <row r="405" spans="1:8">
      <c r="A405" s="10">
        <v>395</v>
      </c>
      <c r="B405" s="11">
        <f>D404</f>
        <v>461.71875</v>
      </c>
      <c r="C405" s="11">
        <f>$B$6</f>
        <v>1.171875</v>
      </c>
      <c r="D405" s="11">
        <f>B405+C405</f>
        <v>462.890625</v>
      </c>
      <c r="E405" s="10">
        <f>MIN($B$7,ROUND(D405/$B$6,0))</f>
        <v>395</v>
      </c>
      <c r="F405" s="10" t="str">
        <f>DEC2BIN(INT(E405/64),5)&amp;DEC2BIN(MOD(E405,64),6)</f>
        <v>00110001011</v>
      </c>
      <c r="G405" s="10" t="str">
        <f>DEC2HEX(E405,3)</f>
        <v>18B</v>
      </c>
      <c r="H405" s="10" t="str">
        <f>IF(ROUND(D405/$B$6,0)&gt;$B$7,"YES","NO")</f>
        <v>NO</v>
      </c>
    </row>
    <row r="406" spans="1:8">
      <c r="A406" s="8">
        <v>396</v>
      </c>
      <c r="B406" s="9">
        <f>D405</f>
        <v>462.890625</v>
      </c>
      <c r="C406" s="9">
        <f>$B$6</f>
        <v>1.171875</v>
      </c>
      <c r="D406" s="9">
        <f>B406+C406</f>
        <v>464.0625</v>
      </c>
      <c r="E406" s="8">
        <f>MIN($B$7,ROUND(D406/$B$6,0))</f>
        <v>396</v>
      </c>
      <c r="F406" s="8" t="str">
        <f>DEC2BIN(INT(E406/64),5)&amp;DEC2BIN(MOD(E406,64),6)</f>
        <v>00110001100</v>
      </c>
      <c r="G406" s="8" t="str">
        <f>DEC2HEX(E406,3)</f>
        <v>18C</v>
      </c>
      <c r="H406" s="8" t="str">
        <f>IF(ROUND(D406/$B$6,0)&gt;$B$7,"YES","NO")</f>
        <v>NO</v>
      </c>
    </row>
    <row r="407" spans="1:8">
      <c r="A407" s="10">
        <v>397</v>
      </c>
      <c r="B407" s="11">
        <f>D406</f>
        <v>464.0625</v>
      </c>
      <c r="C407" s="11">
        <f>$B$6</f>
        <v>1.171875</v>
      </c>
      <c r="D407" s="11">
        <f>B407+C407</f>
        <v>465.234375</v>
      </c>
      <c r="E407" s="10">
        <f>MIN($B$7,ROUND(D407/$B$6,0))</f>
        <v>397</v>
      </c>
      <c r="F407" s="10" t="str">
        <f>DEC2BIN(INT(E407/64),5)&amp;DEC2BIN(MOD(E407,64),6)</f>
        <v>00110001101</v>
      </c>
      <c r="G407" s="10" t="str">
        <f>DEC2HEX(E407,3)</f>
        <v>18D</v>
      </c>
      <c r="H407" s="10" t="str">
        <f>IF(ROUND(D407/$B$6,0)&gt;$B$7,"YES","NO")</f>
        <v>NO</v>
      </c>
    </row>
    <row r="408" spans="1:8">
      <c r="A408" s="8">
        <v>398</v>
      </c>
      <c r="B408" s="9">
        <f>D407</f>
        <v>465.234375</v>
      </c>
      <c r="C408" s="9">
        <f>$B$6</f>
        <v>1.171875</v>
      </c>
      <c r="D408" s="9">
        <f>B408+C408</f>
        <v>466.40625</v>
      </c>
      <c r="E408" s="8">
        <f>MIN($B$7,ROUND(D408/$B$6,0))</f>
        <v>398</v>
      </c>
      <c r="F408" s="8" t="str">
        <f>DEC2BIN(INT(E408/64),5)&amp;DEC2BIN(MOD(E408,64),6)</f>
        <v>00110001110</v>
      </c>
      <c r="G408" s="8" t="str">
        <f>DEC2HEX(E408,3)</f>
        <v>18E</v>
      </c>
      <c r="H408" s="8" t="str">
        <f>IF(ROUND(D408/$B$6,0)&gt;$B$7,"YES","NO")</f>
        <v>NO</v>
      </c>
    </row>
    <row r="409" spans="1:8">
      <c r="A409" s="10">
        <v>399</v>
      </c>
      <c r="B409" s="11">
        <f>D408</f>
        <v>466.40625</v>
      </c>
      <c r="C409" s="11">
        <f>$B$6</f>
        <v>1.171875</v>
      </c>
      <c r="D409" s="11">
        <f>B409+C409</f>
        <v>467.578125</v>
      </c>
      <c r="E409" s="10">
        <f>MIN($B$7,ROUND(D409/$B$6,0))</f>
        <v>399</v>
      </c>
      <c r="F409" s="10" t="str">
        <f>DEC2BIN(INT(E409/64),5)&amp;DEC2BIN(MOD(E409,64),6)</f>
        <v>00110001111</v>
      </c>
      <c r="G409" s="10" t="str">
        <f>DEC2HEX(E409,3)</f>
        <v>18F</v>
      </c>
      <c r="H409" s="10" t="str">
        <f>IF(ROUND(D409/$B$6,0)&gt;$B$7,"YES","NO")</f>
        <v>NO</v>
      </c>
    </row>
    <row r="410" spans="1:8">
      <c r="A410" s="8">
        <v>400</v>
      </c>
      <c r="B410" s="9">
        <f>D409</f>
        <v>467.578125</v>
      </c>
      <c r="C410" s="9">
        <f>$B$6</f>
        <v>1.171875</v>
      </c>
      <c r="D410" s="9">
        <f>B410+C410</f>
        <v>468.75</v>
      </c>
      <c r="E410" s="8">
        <f>MIN($B$7,ROUND(D410/$B$6,0))</f>
        <v>400</v>
      </c>
      <c r="F410" s="8" t="str">
        <f>DEC2BIN(INT(E410/64),5)&amp;DEC2BIN(MOD(E410,64),6)</f>
        <v>00110010000</v>
      </c>
      <c r="G410" s="8" t="str">
        <f>DEC2HEX(E410,3)</f>
        <v>190</v>
      </c>
      <c r="H410" s="8" t="str">
        <f>IF(ROUND(D410/$B$6,0)&gt;$B$7,"YES","NO")</f>
        <v>NO</v>
      </c>
    </row>
    <row r="411" spans="1:8">
      <c r="A411" s="10">
        <v>401</v>
      </c>
      <c r="B411" s="11">
        <f>D410</f>
        <v>468.75</v>
      </c>
      <c r="C411" s="11">
        <f>$B$6</f>
        <v>1.171875</v>
      </c>
      <c r="D411" s="11">
        <f>B411+C411</f>
        <v>469.921875</v>
      </c>
      <c r="E411" s="10">
        <f>MIN($B$7,ROUND(D411/$B$6,0))</f>
        <v>401</v>
      </c>
      <c r="F411" s="10" t="str">
        <f>DEC2BIN(INT(E411/64),5)&amp;DEC2BIN(MOD(E411,64),6)</f>
        <v>00110010001</v>
      </c>
      <c r="G411" s="10" t="str">
        <f>DEC2HEX(E411,3)</f>
        <v>191</v>
      </c>
      <c r="H411" s="10" t="str">
        <f>IF(ROUND(D411/$B$6,0)&gt;$B$7,"YES","NO")</f>
        <v>NO</v>
      </c>
    </row>
    <row r="412" spans="1:8">
      <c r="A412" s="8">
        <v>402</v>
      </c>
      <c r="B412" s="9">
        <f>D411</f>
        <v>469.921875</v>
      </c>
      <c r="C412" s="9">
        <f>$B$6</f>
        <v>1.171875</v>
      </c>
      <c r="D412" s="9">
        <f>B412+C412</f>
        <v>471.09375</v>
      </c>
      <c r="E412" s="8">
        <f>MIN($B$7,ROUND(D412/$B$6,0))</f>
        <v>402</v>
      </c>
      <c r="F412" s="8" t="str">
        <f>DEC2BIN(INT(E412/64),5)&amp;DEC2BIN(MOD(E412,64),6)</f>
        <v>00110010010</v>
      </c>
      <c r="G412" s="8" t="str">
        <f>DEC2HEX(E412,3)</f>
        <v>192</v>
      </c>
      <c r="H412" s="8" t="str">
        <f>IF(ROUND(D412/$B$6,0)&gt;$B$7,"YES","NO")</f>
        <v>NO</v>
      </c>
    </row>
    <row r="413" spans="1:8">
      <c r="A413" s="10">
        <v>403</v>
      </c>
      <c r="B413" s="11">
        <f>D412</f>
        <v>471.09375</v>
      </c>
      <c r="C413" s="11">
        <f>$B$6</f>
        <v>1.171875</v>
      </c>
      <c r="D413" s="11">
        <f>B413+C413</f>
        <v>472.265625</v>
      </c>
      <c r="E413" s="10">
        <f>MIN($B$7,ROUND(D413/$B$6,0))</f>
        <v>403</v>
      </c>
      <c r="F413" s="10" t="str">
        <f>DEC2BIN(INT(E413/64),5)&amp;DEC2BIN(MOD(E413,64),6)</f>
        <v>00110010011</v>
      </c>
      <c r="G413" s="10" t="str">
        <f>DEC2HEX(E413,3)</f>
        <v>193</v>
      </c>
      <c r="H413" s="10" t="str">
        <f>IF(ROUND(D413/$B$6,0)&gt;$B$7,"YES","NO")</f>
        <v>NO</v>
      </c>
    </row>
    <row r="414" spans="1:8">
      <c r="A414" s="8">
        <v>404</v>
      </c>
      <c r="B414" s="9">
        <f>D413</f>
        <v>472.265625</v>
      </c>
      <c r="C414" s="9">
        <f>$B$6</f>
        <v>1.171875</v>
      </c>
      <c r="D414" s="9">
        <f>B414+C414</f>
        <v>473.4375</v>
      </c>
      <c r="E414" s="8">
        <f>MIN($B$7,ROUND(D414/$B$6,0))</f>
        <v>404</v>
      </c>
      <c r="F414" s="8" t="str">
        <f>DEC2BIN(INT(E414/64),5)&amp;DEC2BIN(MOD(E414,64),6)</f>
        <v>00110010100</v>
      </c>
      <c r="G414" s="8" t="str">
        <f>DEC2HEX(E414,3)</f>
        <v>194</v>
      </c>
      <c r="H414" s="8" t="str">
        <f>IF(ROUND(D414/$B$6,0)&gt;$B$7,"YES","NO")</f>
        <v>NO</v>
      </c>
    </row>
    <row r="415" spans="1:8">
      <c r="A415" s="10">
        <v>405</v>
      </c>
      <c r="B415" s="11">
        <f>D414</f>
        <v>473.4375</v>
      </c>
      <c r="C415" s="11">
        <f>$B$6</f>
        <v>1.171875</v>
      </c>
      <c r="D415" s="11">
        <f>B415+C415</f>
        <v>474.609375</v>
      </c>
      <c r="E415" s="10">
        <f>MIN($B$7,ROUND(D415/$B$6,0))</f>
        <v>405</v>
      </c>
      <c r="F415" s="10" t="str">
        <f>DEC2BIN(INT(E415/64),5)&amp;DEC2BIN(MOD(E415,64),6)</f>
        <v>00110010101</v>
      </c>
      <c r="G415" s="10" t="str">
        <f>DEC2HEX(E415,3)</f>
        <v>195</v>
      </c>
      <c r="H415" s="10" t="str">
        <f>IF(ROUND(D415/$B$6,0)&gt;$B$7,"YES","NO")</f>
        <v>NO</v>
      </c>
    </row>
    <row r="416" spans="1:8">
      <c r="A416" s="8">
        <v>406</v>
      </c>
      <c r="B416" s="9">
        <f>D415</f>
        <v>474.609375</v>
      </c>
      <c r="C416" s="9">
        <f>$B$6</f>
        <v>1.171875</v>
      </c>
      <c r="D416" s="9">
        <f>B416+C416</f>
        <v>475.78125</v>
      </c>
      <c r="E416" s="8">
        <f>MIN($B$7,ROUND(D416/$B$6,0))</f>
        <v>406</v>
      </c>
      <c r="F416" s="8" t="str">
        <f>DEC2BIN(INT(E416/64),5)&amp;DEC2BIN(MOD(E416,64),6)</f>
        <v>00110010110</v>
      </c>
      <c r="G416" s="8" t="str">
        <f>DEC2HEX(E416,3)</f>
        <v>196</v>
      </c>
      <c r="H416" s="8" t="str">
        <f>IF(ROUND(D416/$B$6,0)&gt;$B$7,"YES","NO")</f>
        <v>NO</v>
      </c>
    </row>
    <row r="417" spans="1:8">
      <c r="A417" s="10">
        <v>407</v>
      </c>
      <c r="B417" s="11">
        <f>D416</f>
        <v>475.78125</v>
      </c>
      <c r="C417" s="11">
        <f>$B$6</f>
        <v>1.171875</v>
      </c>
      <c r="D417" s="11">
        <f>B417+C417</f>
        <v>476.953125</v>
      </c>
      <c r="E417" s="10">
        <f>MIN($B$7,ROUND(D417/$B$6,0))</f>
        <v>407</v>
      </c>
      <c r="F417" s="10" t="str">
        <f>DEC2BIN(INT(E417/64),5)&amp;DEC2BIN(MOD(E417,64),6)</f>
        <v>00110010111</v>
      </c>
      <c r="G417" s="10" t="str">
        <f>DEC2HEX(E417,3)</f>
        <v>197</v>
      </c>
      <c r="H417" s="10" t="str">
        <f>IF(ROUND(D417/$B$6,0)&gt;$B$7,"YES","NO")</f>
        <v>NO</v>
      </c>
    </row>
    <row r="418" spans="1:8">
      <c r="A418" s="8">
        <v>408</v>
      </c>
      <c r="B418" s="9">
        <f>D417</f>
        <v>476.953125</v>
      </c>
      <c r="C418" s="9">
        <f>$B$6</f>
        <v>1.171875</v>
      </c>
      <c r="D418" s="9">
        <f>B418+C418</f>
        <v>478.125</v>
      </c>
      <c r="E418" s="8">
        <f>MIN($B$7,ROUND(D418/$B$6,0))</f>
        <v>408</v>
      </c>
      <c r="F418" s="8" t="str">
        <f>DEC2BIN(INT(E418/64),5)&amp;DEC2BIN(MOD(E418,64),6)</f>
        <v>00110011000</v>
      </c>
      <c r="G418" s="8" t="str">
        <f>DEC2HEX(E418,3)</f>
        <v>198</v>
      </c>
      <c r="H418" s="8" t="str">
        <f>IF(ROUND(D418/$B$6,0)&gt;$B$7,"YES","NO")</f>
        <v>NO</v>
      </c>
    </row>
    <row r="419" spans="1:8">
      <c r="A419" s="10">
        <v>409</v>
      </c>
      <c r="B419" s="11">
        <f>D418</f>
        <v>478.125</v>
      </c>
      <c r="C419" s="11">
        <f>$B$6</f>
        <v>1.171875</v>
      </c>
      <c r="D419" s="11">
        <f>B419+C419</f>
        <v>479.296875</v>
      </c>
      <c r="E419" s="10">
        <f>MIN($B$7,ROUND(D419/$B$6,0))</f>
        <v>409</v>
      </c>
      <c r="F419" s="10" t="str">
        <f>DEC2BIN(INT(E419/64),5)&amp;DEC2BIN(MOD(E419,64),6)</f>
        <v>00110011001</v>
      </c>
      <c r="G419" s="10" t="str">
        <f>DEC2HEX(E419,3)</f>
        <v>199</v>
      </c>
      <c r="H419" s="10" t="str">
        <f>IF(ROUND(D419/$B$6,0)&gt;$B$7,"YES","NO")</f>
        <v>NO</v>
      </c>
    </row>
    <row r="420" spans="1:8">
      <c r="A420" s="8">
        <v>410</v>
      </c>
      <c r="B420" s="9">
        <f>D419</f>
        <v>479.296875</v>
      </c>
      <c r="C420" s="9">
        <f>$B$6</f>
        <v>1.171875</v>
      </c>
      <c r="D420" s="9">
        <f>B420+C420</f>
        <v>480.46875</v>
      </c>
      <c r="E420" s="8">
        <f>MIN($B$7,ROUND(D420/$B$6,0))</f>
        <v>410</v>
      </c>
      <c r="F420" s="8" t="str">
        <f>DEC2BIN(INT(E420/64),5)&amp;DEC2BIN(MOD(E420,64),6)</f>
        <v>00110011010</v>
      </c>
      <c r="G420" s="8" t="str">
        <f>DEC2HEX(E420,3)</f>
        <v>19A</v>
      </c>
      <c r="H420" s="8" t="str">
        <f>IF(ROUND(D420/$B$6,0)&gt;$B$7,"YES","NO")</f>
        <v>NO</v>
      </c>
    </row>
    <row r="421" spans="1:8">
      <c r="A421" s="10">
        <v>411</v>
      </c>
      <c r="B421" s="11">
        <f>D420</f>
        <v>480.46875</v>
      </c>
      <c r="C421" s="11">
        <f>$B$6</f>
        <v>1.171875</v>
      </c>
      <c r="D421" s="11">
        <f>B421+C421</f>
        <v>481.640625</v>
      </c>
      <c r="E421" s="10">
        <f>MIN($B$7,ROUND(D421/$B$6,0))</f>
        <v>411</v>
      </c>
      <c r="F421" s="10" t="str">
        <f>DEC2BIN(INT(E421/64),5)&amp;DEC2BIN(MOD(E421,64),6)</f>
        <v>00110011011</v>
      </c>
      <c r="G421" s="10" t="str">
        <f>DEC2HEX(E421,3)</f>
        <v>19B</v>
      </c>
      <c r="H421" s="10" t="str">
        <f>IF(ROUND(D421/$B$6,0)&gt;$B$7,"YES","NO")</f>
        <v>NO</v>
      </c>
    </row>
    <row r="422" spans="1:8">
      <c r="A422" s="8">
        <v>412</v>
      </c>
      <c r="B422" s="9">
        <f>D421</f>
        <v>481.640625</v>
      </c>
      <c r="C422" s="9">
        <f>$B$6</f>
        <v>1.171875</v>
      </c>
      <c r="D422" s="9">
        <f>B422+C422</f>
        <v>482.8125</v>
      </c>
      <c r="E422" s="8">
        <f>MIN($B$7,ROUND(D422/$B$6,0))</f>
        <v>412</v>
      </c>
      <c r="F422" s="8" t="str">
        <f>DEC2BIN(INT(E422/64),5)&amp;DEC2BIN(MOD(E422,64),6)</f>
        <v>00110011100</v>
      </c>
      <c r="G422" s="8" t="str">
        <f>DEC2HEX(E422,3)</f>
        <v>19C</v>
      </c>
      <c r="H422" s="8" t="str">
        <f>IF(ROUND(D422/$B$6,0)&gt;$B$7,"YES","NO")</f>
        <v>NO</v>
      </c>
    </row>
    <row r="423" spans="1:8">
      <c r="A423" s="10">
        <v>413</v>
      </c>
      <c r="B423" s="11">
        <f>D422</f>
        <v>482.8125</v>
      </c>
      <c r="C423" s="11">
        <f>$B$6</f>
        <v>1.171875</v>
      </c>
      <c r="D423" s="11">
        <f>B423+C423</f>
        <v>483.984375</v>
      </c>
      <c r="E423" s="10">
        <f>MIN($B$7,ROUND(D423/$B$6,0))</f>
        <v>413</v>
      </c>
      <c r="F423" s="10" t="str">
        <f>DEC2BIN(INT(E423/64),5)&amp;DEC2BIN(MOD(E423,64),6)</f>
        <v>00110011101</v>
      </c>
      <c r="G423" s="10" t="str">
        <f>DEC2HEX(E423,3)</f>
        <v>19D</v>
      </c>
      <c r="H423" s="10" t="str">
        <f>IF(ROUND(D423/$B$6,0)&gt;$B$7,"YES","NO")</f>
        <v>NO</v>
      </c>
    </row>
    <row r="424" spans="1:8">
      <c r="A424" s="8">
        <v>414</v>
      </c>
      <c r="B424" s="9">
        <f>D423</f>
        <v>483.984375</v>
      </c>
      <c r="C424" s="9">
        <f>$B$6</f>
        <v>1.171875</v>
      </c>
      <c r="D424" s="9">
        <f>B424+C424</f>
        <v>485.15625</v>
      </c>
      <c r="E424" s="8">
        <f>MIN($B$7,ROUND(D424/$B$6,0))</f>
        <v>414</v>
      </c>
      <c r="F424" s="8" t="str">
        <f>DEC2BIN(INT(E424/64),5)&amp;DEC2BIN(MOD(E424,64),6)</f>
        <v>00110011110</v>
      </c>
      <c r="G424" s="8" t="str">
        <f>DEC2HEX(E424,3)</f>
        <v>19E</v>
      </c>
      <c r="H424" s="8" t="str">
        <f>IF(ROUND(D424/$B$6,0)&gt;$B$7,"YES","NO")</f>
        <v>NO</v>
      </c>
    </row>
    <row r="425" spans="1:8">
      <c r="A425" s="10">
        <v>415</v>
      </c>
      <c r="B425" s="11">
        <f>D424</f>
        <v>485.15625</v>
      </c>
      <c r="C425" s="11">
        <f>$B$6</f>
        <v>1.171875</v>
      </c>
      <c r="D425" s="11">
        <f>B425+C425</f>
        <v>486.328125</v>
      </c>
      <c r="E425" s="10">
        <f>MIN($B$7,ROUND(D425/$B$6,0))</f>
        <v>415</v>
      </c>
      <c r="F425" s="10" t="str">
        <f>DEC2BIN(INT(E425/64),5)&amp;DEC2BIN(MOD(E425,64),6)</f>
        <v>00110011111</v>
      </c>
      <c r="G425" s="10" t="str">
        <f>DEC2HEX(E425,3)</f>
        <v>19F</v>
      </c>
      <c r="H425" s="10" t="str">
        <f>IF(ROUND(D425/$B$6,0)&gt;$B$7,"YES","NO")</f>
        <v>NO</v>
      </c>
    </row>
    <row r="426" spans="1:8">
      <c r="A426" s="8">
        <v>416</v>
      </c>
      <c r="B426" s="9">
        <f>D425</f>
        <v>486.328125</v>
      </c>
      <c r="C426" s="9">
        <f>$B$6</f>
        <v>1.171875</v>
      </c>
      <c r="D426" s="9">
        <f>B426+C426</f>
        <v>487.5</v>
      </c>
      <c r="E426" s="8">
        <f>MIN($B$7,ROUND(D426/$B$6,0))</f>
        <v>416</v>
      </c>
      <c r="F426" s="8" t="str">
        <f>DEC2BIN(INT(E426/64),5)&amp;DEC2BIN(MOD(E426,64),6)</f>
        <v>00110100000</v>
      </c>
      <c r="G426" s="8" t="str">
        <f>DEC2HEX(E426,3)</f>
        <v>1A0</v>
      </c>
      <c r="H426" s="8" t="str">
        <f>IF(ROUND(D426/$B$6,0)&gt;$B$7,"YES","NO")</f>
        <v>NO</v>
      </c>
    </row>
    <row r="427" spans="1:8">
      <c r="A427" s="10">
        <v>417</v>
      </c>
      <c r="B427" s="11">
        <f>D426</f>
        <v>487.5</v>
      </c>
      <c r="C427" s="11">
        <f>$B$6</f>
        <v>1.171875</v>
      </c>
      <c r="D427" s="11">
        <f>B427+C427</f>
        <v>488.671875</v>
      </c>
      <c r="E427" s="10">
        <f>MIN($B$7,ROUND(D427/$B$6,0))</f>
        <v>417</v>
      </c>
      <c r="F427" s="10" t="str">
        <f>DEC2BIN(INT(E427/64),5)&amp;DEC2BIN(MOD(E427,64),6)</f>
        <v>00110100001</v>
      </c>
      <c r="G427" s="10" t="str">
        <f>DEC2HEX(E427,3)</f>
        <v>1A1</v>
      </c>
      <c r="H427" s="10" t="str">
        <f>IF(ROUND(D427/$B$6,0)&gt;$B$7,"YES","NO")</f>
        <v>NO</v>
      </c>
    </row>
    <row r="428" spans="1:8">
      <c r="A428" s="8">
        <v>418</v>
      </c>
      <c r="B428" s="9">
        <f>D427</f>
        <v>488.671875</v>
      </c>
      <c r="C428" s="9">
        <f>$B$6</f>
        <v>1.171875</v>
      </c>
      <c r="D428" s="9">
        <f>B428+C428</f>
        <v>489.84375</v>
      </c>
      <c r="E428" s="8">
        <f>MIN($B$7,ROUND(D428/$B$6,0))</f>
        <v>418</v>
      </c>
      <c r="F428" s="8" t="str">
        <f>DEC2BIN(INT(E428/64),5)&amp;DEC2BIN(MOD(E428,64),6)</f>
        <v>00110100010</v>
      </c>
      <c r="G428" s="8" t="str">
        <f>DEC2HEX(E428,3)</f>
        <v>1A2</v>
      </c>
      <c r="H428" s="8" t="str">
        <f>IF(ROUND(D428/$B$6,0)&gt;$B$7,"YES","NO")</f>
        <v>NO</v>
      </c>
    </row>
    <row r="429" spans="1:8">
      <c r="A429" s="10">
        <v>419</v>
      </c>
      <c r="B429" s="11">
        <f>D428</f>
        <v>489.84375</v>
      </c>
      <c r="C429" s="11">
        <f>$B$6</f>
        <v>1.171875</v>
      </c>
      <c r="D429" s="11">
        <f>B429+C429</f>
        <v>491.015625</v>
      </c>
      <c r="E429" s="10">
        <f>MIN($B$7,ROUND(D429/$B$6,0))</f>
        <v>419</v>
      </c>
      <c r="F429" s="10" t="str">
        <f>DEC2BIN(INT(E429/64),5)&amp;DEC2BIN(MOD(E429,64),6)</f>
        <v>00110100011</v>
      </c>
      <c r="G429" s="10" t="str">
        <f>DEC2HEX(E429,3)</f>
        <v>1A3</v>
      </c>
      <c r="H429" s="10" t="str">
        <f>IF(ROUND(D429/$B$6,0)&gt;$B$7,"YES","NO")</f>
        <v>NO</v>
      </c>
    </row>
    <row r="430" spans="1:8">
      <c r="A430" s="8">
        <v>420</v>
      </c>
      <c r="B430" s="9">
        <f>D429</f>
        <v>491.015625</v>
      </c>
      <c r="C430" s="9">
        <f>$B$6</f>
        <v>1.171875</v>
      </c>
      <c r="D430" s="9">
        <f>B430+C430</f>
        <v>492.1875</v>
      </c>
      <c r="E430" s="8">
        <f>MIN($B$7,ROUND(D430/$B$6,0))</f>
        <v>420</v>
      </c>
      <c r="F430" s="8" t="str">
        <f>DEC2BIN(INT(E430/64),5)&amp;DEC2BIN(MOD(E430,64),6)</f>
        <v>00110100100</v>
      </c>
      <c r="G430" s="8" t="str">
        <f>DEC2HEX(E430,3)</f>
        <v>1A4</v>
      </c>
      <c r="H430" s="8" t="str">
        <f>IF(ROUND(D430/$B$6,0)&gt;$B$7,"YES","NO")</f>
        <v>NO</v>
      </c>
    </row>
    <row r="431" spans="1:8">
      <c r="A431" s="10">
        <v>421</v>
      </c>
      <c r="B431" s="11">
        <f>D430</f>
        <v>492.1875</v>
      </c>
      <c r="C431" s="11">
        <f>$B$6</f>
        <v>1.171875</v>
      </c>
      <c r="D431" s="11">
        <f>B431+C431</f>
        <v>493.359375</v>
      </c>
      <c r="E431" s="10">
        <f>MIN($B$7,ROUND(D431/$B$6,0))</f>
        <v>421</v>
      </c>
      <c r="F431" s="10" t="str">
        <f>DEC2BIN(INT(E431/64),5)&amp;DEC2BIN(MOD(E431,64),6)</f>
        <v>00110100101</v>
      </c>
      <c r="G431" s="10" t="str">
        <f>DEC2HEX(E431,3)</f>
        <v>1A5</v>
      </c>
      <c r="H431" s="10" t="str">
        <f>IF(ROUND(D431/$B$6,0)&gt;$B$7,"YES","NO")</f>
        <v>NO</v>
      </c>
    </row>
    <row r="432" spans="1:8">
      <c r="A432" s="8">
        <v>422</v>
      </c>
      <c r="B432" s="9">
        <f>D431</f>
        <v>493.359375</v>
      </c>
      <c r="C432" s="9">
        <f>$B$6</f>
        <v>1.171875</v>
      </c>
      <c r="D432" s="9">
        <f>B432+C432</f>
        <v>494.53125</v>
      </c>
      <c r="E432" s="8">
        <f>MIN($B$7,ROUND(D432/$B$6,0))</f>
        <v>422</v>
      </c>
      <c r="F432" s="8" t="str">
        <f>DEC2BIN(INT(E432/64),5)&amp;DEC2BIN(MOD(E432,64),6)</f>
        <v>00110100110</v>
      </c>
      <c r="G432" s="8" t="str">
        <f>DEC2HEX(E432,3)</f>
        <v>1A6</v>
      </c>
      <c r="H432" s="8" t="str">
        <f>IF(ROUND(D432/$B$6,0)&gt;$B$7,"YES","NO")</f>
        <v>NO</v>
      </c>
    </row>
    <row r="433" spans="1:8">
      <c r="A433" s="10">
        <v>423</v>
      </c>
      <c r="B433" s="11">
        <f>D432</f>
        <v>494.53125</v>
      </c>
      <c r="C433" s="11">
        <f>$B$6</f>
        <v>1.171875</v>
      </c>
      <c r="D433" s="11">
        <f>B433+C433</f>
        <v>495.703125</v>
      </c>
      <c r="E433" s="10">
        <f>MIN($B$7,ROUND(D433/$B$6,0))</f>
        <v>423</v>
      </c>
      <c r="F433" s="10" t="str">
        <f>DEC2BIN(INT(E433/64),5)&amp;DEC2BIN(MOD(E433,64),6)</f>
        <v>00110100111</v>
      </c>
      <c r="G433" s="10" t="str">
        <f>DEC2HEX(E433,3)</f>
        <v>1A7</v>
      </c>
      <c r="H433" s="10" t="str">
        <f>IF(ROUND(D433/$B$6,0)&gt;$B$7,"YES","NO")</f>
        <v>NO</v>
      </c>
    </row>
    <row r="434" spans="1:8">
      <c r="A434" s="8">
        <v>424</v>
      </c>
      <c r="B434" s="9">
        <f>D433</f>
        <v>495.703125</v>
      </c>
      <c r="C434" s="9">
        <f>$B$6</f>
        <v>1.171875</v>
      </c>
      <c r="D434" s="9">
        <f>B434+C434</f>
        <v>496.875</v>
      </c>
      <c r="E434" s="8">
        <f>MIN($B$7,ROUND(D434/$B$6,0))</f>
        <v>424</v>
      </c>
      <c r="F434" s="8" t="str">
        <f>DEC2BIN(INT(E434/64),5)&amp;DEC2BIN(MOD(E434,64),6)</f>
        <v>00110101000</v>
      </c>
      <c r="G434" s="8" t="str">
        <f>DEC2HEX(E434,3)</f>
        <v>1A8</v>
      </c>
      <c r="H434" s="8" t="str">
        <f>IF(ROUND(D434/$B$6,0)&gt;$B$7,"YES","NO")</f>
        <v>NO</v>
      </c>
    </row>
    <row r="435" spans="1:8">
      <c r="A435" s="10">
        <v>425</v>
      </c>
      <c r="B435" s="11">
        <f>D434</f>
        <v>496.875</v>
      </c>
      <c r="C435" s="11">
        <f>$B$6</f>
        <v>1.171875</v>
      </c>
      <c r="D435" s="11">
        <f>B435+C435</f>
        <v>498.046875</v>
      </c>
      <c r="E435" s="10">
        <f>MIN($B$7,ROUND(D435/$B$6,0))</f>
        <v>425</v>
      </c>
      <c r="F435" s="10" t="str">
        <f>DEC2BIN(INT(E435/64),5)&amp;DEC2BIN(MOD(E435,64),6)</f>
        <v>00110101001</v>
      </c>
      <c r="G435" s="10" t="str">
        <f>DEC2HEX(E435,3)</f>
        <v>1A9</v>
      </c>
      <c r="H435" s="10" t="str">
        <f>IF(ROUND(D435/$B$6,0)&gt;$B$7,"YES","NO")</f>
        <v>NO</v>
      </c>
    </row>
    <row r="436" spans="1:8">
      <c r="A436" s="8">
        <v>426</v>
      </c>
      <c r="B436" s="9">
        <f>D435</f>
        <v>498.046875</v>
      </c>
      <c r="C436" s="9">
        <f>$B$6</f>
        <v>1.171875</v>
      </c>
      <c r="D436" s="9">
        <f>B436+C436</f>
        <v>499.21875</v>
      </c>
      <c r="E436" s="8">
        <f>MIN($B$7,ROUND(D436/$B$6,0))</f>
        <v>426</v>
      </c>
      <c r="F436" s="8" t="str">
        <f>DEC2BIN(INT(E436/64),5)&amp;DEC2BIN(MOD(E436,64),6)</f>
        <v>00110101010</v>
      </c>
      <c r="G436" s="8" t="str">
        <f>DEC2HEX(E436,3)</f>
        <v>1AA</v>
      </c>
      <c r="H436" s="8" t="str">
        <f>IF(ROUND(D436/$B$6,0)&gt;$B$7,"YES","NO")</f>
        <v>NO</v>
      </c>
    </row>
    <row r="437" spans="1:8">
      <c r="A437" s="10">
        <v>427</v>
      </c>
      <c r="B437" s="11">
        <f>D436</f>
        <v>499.21875</v>
      </c>
      <c r="C437" s="11">
        <f>$B$6</f>
        <v>1.171875</v>
      </c>
      <c r="D437" s="11">
        <f>B437+C437</f>
        <v>500.390625</v>
      </c>
      <c r="E437" s="10">
        <f>MIN($B$7,ROUND(D437/$B$6,0))</f>
        <v>427</v>
      </c>
      <c r="F437" s="10" t="str">
        <f>DEC2BIN(INT(E437/64),5)&amp;DEC2BIN(MOD(E437,64),6)</f>
        <v>00110101011</v>
      </c>
      <c r="G437" s="10" t="str">
        <f>DEC2HEX(E437,3)</f>
        <v>1AB</v>
      </c>
      <c r="H437" s="10" t="str">
        <f>IF(ROUND(D437/$B$6,0)&gt;$B$7,"YES","NO")</f>
        <v>NO</v>
      </c>
    </row>
    <row r="438" spans="1:8">
      <c r="A438" s="8">
        <v>428</v>
      </c>
      <c r="B438" s="9">
        <f>D437</f>
        <v>500.390625</v>
      </c>
      <c r="C438" s="9">
        <f>$B$6</f>
        <v>1.171875</v>
      </c>
      <c r="D438" s="9">
        <f>B438+C438</f>
        <v>501.5625</v>
      </c>
      <c r="E438" s="8">
        <f>MIN($B$7,ROUND(D438/$B$6,0))</f>
        <v>428</v>
      </c>
      <c r="F438" s="8" t="str">
        <f>DEC2BIN(INT(E438/64),5)&amp;DEC2BIN(MOD(E438,64),6)</f>
        <v>00110101100</v>
      </c>
      <c r="G438" s="8" t="str">
        <f>DEC2HEX(E438,3)</f>
        <v>1AC</v>
      </c>
      <c r="H438" s="8" t="str">
        <f>IF(ROUND(D438/$B$6,0)&gt;$B$7,"YES","NO")</f>
        <v>NO</v>
      </c>
    </row>
    <row r="439" spans="1:8">
      <c r="A439" s="10">
        <v>429</v>
      </c>
      <c r="B439" s="11">
        <f>D438</f>
        <v>501.5625</v>
      </c>
      <c r="C439" s="11">
        <f>$B$6</f>
        <v>1.171875</v>
      </c>
      <c r="D439" s="11">
        <f>B439+C439</f>
        <v>502.734375</v>
      </c>
      <c r="E439" s="10">
        <f>MIN($B$7,ROUND(D439/$B$6,0))</f>
        <v>429</v>
      </c>
      <c r="F439" s="10" t="str">
        <f>DEC2BIN(INT(E439/64),5)&amp;DEC2BIN(MOD(E439,64),6)</f>
        <v>00110101101</v>
      </c>
      <c r="G439" s="10" t="str">
        <f>DEC2HEX(E439,3)</f>
        <v>1AD</v>
      </c>
      <c r="H439" s="10" t="str">
        <f>IF(ROUND(D439/$B$6,0)&gt;$B$7,"YES","NO")</f>
        <v>NO</v>
      </c>
    </row>
    <row r="440" spans="1:8">
      <c r="A440" s="8">
        <v>430</v>
      </c>
      <c r="B440" s="9">
        <f>D439</f>
        <v>502.734375</v>
      </c>
      <c r="C440" s="9">
        <f>$B$6</f>
        <v>1.171875</v>
      </c>
      <c r="D440" s="9">
        <f>B440+C440</f>
        <v>503.90625</v>
      </c>
      <c r="E440" s="8">
        <f>MIN($B$7,ROUND(D440/$B$6,0))</f>
        <v>430</v>
      </c>
      <c r="F440" s="8" t="str">
        <f>DEC2BIN(INT(E440/64),5)&amp;DEC2BIN(MOD(E440,64),6)</f>
        <v>00110101110</v>
      </c>
      <c r="G440" s="8" t="str">
        <f>DEC2HEX(E440,3)</f>
        <v>1AE</v>
      </c>
      <c r="H440" s="8" t="str">
        <f>IF(ROUND(D440/$B$6,0)&gt;$B$7,"YES","NO")</f>
        <v>NO</v>
      </c>
    </row>
    <row r="441" spans="1:8">
      <c r="A441" s="10">
        <v>431</v>
      </c>
      <c r="B441" s="11">
        <f>D440</f>
        <v>503.90625</v>
      </c>
      <c r="C441" s="11">
        <f>$B$6</f>
        <v>1.171875</v>
      </c>
      <c r="D441" s="11">
        <f>B441+C441</f>
        <v>505.078125</v>
      </c>
      <c r="E441" s="10">
        <f>MIN($B$7,ROUND(D441/$B$6,0))</f>
        <v>431</v>
      </c>
      <c r="F441" s="10" t="str">
        <f>DEC2BIN(INT(E441/64),5)&amp;DEC2BIN(MOD(E441,64),6)</f>
        <v>00110101111</v>
      </c>
      <c r="G441" s="10" t="str">
        <f>DEC2HEX(E441,3)</f>
        <v>1AF</v>
      </c>
      <c r="H441" s="10" t="str">
        <f>IF(ROUND(D441/$B$6,0)&gt;$B$7,"YES","NO")</f>
        <v>NO</v>
      </c>
    </row>
    <row r="442" spans="1:8">
      <c r="A442" s="8">
        <v>432</v>
      </c>
      <c r="B442" s="9">
        <f>D441</f>
        <v>505.078125</v>
      </c>
      <c r="C442" s="9">
        <f>$B$6</f>
        <v>1.171875</v>
      </c>
      <c r="D442" s="9">
        <f>B442+C442</f>
        <v>506.25</v>
      </c>
      <c r="E442" s="8">
        <f>MIN($B$7,ROUND(D442/$B$6,0))</f>
        <v>432</v>
      </c>
      <c r="F442" s="8" t="str">
        <f>DEC2BIN(INT(E442/64),5)&amp;DEC2BIN(MOD(E442,64),6)</f>
        <v>00110110000</v>
      </c>
      <c r="G442" s="8" t="str">
        <f>DEC2HEX(E442,3)</f>
        <v>1B0</v>
      </c>
      <c r="H442" s="8" t="str">
        <f>IF(ROUND(D442/$B$6,0)&gt;$B$7,"YES","NO")</f>
        <v>NO</v>
      </c>
    </row>
    <row r="443" spans="1:8">
      <c r="A443" s="10">
        <v>433</v>
      </c>
      <c r="B443" s="11">
        <f>D442</f>
        <v>506.25</v>
      </c>
      <c r="C443" s="11">
        <f>$B$6</f>
        <v>1.171875</v>
      </c>
      <c r="D443" s="11">
        <f>B443+C443</f>
        <v>507.421875</v>
      </c>
      <c r="E443" s="10">
        <f>MIN($B$7,ROUND(D443/$B$6,0))</f>
        <v>433</v>
      </c>
      <c r="F443" s="10" t="str">
        <f>DEC2BIN(INT(E443/64),5)&amp;DEC2BIN(MOD(E443,64),6)</f>
        <v>00110110001</v>
      </c>
      <c r="G443" s="10" t="str">
        <f>DEC2HEX(E443,3)</f>
        <v>1B1</v>
      </c>
      <c r="H443" s="10" t="str">
        <f>IF(ROUND(D443/$B$6,0)&gt;$B$7,"YES","NO")</f>
        <v>NO</v>
      </c>
    </row>
    <row r="444" spans="1:8">
      <c r="A444" s="8">
        <v>434</v>
      </c>
      <c r="B444" s="9">
        <f>D443</f>
        <v>507.421875</v>
      </c>
      <c r="C444" s="9">
        <f>$B$6</f>
        <v>1.171875</v>
      </c>
      <c r="D444" s="9">
        <f>B444+C444</f>
        <v>508.59375</v>
      </c>
      <c r="E444" s="8">
        <f>MIN($B$7,ROUND(D444/$B$6,0))</f>
        <v>434</v>
      </c>
      <c r="F444" s="8" t="str">
        <f>DEC2BIN(INT(E444/64),5)&amp;DEC2BIN(MOD(E444,64),6)</f>
        <v>00110110010</v>
      </c>
      <c r="G444" s="8" t="str">
        <f>DEC2HEX(E444,3)</f>
        <v>1B2</v>
      </c>
      <c r="H444" s="8" t="str">
        <f>IF(ROUND(D444/$B$6,0)&gt;$B$7,"YES","NO")</f>
        <v>NO</v>
      </c>
    </row>
    <row r="445" spans="1:8">
      <c r="A445" s="10">
        <v>435</v>
      </c>
      <c r="B445" s="11">
        <f>D444</f>
        <v>508.59375</v>
      </c>
      <c r="C445" s="11">
        <f>$B$6</f>
        <v>1.171875</v>
      </c>
      <c r="D445" s="11">
        <f>B445+C445</f>
        <v>509.765625</v>
      </c>
      <c r="E445" s="10">
        <f>MIN($B$7,ROUND(D445/$B$6,0))</f>
        <v>435</v>
      </c>
      <c r="F445" s="10" t="str">
        <f>DEC2BIN(INT(E445/64),5)&amp;DEC2BIN(MOD(E445,64),6)</f>
        <v>00110110011</v>
      </c>
      <c r="G445" s="10" t="str">
        <f>DEC2HEX(E445,3)</f>
        <v>1B3</v>
      </c>
      <c r="H445" s="10" t="str">
        <f>IF(ROUND(D445/$B$6,0)&gt;$B$7,"YES","NO")</f>
        <v>NO</v>
      </c>
    </row>
    <row r="446" spans="1:8">
      <c r="A446" s="8">
        <v>436</v>
      </c>
      <c r="B446" s="9">
        <f>D445</f>
        <v>509.765625</v>
      </c>
      <c r="C446" s="9">
        <f>$B$6</f>
        <v>1.171875</v>
      </c>
      <c r="D446" s="9">
        <f>B446+C446</f>
        <v>510.9375</v>
      </c>
      <c r="E446" s="8">
        <f>MIN($B$7,ROUND(D446/$B$6,0))</f>
        <v>436</v>
      </c>
      <c r="F446" s="8" t="str">
        <f>DEC2BIN(INT(E446/64),5)&amp;DEC2BIN(MOD(E446,64),6)</f>
        <v>00110110100</v>
      </c>
      <c r="G446" s="8" t="str">
        <f>DEC2HEX(E446,3)</f>
        <v>1B4</v>
      </c>
      <c r="H446" s="8" t="str">
        <f>IF(ROUND(D446/$B$6,0)&gt;$B$7,"YES","NO")</f>
        <v>NO</v>
      </c>
    </row>
    <row r="447" spans="1:8">
      <c r="A447" s="10">
        <v>437</v>
      </c>
      <c r="B447" s="11">
        <f>D446</f>
        <v>510.9375</v>
      </c>
      <c r="C447" s="11">
        <f>$B$6</f>
        <v>1.171875</v>
      </c>
      <c r="D447" s="11">
        <f>B447+C447</f>
        <v>512.109375</v>
      </c>
      <c r="E447" s="10">
        <f>MIN($B$7,ROUND(D447/$B$6,0))</f>
        <v>437</v>
      </c>
      <c r="F447" s="10" t="str">
        <f>DEC2BIN(INT(E447/64),5)&amp;DEC2BIN(MOD(E447,64),6)</f>
        <v>00110110101</v>
      </c>
      <c r="G447" s="10" t="str">
        <f>DEC2HEX(E447,3)</f>
        <v>1B5</v>
      </c>
      <c r="H447" s="10" t="str">
        <f>IF(ROUND(D447/$B$6,0)&gt;$B$7,"YES","NO")</f>
        <v>NO</v>
      </c>
    </row>
    <row r="448" spans="1:8">
      <c r="A448" s="8">
        <v>438</v>
      </c>
      <c r="B448" s="9">
        <f>D447</f>
        <v>512.109375</v>
      </c>
      <c r="C448" s="9">
        <f>$B$6</f>
        <v>1.171875</v>
      </c>
      <c r="D448" s="9">
        <f>B448+C448</f>
        <v>513.28125</v>
      </c>
      <c r="E448" s="8">
        <f>MIN($B$7,ROUND(D448/$B$6,0))</f>
        <v>438</v>
      </c>
      <c r="F448" s="8" t="str">
        <f>DEC2BIN(INT(E448/64),5)&amp;DEC2BIN(MOD(E448,64),6)</f>
        <v>00110110110</v>
      </c>
      <c r="G448" s="8" t="str">
        <f>DEC2HEX(E448,3)</f>
        <v>1B6</v>
      </c>
      <c r="H448" s="8" t="str">
        <f>IF(ROUND(D448/$B$6,0)&gt;$B$7,"YES","NO")</f>
        <v>NO</v>
      </c>
    </row>
    <row r="449" spans="1:8">
      <c r="A449" s="10">
        <v>439</v>
      </c>
      <c r="B449" s="11">
        <f>D448</f>
        <v>513.28125</v>
      </c>
      <c r="C449" s="11">
        <f>$B$6</f>
        <v>1.171875</v>
      </c>
      <c r="D449" s="11">
        <f>B449+C449</f>
        <v>514.453125</v>
      </c>
      <c r="E449" s="10">
        <f>MIN($B$7,ROUND(D449/$B$6,0))</f>
        <v>439</v>
      </c>
      <c r="F449" s="10" t="str">
        <f>DEC2BIN(INT(E449/64),5)&amp;DEC2BIN(MOD(E449,64),6)</f>
        <v>00110110111</v>
      </c>
      <c r="G449" s="10" t="str">
        <f>DEC2HEX(E449,3)</f>
        <v>1B7</v>
      </c>
      <c r="H449" s="10" t="str">
        <f>IF(ROUND(D449/$B$6,0)&gt;$B$7,"YES","NO")</f>
        <v>NO</v>
      </c>
    </row>
    <row r="450" spans="1:8">
      <c r="A450" s="8">
        <v>440</v>
      </c>
      <c r="B450" s="9">
        <f>D449</f>
        <v>514.453125</v>
      </c>
      <c r="C450" s="9">
        <f>$B$6</f>
        <v>1.171875</v>
      </c>
      <c r="D450" s="9">
        <f>B450+C450</f>
        <v>515.625</v>
      </c>
      <c r="E450" s="8">
        <f>MIN($B$7,ROUND(D450/$B$6,0))</f>
        <v>440</v>
      </c>
      <c r="F450" s="8" t="str">
        <f>DEC2BIN(INT(E450/64),5)&amp;DEC2BIN(MOD(E450,64),6)</f>
        <v>00110111000</v>
      </c>
      <c r="G450" s="8" t="str">
        <f>DEC2HEX(E450,3)</f>
        <v>1B8</v>
      </c>
      <c r="H450" s="8" t="str">
        <f>IF(ROUND(D450/$B$6,0)&gt;$B$7,"YES","NO")</f>
        <v>NO</v>
      </c>
    </row>
    <row r="451" spans="1:8">
      <c r="A451" s="10">
        <v>441</v>
      </c>
      <c r="B451" s="11">
        <f>D450</f>
        <v>515.625</v>
      </c>
      <c r="C451" s="11">
        <f>$B$6</f>
        <v>1.171875</v>
      </c>
      <c r="D451" s="11">
        <f>B451+C451</f>
        <v>516.796875</v>
      </c>
      <c r="E451" s="10">
        <f>MIN($B$7,ROUND(D451/$B$6,0))</f>
        <v>441</v>
      </c>
      <c r="F451" s="10" t="str">
        <f>DEC2BIN(INT(E451/64),5)&amp;DEC2BIN(MOD(E451,64),6)</f>
        <v>00110111001</v>
      </c>
      <c r="G451" s="10" t="str">
        <f>DEC2HEX(E451,3)</f>
        <v>1B9</v>
      </c>
      <c r="H451" s="10" t="str">
        <f>IF(ROUND(D451/$B$6,0)&gt;$B$7,"YES","NO")</f>
        <v>NO</v>
      </c>
    </row>
    <row r="452" spans="1:8">
      <c r="A452" s="8">
        <v>442</v>
      </c>
      <c r="B452" s="9">
        <f>D451</f>
        <v>516.796875</v>
      </c>
      <c r="C452" s="9">
        <f>$B$6</f>
        <v>1.171875</v>
      </c>
      <c r="D452" s="9">
        <f>B452+C452</f>
        <v>517.96875</v>
      </c>
      <c r="E452" s="8">
        <f>MIN($B$7,ROUND(D452/$B$6,0))</f>
        <v>442</v>
      </c>
      <c r="F452" s="8" t="str">
        <f>DEC2BIN(INT(E452/64),5)&amp;DEC2BIN(MOD(E452,64),6)</f>
        <v>00110111010</v>
      </c>
      <c r="G452" s="8" t="str">
        <f>DEC2HEX(E452,3)</f>
        <v>1BA</v>
      </c>
      <c r="H452" s="8" t="str">
        <f>IF(ROUND(D452/$B$6,0)&gt;$B$7,"YES","NO")</f>
        <v>NO</v>
      </c>
    </row>
    <row r="453" spans="1:8">
      <c r="A453" s="10">
        <v>443</v>
      </c>
      <c r="B453" s="11">
        <f>D452</f>
        <v>517.96875</v>
      </c>
      <c r="C453" s="11">
        <f>$B$6</f>
        <v>1.171875</v>
      </c>
      <c r="D453" s="11">
        <f>B453+C453</f>
        <v>519.140625</v>
      </c>
      <c r="E453" s="10">
        <f>MIN($B$7,ROUND(D453/$B$6,0))</f>
        <v>443</v>
      </c>
      <c r="F453" s="10" t="str">
        <f>DEC2BIN(INT(E453/64),5)&amp;DEC2BIN(MOD(E453,64),6)</f>
        <v>00110111011</v>
      </c>
      <c r="G453" s="10" t="str">
        <f>DEC2HEX(E453,3)</f>
        <v>1BB</v>
      </c>
      <c r="H453" s="10" t="str">
        <f>IF(ROUND(D453/$B$6,0)&gt;$B$7,"YES","NO")</f>
        <v>NO</v>
      </c>
    </row>
    <row r="454" spans="1:8">
      <c r="A454" s="8">
        <v>444</v>
      </c>
      <c r="B454" s="9">
        <f>D453</f>
        <v>519.140625</v>
      </c>
      <c r="C454" s="9">
        <f>$B$6</f>
        <v>1.171875</v>
      </c>
      <c r="D454" s="9">
        <f>B454+C454</f>
        <v>520.3125</v>
      </c>
      <c r="E454" s="8">
        <f>MIN($B$7,ROUND(D454/$B$6,0))</f>
        <v>444</v>
      </c>
      <c r="F454" s="8" t="str">
        <f>DEC2BIN(INT(E454/64),5)&amp;DEC2BIN(MOD(E454,64),6)</f>
        <v>00110111100</v>
      </c>
      <c r="G454" s="8" t="str">
        <f>DEC2HEX(E454,3)</f>
        <v>1BC</v>
      </c>
      <c r="H454" s="8" t="str">
        <f>IF(ROUND(D454/$B$6,0)&gt;$B$7,"YES","NO")</f>
        <v>NO</v>
      </c>
    </row>
    <row r="455" spans="1:8">
      <c r="A455" s="10">
        <v>445</v>
      </c>
      <c r="B455" s="11">
        <f>D454</f>
        <v>520.3125</v>
      </c>
      <c r="C455" s="11">
        <f>$B$6</f>
        <v>1.171875</v>
      </c>
      <c r="D455" s="11">
        <f>B455+C455</f>
        <v>521.484375</v>
      </c>
      <c r="E455" s="10">
        <f>MIN($B$7,ROUND(D455/$B$6,0))</f>
        <v>445</v>
      </c>
      <c r="F455" s="10" t="str">
        <f>DEC2BIN(INT(E455/64),5)&amp;DEC2BIN(MOD(E455,64),6)</f>
        <v>00110111101</v>
      </c>
      <c r="G455" s="10" t="str">
        <f>DEC2HEX(E455,3)</f>
        <v>1BD</v>
      </c>
      <c r="H455" s="10" t="str">
        <f>IF(ROUND(D455/$B$6,0)&gt;$B$7,"YES","NO")</f>
        <v>NO</v>
      </c>
    </row>
    <row r="456" spans="1:8">
      <c r="A456" s="8">
        <v>446</v>
      </c>
      <c r="B456" s="9">
        <f>D455</f>
        <v>521.484375</v>
      </c>
      <c r="C456" s="9">
        <f>$B$6</f>
        <v>1.171875</v>
      </c>
      <c r="D456" s="9">
        <f>B456+C456</f>
        <v>522.65625</v>
      </c>
      <c r="E456" s="8">
        <f>MIN($B$7,ROUND(D456/$B$6,0))</f>
        <v>446</v>
      </c>
      <c r="F456" s="8" t="str">
        <f>DEC2BIN(INT(E456/64),5)&amp;DEC2BIN(MOD(E456,64),6)</f>
        <v>00110111110</v>
      </c>
      <c r="G456" s="8" t="str">
        <f>DEC2HEX(E456,3)</f>
        <v>1BE</v>
      </c>
      <c r="H456" s="8" t="str">
        <f>IF(ROUND(D456/$B$6,0)&gt;$B$7,"YES","NO")</f>
        <v>NO</v>
      </c>
    </row>
    <row r="457" spans="1:8">
      <c r="A457" s="10">
        <v>447</v>
      </c>
      <c r="B457" s="11">
        <f>D456</f>
        <v>522.65625</v>
      </c>
      <c r="C457" s="11">
        <f>$B$6</f>
        <v>1.171875</v>
      </c>
      <c r="D457" s="11">
        <f>B457+C457</f>
        <v>523.828125</v>
      </c>
      <c r="E457" s="10">
        <f>MIN($B$7,ROUND(D457/$B$6,0))</f>
        <v>447</v>
      </c>
      <c r="F457" s="10" t="str">
        <f>DEC2BIN(INT(E457/64),5)&amp;DEC2BIN(MOD(E457,64),6)</f>
        <v>00110111111</v>
      </c>
      <c r="G457" s="10" t="str">
        <f>DEC2HEX(E457,3)</f>
        <v>1BF</v>
      </c>
      <c r="H457" s="10" t="str">
        <f>IF(ROUND(D457/$B$6,0)&gt;$B$7,"YES","NO")</f>
        <v>NO</v>
      </c>
    </row>
    <row r="458" spans="1:8">
      <c r="A458" s="8">
        <v>448</v>
      </c>
      <c r="B458" s="9">
        <f>D457</f>
        <v>523.828125</v>
      </c>
      <c r="C458" s="9">
        <f>$B$6</f>
        <v>1.171875</v>
      </c>
      <c r="D458" s="9">
        <f>B458+C458</f>
        <v>525</v>
      </c>
      <c r="E458" s="8">
        <f>MIN($B$7,ROUND(D458/$B$6,0))</f>
        <v>448</v>
      </c>
      <c r="F458" s="8" t="str">
        <f>DEC2BIN(INT(E458/64),5)&amp;DEC2BIN(MOD(E458,64),6)</f>
        <v>00111000000</v>
      </c>
      <c r="G458" s="8" t="str">
        <f>DEC2HEX(E458,3)</f>
        <v>1C0</v>
      </c>
      <c r="H458" s="8" t="str">
        <f>IF(ROUND(D458/$B$6,0)&gt;$B$7,"YES","NO")</f>
        <v>NO</v>
      </c>
    </row>
    <row r="459" spans="1:8">
      <c r="A459" s="10">
        <v>449</v>
      </c>
      <c r="B459" s="11">
        <f>D458</f>
        <v>525</v>
      </c>
      <c r="C459" s="11">
        <f>$B$6</f>
        <v>1.171875</v>
      </c>
      <c r="D459" s="11">
        <f>B459+C459</f>
        <v>526.171875</v>
      </c>
      <c r="E459" s="10">
        <f>MIN($B$7,ROUND(D459/$B$6,0))</f>
        <v>449</v>
      </c>
      <c r="F459" s="10" t="str">
        <f>DEC2BIN(INT(E459/64),5)&amp;DEC2BIN(MOD(E459,64),6)</f>
        <v>00111000001</v>
      </c>
      <c r="G459" s="10" t="str">
        <f>DEC2HEX(E459,3)</f>
        <v>1C1</v>
      </c>
      <c r="H459" s="10" t="str">
        <f>IF(ROUND(D459/$B$6,0)&gt;$B$7,"YES","NO")</f>
        <v>NO</v>
      </c>
    </row>
    <row r="460" spans="1:8">
      <c r="A460" s="8">
        <v>450</v>
      </c>
      <c r="B460" s="9">
        <f>D459</f>
        <v>526.171875</v>
      </c>
      <c r="C460" s="9">
        <f>$B$6</f>
        <v>1.171875</v>
      </c>
      <c r="D460" s="9">
        <f>B460+C460</f>
        <v>527.34375</v>
      </c>
      <c r="E460" s="8">
        <f>MIN($B$7,ROUND(D460/$B$6,0))</f>
        <v>450</v>
      </c>
      <c r="F460" s="8" t="str">
        <f>DEC2BIN(INT(E460/64),5)&amp;DEC2BIN(MOD(E460,64),6)</f>
        <v>00111000010</v>
      </c>
      <c r="G460" s="8" t="str">
        <f>DEC2HEX(E460,3)</f>
        <v>1C2</v>
      </c>
      <c r="H460" s="8" t="str">
        <f>IF(ROUND(D460/$B$6,0)&gt;$B$7,"YES","NO")</f>
        <v>NO</v>
      </c>
    </row>
    <row r="461" spans="1:8">
      <c r="A461" s="10">
        <v>451</v>
      </c>
      <c r="B461" s="11">
        <f>D460</f>
        <v>527.34375</v>
      </c>
      <c r="C461" s="11">
        <f>$B$6</f>
        <v>1.171875</v>
      </c>
      <c r="D461" s="11">
        <f>B461+C461</f>
        <v>528.515625</v>
      </c>
      <c r="E461" s="10">
        <f>MIN($B$7,ROUND(D461/$B$6,0))</f>
        <v>451</v>
      </c>
      <c r="F461" s="10" t="str">
        <f>DEC2BIN(INT(E461/64),5)&amp;DEC2BIN(MOD(E461,64),6)</f>
        <v>00111000011</v>
      </c>
      <c r="G461" s="10" t="str">
        <f>DEC2HEX(E461,3)</f>
        <v>1C3</v>
      </c>
      <c r="H461" s="10" t="str">
        <f>IF(ROUND(D461/$B$6,0)&gt;$B$7,"YES","NO")</f>
        <v>NO</v>
      </c>
    </row>
    <row r="462" spans="1:8">
      <c r="A462" s="8">
        <v>452</v>
      </c>
      <c r="B462" s="9">
        <f>D461</f>
        <v>528.515625</v>
      </c>
      <c r="C462" s="9">
        <f>$B$6</f>
        <v>1.171875</v>
      </c>
      <c r="D462" s="9">
        <f>B462+C462</f>
        <v>529.6875</v>
      </c>
      <c r="E462" s="8">
        <f>MIN($B$7,ROUND(D462/$B$6,0))</f>
        <v>452</v>
      </c>
      <c r="F462" s="8" t="str">
        <f>DEC2BIN(INT(E462/64),5)&amp;DEC2BIN(MOD(E462,64),6)</f>
        <v>00111000100</v>
      </c>
      <c r="G462" s="8" t="str">
        <f>DEC2HEX(E462,3)</f>
        <v>1C4</v>
      </c>
      <c r="H462" s="8" t="str">
        <f>IF(ROUND(D462/$B$6,0)&gt;$B$7,"YES","NO")</f>
        <v>NO</v>
      </c>
    </row>
    <row r="463" spans="1:8">
      <c r="A463" s="10">
        <v>453</v>
      </c>
      <c r="B463" s="11">
        <f>D462</f>
        <v>529.6875</v>
      </c>
      <c r="C463" s="11">
        <f>$B$6</f>
        <v>1.171875</v>
      </c>
      <c r="D463" s="11">
        <f>B463+C463</f>
        <v>530.859375</v>
      </c>
      <c r="E463" s="10">
        <f>MIN($B$7,ROUND(D463/$B$6,0))</f>
        <v>453</v>
      </c>
      <c r="F463" s="10" t="str">
        <f>DEC2BIN(INT(E463/64),5)&amp;DEC2BIN(MOD(E463,64),6)</f>
        <v>00111000101</v>
      </c>
      <c r="G463" s="10" t="str">
        <f>DEC2HEX(E463,3)</f>
        <v>1C5</v>
      </c>
      <c r="H463" s="10" t="str">
        <f>IF(ROUND(D463/$B$6,0)&gt;$B$7,"YES","NO")</f>
        <v>NO</v>
      </c>
    </row>
    <row r="464" spans="1:8">
      <c r="A464" s="8">
        <v>454</v>
      </c>
      <c r="B464" s="9">
        <f>D463</f>
        <v>530.859375</v>
      </c>
      <c r="C464" s="9">
        <f>$B$6</f>
        <v>1.171875</v>
      </c>
      <c r="D464" s="9">
        <f>B464+C464</f>
        <v>532.03125</v>
      </c>
      <c r="E464" s="8">
        <f>MIN($B$7,ROUND(D464/$B$6,0))</f>
        <v>454</v>
      </c>
      <c r="F464" s="8" t="str">
        <f>DEC2BIN(INT(E464/64),5)&amp;DEC2BIN(MOD(E464,64),6)</f>
        <v>00111000110</v>
      </c>
      <c r="G464" s="8" t="str">
        <f>DEC2HEX(E464,3)</f>
        <v>1C6</v>
      </c>
      <c r="H464" s="8" t="str">
        <f>IF(ROUND(D464/$B$6,0)&gt;$B$7,"YES","NO")</f>
        <v>NO</v>
      </c>
    </row>
    <row r="465" spans="1:8">
      <c r="A465" s="10">
        <v>455</v>
      </c>
      <c r="B465" s="11">
        <f>D464</f>
        <v>532.03125</v>
      </c>
      <c r="C465" s="11">
        <f>$B$6</f>
        <v>1.171875</v>
      </c>
      <c r="D465" s="11">
        <f>B465+C465</f>
        <v>533.203125</v>
      </c>
      <c r="E465" s="10">
        <f>MIN($B$7,ROUND(D465/$B$6,0))</f>
        <v>455</v>
      </c>
      <c r="F465" s="10" t="str">
        <f>DEC2BIN(INT(E465/64),5)&amp;DEC2BIN(MOD(E465,64),6)</f>
        <v>00111000111</v>
      </c>
      <c r="G465" s="10" t="str">
        <f>DEC2HEX(E465,3)</f>
        <v>1C7</v>
      </c>
      <c r="H465" s="10" t="str">
        <f>IF(ROUND(D465/$B$6,0)&gt;$B$7,"YES","NO")</f>
        <v>NO</v>
      </c>
    </row>
    <row r="466" spans="1:8">
      <c r="A466" s="8">
        <v>456</v>
      </c>
      <c r="B466" s="9">
        <f>D465</f>
        <v>533.203125</v>
      </c>
      <c r="C466" s="9">
        <f>$B$6</f>
        <v>1.171875</v>
      </c>
      <c r="D466" s="9">
        <f>B466+C466</f>
        <v>534.375</v>
      </c>
      <c r="E466" s="8">
        <f>MIN($B$7,ROUND(D466/$B$6,0))</f>
        <v>456</v>
      </c>
      <c r="F466" s="8" t="str">
        <f>DEC2BIN(INT(E466/64),5)&amp;DEC2BIN(MOD(E466,64),6)</f>
        <v>00111001000</v>
      </c>
      <c r="G466" s="8" t="str">
        <f>DEC2HEX(E466,3)</f>
        <v>1C8</v>
      </c>
      <c r="H466" s="8" t="str">
        <f>IF(ROUND(D466/$B$6,0)&gt;$B$7,"YES","NO")</f>
        <v>NO</v>
      </c>
    </row>
    <row r="467" spans="1:8">
      <c r="A467" s="10">
        <v>457</v>
      </c>
      <c r="B467" s="11">
        <f>D466</f>
        <v>534.375</v>
      </c>
      <c r="C467" s="11">
        <f>$B$6</f>
        <v>1.171875</v>
      </c>
      <c r="D467" s="11">
        <f>B467+C467</f>
        <v>535.546875</v>
      </c>
      <c r="E467" s="10">
        <f>MIN($B$7,ROUND(D467/$B$6,0))</f>
        <v>457</v>
      </c>
      <c r="F467" s="10" t="str">
        <f>DEC2BIN(INT(E467/64),5)&amp;DEC2BIN(MOD(E467,64),6)</f>
        <v>00111001001</v>
      </c>
      <c r="G467" s="10" t="str">
        <f>DEC2HEX(E467,3)</f>
        <v>1C9</v>
      </c>
      <c r="H467" s="10" t="str">
        <f>IF(ROUND(D467/$B$6,0)&gt;$B$7,"YES","NO")</f>
        <v>NO</v>
      </c>
    </row>
    <row r="468" spans="1:8">
      <c r="A468" s="8">
        <v>458</v>
      </c>
      <c r="B468" s="9">
        <f>D467</f>
        <v>535.546875</v>
      </c>
      <c r="C468" s="9">
        <f>$B$6</f>
        <v>1.171875</v>
      </c>
      <c r="D468" s="9">
        <f>B468+C468</f>
        <v>536.71875</v>
      </c>
      <c r="E468" s="8">
        <f>MIN($B$7,ROUND(D468/$B$6,0))</f>
        <v>458</v>
      </c>
      <c r="F468" s="8" t="str">
        <f>DEC2BIN(INT(E468/64),5)&amp;DEC2BIN(MOD(E468,64),6)</f>
        <v>00111001010</v>
      </c>
      <c r="G468" s="8" t="str">
        <f>DEC2HEX(E468,3)</f>
        <v>1CA</v>
      </c>
      <c r="H468" s="8" t="str">
        <f>IF(ROUND(D468/$B$6,0)&gt;$B$7,"YES","NO")</f>
        <v>NO</v>
      </c>
    </row>
    <row r="469" spans="1:8">
      <c r="A469" s="10">
        <v>459</v>
      </c>
      <c r="B469" s="11">
        <f>D468</f>
        <v>536.71875</v>
      </c>
      <c r="C469" s="11">
        <f>$B$6</f>
        <v>1.171875</v>
      </c>
      <c r="D469" s="11">
        <f>B469+C469</f>
        <v>537.890625</v>
      </c>
      <c r="E469" s="10">
        <f>MIN($B$7,ROUND(D469/$B$6,0))</f>
        <v>459</v>
      </c>
      <c r="F469" s="10" t="str">
        <f>DEC2BIN(INT(E469/64),5)&amp;DEC2BIN(MOD(E469,64),6)</f>
        <v>00111001011</v>
      </c>
      <c r="G469" s="10" t="str">
        <f>DEC2HEX(E469,3)</f>
        <v>1CB</v>
      </c>
      <c r="H469" s="10" t="str">
        <f>IF(ROUND(D469/$B$6,0)&gt;$B$7,"YES","NO")</f>
        <v>NO</v>
      </c>
    </row>
    <row r="470" spans="1:8">
      <c r="A470" s="8">
        <v>460</v>
      </c>
      <c r="B470" s="9">
        <f>D469</f>
        <v>537.890625</v>
      </c>
      <c r="C470" s="9">
        <f>$B$6</f>
        <v>1.171875</v>
      </c>
      <c r="D470" s="9">
        <f>B470+C470</f>
        <v>539.0625</v>
      </c>
      <c r="E470" s="8">
        <f>MIN($B$7,ROUND(D470/$B$6,0))</f>
        <v>460</v>
      </c>
      <c r="F470" s="8" t="str">
        <f>DEC2BIN(INT(E470/64),5)&amp;DEC2BIN(MOD(E470,64),6)</f>
        <v>00111001100</v>
      </c>
      <c r="G470" s="8" t="str">
        <f>DEC2HEX(E470,3)</f>
        <v>1CC</v>
      </c>
      <c r="H470" s="8" t="str">
        <f>IF(ROUND(D470/$B$6,0)&gt;$B$7,"YES","NO")</f>
        <v>NO</v>
      </c>
    </row>
    <row r="471" spans="1:8">
      <c r="A471" s="10">
        <v>461</v>
      </c>
      <c r="B471" s="11">
        <f>D470</f>
        <v>539.0625</v>
      </c>
      <c r="C471" s="11">
        <f>$B$6</f>
        <v>1.171875</v>
      </c>
      <c r="D471" s="11">
        <f>B471+C471</f>
        <v>540.234375</v>
      </c>
      <c r="E471" s="10">
        <f>MIN($B$7,ROUND(D471/$B$6,0))</f>
        <v>461</v>
      </c>
      <c r="F471" s="10" t="str">
        <f>DEC2BIN(INT(E471/64),5)&amp;DEC2BIN(MOD(E471,64),6)</f>
        <v>00111001101</v>
      </c>
      <c r="G471" s="10" t="str">
        <f>DEC2HEX(E471,3)</f>
        <v>1CD</v>
      </c>
      <c r="H471" s="10" t="str">
        <f>IF(ROUND(D471/$B$6,0)&gt;$B$7,"YES","NO")</f>
        <v>NO</v>
      </c>
    </row>
    <row r="472" spans="1:8">
      <c r="A472" s="8">
        <v>462</v>
      </c>
      <c r="B472" s="9">
        <f>D471</f>
        <v>540.234375</v>
      </c>
      <c r="C472" s="9">
        <f>$B$6</f>
        <v>1.171875</v>
      </c>
      <c r="D472" s="9">
        <f>B472+C472</f>
        <v>541.40625</v>
      </c>
      <c r="E472" s="8">
        <f>MIN($B$7,ROUND(D472/$B$6,0))</f>
        <v>462</v>
      </c>
      <c r="F472" s="8" t="str">
        <f>DEC2BIN(INT(E472/64),5)&amp;DEC2BIN(MOD(E472,64),6)</f>
        <v>00111001110</v>
      </c>
      <c r="G472" s="8" t="str">
        <f>DEC2HEX(E472,3)</f>
        <v>1CE</v>
      </c>
      <c r="H472" s="8" t="str">
        <f>IF(ROUND(D472/$B$6,0)&gt;$B$7,"YES","NO")</f>
        <v>NO</v>
      </c>
    </row>
    <row r="473" spans="1:8">
      <c r="A473" s="10">
        <v>463</v>
      </c>
      <c r="B473" s="11">
        <f>D472</f>
        <v>541.40625</v>
      </c>
      <c r="C473" s="11">
        <f>$B$6</f>
        <v>1.171875</v>
      </c>
      <c r="D473" s="11">
        <f>B473+C473</f>
        <v>542.578125</v>
      </c>
      <c r="E473" s="10">
        <f>MIN($B$7,ROUND(D473/$B$6,0))</f>
        <v>463</v>
      </c>
      <c r="F473" s="10" t="str">
        <f>DEC2BIN(INT(E473/64),5)&amp;DEC2BIN(MOD(E473,64),6)</f>
        <v>00111001111</v>
      </c>
      <c r="G473" s="10" t="str">
        <f>DEC2HEX(E473,3)</f>
        <v>1CF</v>
      </c>
      <c r="H473" s="10" t="str">
        <f>IF(ROUND(D473/$B$6,0)&gt;$B$7,"YES","NO")</f>
        <v>NO</v>
      </c>
    </row>
    <row r="474" spans="1:8">
      <c r="A474" s="8">
        <v>464</v>
      </c>
      <c r="B474" s="9">
        <f>D473</f>
        <v>542.578125</v>
      </c>
      <c r="C474" s="9">
        <f>$B$6</f>
        <v>1.171875</v>
      </c>
      <c r="D474" s="9">
        <f>B474+C474</f>
        <v>543.75</v>
      </c>
      <c r="E474" s="8">
        <f>MIN($B$7,ROUND(D474/$B$6,0))</f>
        <v>464</v>
      </c>
      <c r="F474" s="8" t="str">
        <f>DEC2BIN(INT(E474/64),5)&amp;DEC2BIN(MOD(E474,64),6)</f>
        <v>00111010000</v>
      </c>
      <c r="G474" s="8" t="str">
        <f>DEC2HEX(E474,3)</f>
        <v>1D0</v>
      </c>
      <c r="H474" s="8" t="str">
        <f>IF(ROUND(D474/$B$6,0)&gt;$B$7,"YES","NO")</f>
        <v>NO</v>
      </c>
    </row>
    <row r="475" spans="1:8">
      <c r="A475" s="10">
        <v>465</v>
      </c>
      <c r="B475" s="11">
        <f>D474</f>
        <v>543.75</v>
      </c>
      <c r="C475" s="11">
        <f>$B$6</f>
        <v>1.171875</v>
      </c>
      <c r="D475" s="11">
        <f>B475+C475</f>
        <v>544.921875</v>
      </c>
      <c r="E475" s="10">
        <f>MIN($B$7,ROUND(D475/$B$6,0))</f>
        <v>465</v>
      </c>
      <c r="F475" s="10" t="str">
        <f>DEC2BIN(INT(E475/64),5)&amp;DEC2BIN(MOD(E475,64),6)</f>
        <v>00111010001</v>
      </c>
      <c r="G475" s="10" t="str">
        <f>DEC2HEX(E475,3)</f>
        <v>1D1</v>
      </c>
      <c r="H475" s="10" t="str">
        <f>IF(ROUND(D475/$B$6,0)&gt;$B$7,"YES","NO")</f>
        <v>NO</v>
      </c>
    </row>
    <row r="476" spans="1:8">
      <c r="A476" s="8">
        <v>466</v>
      </c>
      <c r="B476" s="9">
        <f>D475</f>
        <v>544.921875</v>
      </c>
      <c r="C476" s="9">
        <f>$B$6</f>
        <v>1.171875</v>
      </c>
      <c r="D476" s="9">
        <f>B476+C476</f>
        <v>546.09375</v>
      </c>
      <c r="E476" s="8">
        <f>MIN($B$7,ROUND(D476/$B$6,0))</f>
        <v>466</v>
      </c>
      <c r="F476" s="8" t="str">
        <f>DEC2BIN(INT(E476/64),5)&amp;DEC2BIN(MOD(E476,64),6)</f>
        <v>00111010010</v>
      </c>
      <c r="G476" s="8" t="str">
        <f>DEC2HEX(E476,3)</f>
        <v>1D2</v>
      </c>
      <c r="H476" s="8" t="str">
        <f>IF(ROUND(D476/$B$6,0)&gt;$B$7,"YES","NO")</f>
        <v>NO</v>
      </c>
    </row>
    <row r="477" spans="1:8">
      <c r="A477" s="10">
        <v>467</v>
      </c>
      <c r="B477" s="11">
        <f>D476</f>
        <v>546.09375</v>
      </c>
      <c r="C477" s="11">
        <f>$B$6</f>
        <v>1.171875</v>
      </c>
      <c r="D477" s="11">
        <f>B477+C477</f>
        <v>547.265625</v>
      </c>
      <c r="E477" s="10">
        <f>MIN($B$7,ROUND(D477/$B$6,0))</f>
        <v>467</v>
      </c>
      <c r="F477" s="10" t="str">
        <f>DEC2BIN(INT(E477/64),5)&amp;DEC2BIN(MOD(E477,64),6)</f>
        <v>00111010011</v>
      </c>
      <c r="G477" s="10" t="str">
        <f>DEC2HEX(E477,3)</f>
        <v>1D3</v>
      </c>
      <c r="H477" s="10" t="str">
        <f>IF(ROUND(D477/$B$6,0)&gt;$B$7,"YES","NO")</f>
        <v>NO</v>
      </c>
    </row>
    <row r="478" spans="1:8">
      <c r="A478" s="8">
        <v>468</v>
      </c>
      <c r="B478" s="9">
        <f>D477</f>
        <v>547.265625</v>
      </c>
      <c r="C478" s="9">
        <f>$B$6</f>
        <v>1.171875</v>
      </c>
      <c r="D478" s="9">
        <f>B478+C478</f>
        <v>548.4375</v>
      </c>
      <c r="E478" s="8">
        <f>MIN($B$7,ROUND(D478/$B$6,0))</f>
        <v>468</v>
      </c>
      <c r="F478" s="8" t="str">
        <f>DEC2BIN(INT(E478/64),5)&amp;DEC2BIN(MOD(E478,64),6)</f>
        <v>00111010100</v>
      </c>
      <c r="G478" s="8" t="str">
        <f>DEC2HEX(E478,3)</f>
        <v>1D4</v>
      </c>
      <c r="H478" s="8" t="str">
        <f>IF(ROUND(D478/$B$6,0)&gt;$B$7,"YES","NO")</f>
        <v>NO</v>
      </c>
    </row>
    <row r="479" spans="1:8">
      <c r="A479" s="10">
        <v>469</v>
      </c>
      <c r="B479" s="11">
        <f>D478</f>
        <v>548.4375</v>
      </c>
      <c r="C479" s="11">
        <f>$B$6</f>
        <v>1.171875</v>
      </c>
      <c r="D479" s="11">
        <f>B479+C479</f>
        <v>549.609375</v>
      </c>
      <c r="E479" s="10">
        <f>MIN($B$7,ROUND(D479/$B$6,0))</f>
        <v>469</v>
      </c>
      <c r="F479" s="10" t="str">
        <f>DEC2BIN(INT(E479/64),5)&amp;DEC2BIN(MOD(E479,64),6)</f>
        <v>00111010101</v>
      </c>
      <c r="G479" s="10" t="str">
        <f>DEC2HEX(E479,3)</f>
        <v>1D5</v>
      </c>
      <c r="H479" s="10" t="str">
        <f>IF(ROUND(D479/$B$6,0)&gt;$B$7,"YES","NO")</f>
        <v>NO</v>
      </c>
    </row>
    <row r="480" spans="1:8">
      <c r="A480" s="8">
        <v>470</v>
      </c>
      <c r="B480" s="9">
        <f>D479</f>
        <v>549.609375</v>
      </c>
      <c r="C480" s="9">
        <f>$B$6</f>
        <v>1.171875</v>
      </c>
      <c r="D480" s="9">
        <f>B480+C480</f>
        <v>550.78125</v>
      </c>
      <c r="E480" s="8">
        <f>MIN($B$7,ROUND(D480/$B$6,0))</f>
        <v>470</v>
      </c>
      <c r="F480" s="8" t="str">
        <f>DEC2BIN(INT(E480/64),5)&amp;DEC2BIN(MOD(E480,64),6)</f>
        <v>00111010110</v>
      </c>
      <c r="G480" s="8" t="str">
        <f>DEC2HEX(E480,3)</f>
        <v>1D6</v>
      </c>
      <c r="H480" s="8" t="str">
        <f>IF(ROUND(D480/$B$6,0)&gt;$B$7,"YES","NO")</f>
        <v>NO</v>
      </c>
    </row>
    <row r="481" spans="1:8">
      <c r="A481" s="10">
        <v>471</v>
      </c>
      <c r="B481" s="11">
        <f>D480</f>
        <v>550.78125</v>
      </c>
      <c r="C481" s="11">
        <f>$B$6</f>
        <v>1.171875</v>
      </c>
      <c r="D481" s="11">
        <f>B481+C481</f>
        <v>551.953125</v>
      </c>
      <c r="E481" s="10">
        <f>MIN($B$7,ROUND(D481/$B$6,0))</f>
        <v>471</v>
      </c>
      <c r="F481" s="10" t="str">
        <f>DEC2BIN(INT(E481/64),5)&amp;DEC2BIN(MOD(E481,64),6)</f>
        <v>00111010111</v>
      </c>
      <c r="G481" s="10" t="str">
        <f>DEC2HEX(E481,3)</f>
        <v>1D7</v>
      </c>
      <c r="H481" s="10" t="str">
        <f>IF(ROUND(D481/$B$6,0)&gt;$B$7,"YES","NO")</f>
        <v>NO</v>
      </c>
    </row>
    <row r="482" spans="1:8">
      <c r="A482" s="8">
        <v>472</v>
      </c>
      <c r="B482" s="9">
        <f>D481</f>
        <v>551.953125</v>
      </c>
      <c r="C482" s="9">
        <f>$B$6</f>
        <v>1.171875</v>
      </c>
      <c r="D482" s="9">
        <f>B482+C482</f>
        <v>553.125</v>
      </c>
      <c r="E482" s="8">
        <f>MIN($B$7,ROUND(D482/$B$6,0))</f>
        <v>472</v>
      </c>
      <c r="F482" s="8" t="str">
        <f>DEC2BIN(INT(E482/64),5)&amp;DEC2BIN(MOD(E482,64),6)</f>
        <v>00111011000</v>
      </c>
      <c r="G482" s="8" t="str">
        <f>DEC2HEX(E482,3)</f>
        <v>1D8</v>
      </c>
      <c r="H482" s="8" t="str">
        <f>IF(ROUND(D482/$B$6,0)&gt;$B$7,"YES","NO")</f>
        <v>NO</v>
      </c>
    </row>
    <row r="483" spans="1:8">
      <c r="A483" s="10">
        <v>473</v>
      </c>
      <c r="B483" s="11">
        <f>D482</f>
        <v>553.125</v>
      </c>
      <c r="C483" s="11">
        <f>$B$6</f>
        <v>1.171875</v>
      </c>
      <c r="D483" s="11">
        <f>B483+C483</f>
        <v>554.296875</v>
      </c>
      <c r="E483" s="10">
        <f>MIN($B$7,ROUND(D483/$B$6,0))</f>
        <v>473</v>
      </c>
      <c r="F483" s="10" t="str">
        <f>DEC2BIN(INT(E483/64),5)&amp;DEC2BIN(MOD(E483,64),6)</f>
        <v>00111011001</v>
      </c>
      <c r="G483" s="10" t="str">
        <f>DEC2HEX(E483,3)</f>
        <v>1D9</v>
      </c>
      <c r="H483" s="10" t="str">
        <f>IF(ROUND(D483/$B$6,0)&gt;$B$7,"YES","NO")</f>
        <v>NO</v>
      </c>
    </row>
    <row r="484" spans="1:8">
      <c r="A484" s="8">
        <v>474</v>
      </c>
      <c r="B484" s="9">
        <f>D483</f>
        <v>554.296875</v>
      </c>
      <c r="C484" s="9">
        <f>$B$6</f>
        <v>1.171875</v>
      </c>
      <c r="D484" s="9">
        <f>B484+C484</f>
        <v>555.46875</v>
      </c>
      <c r="E484" s="8">
        <f>MIN($B$7,ROUND(D484/$B$6,0))</f>
        <v>474</v>
      </c>
      <c r="F484" s="8" t="str">
        <f>DEC2BIN(INT(E484/64),5)&amp;DEC2BIN(MOD(E484,64),6)</f>
        <v>00111011010</v>
      </c>
      <c r="G484" s="8" t="str">
        <f>DEC2HEX(E484,3)</f>
        <v>1DA</v>
      </c>
      <c r="H484" s="8" t="str">
        <f>IF(ROUND(D484/$B$6,0)&gt;$B$7,"YES","NO")</f>
        <v>NO</v>
      </c>
    </row>
    <row r="485" spans="1:8">
      <c r="A485" s="10">
        <v>475</v>
      </c>
      <c r="B485" s="11">
        <f>D484</f>
        <v>555.46875</v>
      </c>
      <c r="C485" s="11">
        <f>$B$6</f>
        <v>1.171875</v>
      </c>
      <c r="D485" s="11">
        <f>B485+C485</f>
        <v>556.640625</v>
      </c>
      <c r="E485" s="10">
        <f>MIN($B$7,ROUND(D485/$B$6,0))</f>
        <v>475</v>
      </c>
      <c r="F485" s="10" t="str">
        <f>DEC2BIN(INT(E485/64),5)&amp;DEC2BIN(MOD(E485,64),6)</f>
        <v>00111011011</v>
      </c>
      <c r="G485" s="10" t="str">
        <f>DEC2HEX(E485,3)</f>
        <v>1DB</v>
      </c>
      <c r="H485" s="10" t="str">
        <f>IF(ROUND(D485/$B$6,0)&gt;$B$7,"YES","NO")</f>
        <v>NO</v>
      </c>
    </row>
    <row r="486" spans="1:8">
      <c r="A486" s="8">
        <v>476</v>
      </c>
      <c r="B486" s="9">
        <f>D485</f>
        <v>556.640625</v>
      </c>
      <c r="C486" s="9">
        <f>$B$6</f>
        <v>1.171875</v>
      </c>
      <c r="D486" s="9">
        <f>B486+C486</f>
        <v>557.8125</v>
      </c>
      <c r="E486" s="8">
        <f>MIN($B$7,ROUND(D486/$B$6,0))</f>
        <v>476</v>
      </c>
      <c r="F486" s="8" t="str">
        <f>DEC2BIN(INT(E486/64),5)&amp;DEC2BIN(MOD(E486,64),6)</f>
        <v>00111011100</v>
      </c>
      <c r="G486" s="8" t="str">
        <f>DEC2HEX(E486,3)</f>
        <v>1DC</v>
      </c>
      <c r="H486" s="8" t="str">
        <f>IF(ROUND(D486/$B$6,0)&gt;$B$7,"YES","NO")</f>
        <v>NO</v>
      </c>
    </row>
    <row r="487" spans="1:8">
      <c r="A487" s="10">
        <v>477</v>
      </c>
      <c r="B487" s="11">
        <f>D486</f>
        <v>557.8125</v>
      </c>
      <c r="C487" s="11">
        <f>$B$6</f>
        <v>1.171875</v>
      </c>
      <c r="D487" s="11">
        <f>B487+C487</f>
        <v>558.984375</v>
      </c>
      <c r="E487" s="10">
        <f>MIN($B$7,ROUND(D487/$B$6,0))</f>
        <v>477</v>
      </c>
      <c r="F487" s="10" t="str">
        <f>DEC2BIN(INT(E487/64),5)&amp;DEC2BIN(MOD(E487,64),6)</f>
        <v>00111011101</v>
      </c>
      <c r="G487" s="10" t="str">
        <f>DEC2HEX(E487,3)</f>
        <v>1DD</v>
      </c>
      <c r="H487" s="10" t="str">
        <f>IF(ROUND(D487/$B$6,0)&gt;$B$7,"YES","NO")</f>
        <v>NO</v>
      </c>
    </row>
    <row r="488" spans="1:8">
      <c r="A488" s="8">
        <v>478</v>
      </c>
      <c r="B488" s="9">
        <f>D487</f>
        <v>558.984375</v>
      </c>
      <c r="C488" s="9">
        <f>$B$6</f>
        <v>1.171875</v>
      </c>
      <c r="D488" s="9">
        <f>B488+C488</f>
        <v>560.15625</v>
      </c>
      <c r="E488" s="8">
        <f>MIN($B$7,ROUND(D488/$B$6,0))</f>
        <v>478</v>
      </c>
      <c r="F488" s="8" t="str">
        <f>DEC2BIN(INT(E488/64),5)&amp;DEC2BIN(MOD(E488,64),6)</f>
        <v>00111011110</v>
      </c>
      <c r="G488" s="8" t="str">
        <f>DEC2HEX(E488,3)</f>
        <v>1DE</v>
      </c>
      <c r="H488" s="8" t="str">
        <f>IF(ROUND(D488/$B$6,0)&gt;$B$7,"YES","NO")</f>
        <v>NO</v>
      </c>
    </row>
    <row r="489" spans="1:8">
      <c r="A489" s="10">
        <v>479</v>
      </c>
      <c r="B489" s="11">
        <f>D488</f>
        <v>560.15625</v>
      </c>
      <c r="C489" s="11">
        <f>$B$6</f>
        <v>1.171875</v>
      </c>
      <c r="D489" s="11">
        <f>B489+C489</f>
        <v>561.328125</v>
      </c>
      <c r="E489" s="10">
        <f>MIN($B$7,ROUND(D489/$B$6,0))</f>
        <v>479</v>
      </c>
      <c r="F489" s="10" t="str">
        <f>DEC2BIN(INT(E489/64),5)&amp;DEC2BIN(MOD(E489,64),6)</f>
        <v>00111011111</v>
      </c>
      <c r="G489" s="10" t="str">
        <f>DEC2HEX(E489,3)</f>
        <v>1DF</v>
      </c>
      <c r="H489" s="10" t="str">
        <f>IF(ROUND(D489/$B$6,0)&gt;$B$7,"YES","NO")</f>
        <v>NO</v>
      </c>
    </row>
    <row r="490" spans="1:8">
      <c r="A490" s="8">
        <v>480</v>
      </c>
      <c r="B490" s="9">
        <f>D489</f>
        <v>561.328125</v>
      </c>
      <c r="C490" s="9">
        <f>$B$6</f>
        <v>1.171875</v>
      </c>
      <c r="D490" s="9">
        <f>B490+C490</f>
        <v>562.5</v>
      </c>
      <c r="E490" s="8">
        <f>MIN($B$7,ROUND(D490/$B$6,0))</f>
        <v>480</v>
      </c>
      <c r="F490" s="8" t="str">
        <f>DEC2BIN(INT(E490/64),5)&amp;DEC2BIN(MOD(E490,64),6)</f>
        <v>00111100000</v>
      </c>
      <c r="G490" s="8" t="str">
        <f>DEC2HEX(E490,3)</f>
        <v>1E0</v>
      </c>
      <c r="H490" s="8" t="str">
        <f>IF(ROUND(D490/$B$6,0)&gt;$B$7,"YES","NO")</f>
        <v>NO</v>
      </c>
    </row>
    <row r="491" spans="1:8">
      <c r="A491" s="10">
        <v>481</v>
      </c>
      <c r="B491" s="11">
        <f>D490</f>
        <v>562.5</v>
      </c>
      <c r="C491" s="11">
        <f>$B$6</f>
        <v>1.171875</v>
      </c>
      <c r="D491" s="11">
        <f>B491+C491</f>
        <v>563.671875</v>
      </c>
      <c r="E491" s="10">
        <f>MIN($B$7,ROUND(D491/$B$6,0))</f>
        <v>481</v>
      </c>
      <c r="F491" s="10" t="str">
        <f>DEC2BIN(INT(E491/64),5)&amp;DEC2BIN(MOD(E491,64),6)</f>
        <v>00111100001</v>
      </c>
      <c r="G491" s="10" t="str">
        <f>DEC2HEX(E491,3)</f>
        <v>1E1</v>
      </c>
      <c r="H491" s="10" t="str">
        <f>IF(ROUND(D491/$B$6,0)&gt;$B$7,"YES","NO")</f>
        <v>NO</v>
      </c>
    </row>
    <row r="492" spans="1:8">
      <c r="A492" s="8">
        <v>482</v>
      </c>
      <c r="B492" s="9">
        <f>D491</f>
        <v>563.671875</v>
      </c>
      <c r="C492" s="9">
        <f>$B$6</f>
        <v>1.171875</v>
      </c>
      <c r="D492" s="9">
        <f>B492+C492</f>
        <v>564.84375</v>
      </c>
      <c r="E492" s="8">
        <f>MIN($B$7,ROUND(D492/$B$6,0))</f>
        <v>482</v>
      </c>
      <c r="F492" s="8" t="str">
        <f>DEC2BIN(INT(E492/64),5)&amp;DEC2BIN(MOD(E492,64),6)</f>
        <v>00111100010</v>
      </c>
      <c r="G492" s="8" t="str">
        <f>DEC2HEX(E492,3)</f>
        <v>1E2</v>
      </c>
      <c r="H492" s="8" t="str">
        <f>IF(ROUND(D492/$B$6,0)&gt;$B$7,"YES","NO")</f>
        <v>NO</v>
      </c>
    </row>
    <row r="493" spans="1:8">
      <c r="A493" s="10">
        <v>483</v>
      </c>
      <c r="B493" s="11">
        <f>D492</f>
        <v>564.84375</v>
      </c>
      <c r="C493" s="11">
        <f>$B$6</f>
        <v>1.171875</v>
      </c>
      <c r="D493" s="11">
        <f>B493+C493</f>
        <v>566.015625</v>
      </c>
      <c r="E493" s="10">
        <f>MIN($B$7,ROUND(D493/$B$6,0))</f>
        <v>483</v>
      </c>
      <c r="F493" s="10" t="str">
        <f>DEC2BIN(INT(E493/64),5)&amp;DEC2BIN(MOD(E493,64),6)</f>
        <v>00111100011</v>
      </c>
      <c r="G493" s="10" t="str">
        <f>DEC2HEX(E493,3)</f>
        <v>1E3</v>
      </c>
      <c r="H493" s="10" t="str">
        <f>IF(ROUND(D493/$B$6,0)&gt;$B$7,"YES","NO")</f>
        <v>NO</v>
      </c>
    </row>
    <row r="494" spans="1:8">
      <c r="A494" s="8">
        <v>484</v>
      </c>
      <c r="B494" s="9">
        <f>D493</f>
        <v>566.015625</v>
      </c>
      <c r="C494" s="9">
        <f>$B$6</f>
        <v>1.171875</v>
      </c>
      <c r="D494" s="9">
        <f>B494+C494</f>
        <v>567.1875</v>
      </c>
      <c r="E494" s="8">
        <f>MIN($B$7,ROUND(D494/$B$6,0))</f>
        <v>484</v>
      </c>
      <c r="F494" s="8" t="str">
        <f>DEC2BIN(INT(E494/64),5)&amp;DEC2BIN(MOD(E494,64),6)</f>
        <v>00111100100</v>
      </c>
      <c r="G494" s="8" t="str">
        <f>DEC2HEX(E494,3)</f>
        <v>1E4</v>
      </c>
      <c r="H494" s="8" t="str">
        <f>IF(ROUND(D494/$B$6,0)&gt;$B$7,"YES","NO")</f>
        <v>NO</v>
      </c>
    </row>
    <row r="495" spans="1:8">
      <c r="A495" s="10">
        <v>485</v>
      </c>
      <c r="B495" s="11">
        <f>D494</f>
        <v>567.1875</v>
      </c>
      <c r="C495" s="11">
        <f>$B$6</f>
        <v>1.171875</v>
      </c>
      <c r="D495" s="11">
        <f>B495+C495</f>
        <v>568.359375</v>
      </c>
      <c r="E495" s="10">
        <f>MIN($B$7,ROUND(D495/$B$6,0))</f>
        <v>485</v>
      </c>
      <c r="F495" s="10" t="str">
        <f>DEC2BIN(INT(E495/64),5)&amp;DEC2BIN(MOD(E495,64),6)</f>
        <v>00111100101</v>
      </c>
      <c r="G495" s="10" t="str">
        <f>DEC2HEX(E495,3)</f>
        <v>1E5</v>
      </c>
      <c r="H495" s="10" t="str">
        <f>IF(ROUND(D495/$B$6,0)&gt;$B$7,"YES","NO")</f>
        <v>NO</v>
      </c>
    </row>
    <row r="496" spans="1:8">
      <c r="A496" s="8">
        <v>486</v>
      </c>
      <c r="B496" s="9">
        <f>D495</f>
        <v>568.359375</v>
      </c>
      <c r="C496" s="9">
        <f>$B$6</f>
        <v>1.171875</v>
      </c>
      <c r="D496" s="9">
        <f>B496+C496</f>
        <v>569.53125</v>
      </c>
      <c r="E496" s="8">
        <f>MIN($B$7,ROUND(D496/$B$6,0))</f>
        <v>486</v>
      </c>
      <c r="F496" s="8" t="str">
        <f>DEC2BIN(INT(E496/64),5)&amp;DEC2BIN(MOD(E496,64),6)</f>
        <v>00111100110</v>
      </c>
      <c r="G496" s="8" t="str">
        <f>DEC2HEX(E496,3)</f>
        <v>1E6</v>
      </c>
      <c r="H496" s="8" t="str">
        <f>IF(ROUND(D496/$B$6,0)&gt;$B$7,"YES","NO")</f>
        <v>NO</v>
      </c>
    </row>
    <row r="497" spans="1:8">
      <c r="A497" s="10">
        <v>487</v>
      </c>
      <c r="B497" s="11">
        <f>D496</f>
        <v>569.53125</v>
      </c>
      <c r="C497" s="11">
        <f>$B$6</f>
        <v>1.171875</v>
      </c>
      <c r="D497" s="11">
        <f>B497+C497</f>
        <v>570.703125</v>
      </c>
      <c r="E497" s="10">
        <f>MIN($B$7,ROUND(D497/$B$6,0))</f>
        <v>487</v>
      </c>
      <c r="F497" s="10" t="str">
        <f>DEC2BIN(INT(E497/64),5)&amp;DEC2BIN(MOD(E497,64),6)</f>
        <v>00111100111</v>
      </c>
      <c r="G497" s="10" t="str">
        <f>DEC2HEX(E497,3)</f>
        <v>1E7</v>
      </c>
      <c r="H497" s="10" t="str">
        <f>IF(ROUND(D497/$B$6,0)&gt;$B$7,"YES","NO")</f>
        <v>NO</v>
      </c>
    </row>
    <row r="498" spans="1:8">
      <c r="A498" s="8">
        <v>488</v>
      </c>
      <c r="B498" s="9">
        <f>D497</f>
        <v>570.703125</v>
      </c>
      <c r="C498" s="9">
        <f>$B$6</f>
        <v>1.171875</v>
      </c>
      <c r="D498" s="9">
        <f>B498+C498</f>
        <v>571.875</v>
      </c>
      <c r="E498" s="8">
        <f>MIN($B$7,ROUND(D498/$B$6,0))</f>
        <v>488</v>
      </c>
      <c r="F498" s="8" t="str">
        <f>DEC2BIN(INT(E498/64),5)&amp;DEC2BIN(MOD(E498,64),6)</f>
        <v>00111101000</v>
      </c>
      <c r="G498" s="8" t="str">
        <f>DEC2HEX(E498,3)</f>
        <v>1E8</v>
      </c>
      <c r="H498" s="8" t="str">
        <f>IF(ROUND(D498/$B$6,0)&gt;$B$7,"YES","NO")</f>
        <v>NO</v>
      </c>
    </row>
    <row r="499" spans="1:8">
      <c r="A499" s="10">
        <v>489</v>
      </c>
      <c r="B499" s="11">
        <f>D498</f>
        <v>571.875</v>
      </c>
      <c r="C499" s="11">
        <f>$B$6</f>
        <v>1.171875</v>
      </c>
      <c r="D499" s="11">
        <f>B499+C499</f>
        <v>573.046875</v>
      </c>
      <c r="E499" s="10">
        <f>MIN($B$7,ROUND(D499/$B$6,0))</f>
        <v>489</v>
      </c>
      <c r="F499" s="10" t="str">
        <f>DEC2BIN(INT(E499/64),5)&amp;DEC2BIN(MOD(E499,64),6)</f>
        <v>00111101001</v>
      </c>
      <c r="G499" s="10" t="str">
        <f>DEC2HEX(E499,3)</f>
        <v>1E9</v>
      </c>
      <c r="H499" s="10" t="str">
        <f>IF(ROUND(D499/$B$6,0)&gt;$B$7,"YES","NO")</f>
        <v>NO</v>
      </c>
    </row>
    <row r="500" spans="1:8">
      <c r="A500" s="8">
        <v>490</v>
      </c>
      <c r="B500" s="9">
        <f>D499</f>
        <v>573.046875</v>
      </c>
      <c r="C500" s="9">
        <f>$B$6</f>
        <v>1.171875</v>
      </c>
      <c r="D500" s="9">
        <f>B500+C500</f>
        <v>574.21875</v>
      </c>
      <c r="E500" s="8">
        <f>MIN($B$7,ROUND(D500/$B$6,0))</f>
        <v>490</v>
      </c>
      <c r="F500" s="8" t="str">
        <f>DEC2BIN(INT(E500/64),5)&amp;DEC2BIN(MOD(E500,64),6)</f>
        <v>00111101010</v>
      </c>
      <c r="G500" s="8" t="str">
        <f>DEC2HEX(E500,3)</f>
        <v>1EA</v>
      </c>
      <c r="H500" s="8" t="str">
        <f>IF(ROUND(D500/$B$6,0)&gt;$B$7,"YES","NO")</f>
        <v>NO</v>
      </c>
    </row>
    <row r="501" spans="1:8">
      <c r="A501" s="10">
        <v>491</v>
      </c>
      <c r="B501" s="11">
        <f>D500</f>
        <v>574.21875</v>
      </c>
      <c r="C501" s="11">
        <f>$B$6</f>
        <v>1.171875</v>
      </c>
      <c r="D501" s="11">
        <f>B501+C501</f>
        <v>575.390625</v>
      </c>
      <c r="E501" s="10">
        <f>MIN($B$7,ROUND(D501/$B$6,0))</f>
        <v>491</v>
      </c>
      <c r="F501" s="10" t="str">
        <f>DEC2BIN(INT(E501/64),5)&amp;DEC2BIN(MOD(E501,64),6)</f>
        <v>00111101011</v>
      </c>
      <c r="G501" s="10" t="str">
        <f>DEC2HEX(E501,3)</f>
        <v>1EB</v>
      </c>
      <c r="H501" s="10" t="str">
        <f>IF(ROUND(D501/$B$6,0)&gt;$B$7,"YES","NO")</f>
        <v>NO</v>
      </c>
    </row>
    <row r="502" spans="1:8">
      <c r="A502" s="8">
        <v>492</v>
      </c>
      <c r="B502" s="9">
        <f>D501</f>
        <v>575.390625</v>
      </c>
      <c r="C502" s="9">
        <f>$B$6</f>
        <v>1.171875</v>
      </c>
      <c r="D502" s="9">
        <f>B502+C502</f>
        <v>576.5625</v>
      </c>
      <c r="E502" s="8">
        <f>MIN($B$7,ROUND(D502/$B$6,0))</f>
        <v>492</v>
      </c>
      <c r="F502" s="8" t="str">
        <f>DEC2BIN(INT(E502/64),5)&amp;DEC2BIN(MOD(E502,64),6)</f>
        <v>00111101100</v>
      </c>
      <c r="G502" s="8" t="str">
        <f>DEC2HEX(E502,3)</f>
        <v>1EC</v>
      </c>
      <c r="H502" s="8" t="str">
        <f>IF(ROUND(D502/$B$6,0)&gt;$B$7,"YES","NO")</f>
        <v>NO</v>
      </c>
    </row>
    <row r="503" spans="1:8">
      <c r="A503" s="10">
        <v>493</v>
      </c>
      <c r="B503" s="11">
        <f>D502</f>
        <v>576.5625</v>
      </c>
      <c r="C503" s="11">
        <f>$B$6</f>
        <v>1.171875</v>
      </c>
      <c r="D503" s="11">
        <f>B503+C503</f>
        <v>577.734375</v>
      </c>
      <c r="E503" s="10">
        <f>MIN($B$7,ROUND(D503/$B$6,0))</f>
        <v>493</v>
      </c>
      <c r="F503" s="10" t="str">
        <f>DEC2BIN(INT(E503/64),5)&amp;DEC2BIN(MOD(E503,64),6)</f>
        <v>00111101101</v>
      </c>
      <c r="G503" s="10" t="str">
        <f>DEC2HEX(E503,3)</f>
        <v>1ED</v>
      </c>
      <c r="H503" s="10" t="str">
        <f>IF(ROUND(D503/$B$6,0)&gt;$B$7,"YES","NO")</f>
        <v>NO</v>
      </c>
    </row>
    <row r="504" spans="1:8">
      <c r="A504" s="8">
        <v>494</v>
      </c>
      <c r="B504" s="9">
        <f>D503</f>
        <v>577.734375</v>
      </c>
      <c r="C504" s="9">
        <f>$B$6</f>
        <v>1.171875</v>
      </c>
      <c r="D504" s="9">
        <f>B504+C504</f>
        <v>578.90625</v>
      </c>
      <c r="E504" s="8">
        <f>MIN($B$7,ROUND(D504/$B$6,0))</f>
        <v>494</v>
      </c>
      <c r="F504" s="8" t="str">
        <f>DEC2BIN(INT(E504/64),5)&amp;DEC2BIN(MOD(E504,64),6)</f>
        <v>00111101110</v>
      </c>
      <c r="G504" s="8" t="str">
        <f>DEC2HEX(E504,3)</f>
        <v>1EE</v>
      </c>
      <c r="H504" s="8" t="str">
        <f>IF(ROUND(D504/$B$6,0)&gt;$B$7,"YES","NO")</f>
        <v>NO</v>
      </c>
    </row>
    <row r="505" spans="1:8">
      <c r="A505" s="10">
        <v>495</v>
      </c>
      <c r="B505" s="11">
        <f>D504</f>
        <v>578.90625</v>
      </c>
      <c r="C505" s="11">
        <f>$B$6</f>
        <v>1.171875</v>
      </c>
      <c r="D505" s="11">
        <f>B505+C505</f>
        <v>580.078125</v>
      </c>
      <c r="E505" s="10">
        <f>MIN($B$7,ROUND(D505/$B$6,0))</f>
        <v>495</v>
      </c>
      <c r="F505" s="10" t="str">
        <f>DEC2BIN(INT(E505/64),5)&amp;DEC2BIN(MOD(E505,64),6)</f>
        <v>00111101111</v>
      </c>
      <c r="G505" s="10" t="str">
        <f>DEC2HEX(E505,3)</f>
        <v>1EF</v>
      </c>
      <c r="H505" s="10" t="str">
        <f>IF(ROUND(D505/$B$6,0)&gt;$B$7,"YES","NO")</f>
        <v>NO</v>
      </c>
    </row>
    <row r="506" spans="1:8">
      <c r="A506" s="8">
        <v>496</v>
      </c>
      <c r="B506" s="9">
        <f>D505</f>
        <v>580.078125</v>
      </c>
      <c r="C506" s="9">
        <f>$B$6</f>
        <v>1.171875</v>
      </c>
      <c r="D506" s="9">
        <f>B506+C506</f>
        <v>581.25</v>
      </c>
      <c r="E506" s="8">
        <f>MIN($B$7,ROUND(D506/$B$6,0))</f>
        <v>496</v>
      </c>
      <c r="F506" s="8" t="str">
        <f>DEC2BIN(INT(E506/64),5)&amp;DEC2BIN(MOD(E506,64),6)</f>
        <v>00111110000</v>
      </c>
      <c r="G506" s="8" t="str">
        <f>DEC2HEX(E506,3)</f>
        <v>1F0</v>
      </c>
      <c r="H506" s="8" t="str">
        <f>IF(ROUND(D506/$B$6,0)&gt;$B$7,"YES","NO")</f>
        <v>NO</v>
      </c>
    </row>
    <row r="507" spans="1:8">
      <c r="A507" s="10">
        <v>497</v>
      </c>
      <c r="B507" s="11">
        <f>D506</f>
        <v>581.25</v>
      </c>
      <c r="C507" s="11">
        <f>$B$6</f>
        <v>1.171875</v>
      </c>
      <c r="D507" s="11">
        <f>B507+C507</f>
        <v>582.421875</v>
      </c>
      <c r="E507" s="10">
        <f>MIN($B$7,ROUND(D507/$B$6,0))</f>
        <v>497</v>
      </c>
      <c r="F507" s="10" t="str">
        <f>DEC2BIN(INT(E507/64),5)&amp;DEC2BIN(MOD(E507,64),6)</f>
        <v>00111110001</v>
      </c>
      <c r="G507" s="10" t="str">
        <f>DEC2HEX(E507,3)</f>
        <v>1F1</v>
      </c>
      <c r="H507" s="10" t="str">
        <f>IF(ROUND(D507/$B$6,0)&gt;$B$7,"YES","NO")</f>
        <v>NO</v>
      </c>
    </row>
    <row r="508" spans="1:8">
      <c r="A508" s="8">
        <v>498</v>
      </c>
      <c r="B508" s="9">
        <f>D507</f>
        <v>582.421875</v>
      </c>
      <c r="C508" s="9">
        <f>$B$6</f>
        <v>1.171875</v>
      </c>
      <c r="D508" s="9">
        <f>B508+C508</f>
        <v>583.59375</v>
      </c>
      <c r="E508" s="8">
        <f>MIN($B$7,ROUND(D508/$B$6,0))</f>
        <v>498</v>
      </c>
      <c r="F508" s="8" t="str">
        <f>DEC2BIN(INT(E508/64),5)&amp;DEC2BIN(MOD(E508,64),6)</f>
        <v>00111110010</v>
      </c>
      <c r="G508" s="8" t="str">
        <f>DEC2HEX(E508,3)</f>
        <v>1F2</v>
      </c>
      <c r="H508" s="8" t="str">
        <f>IF(ROUND(D508/$B$6,0)&gt;$B$7,"YES","NO")</f>
        <v>NO</v>
      </c>
    </row>
    <row r="509" spans="1:8">
      <c r="A509" s="10">
        <v>499</v>
      </c>
      <c r="B509" s="11">
        <f>D508</f>
        <v>583.59375</v>
      </c>
      <c r="C509" s="11">
        <f>$B$6</f>
        <v>1.171875</v>
      </c>
      <c r="D509" s="11">
        <f>B509+C509</f>
        <v>584.765625</v>
      </c>
      <c r="E509" s="10">
        <f>MIN($B$7,ROUND(D509/$B$6,0))</f>
        <v>499</v>
      </c>
      <c r="F509" s="10" t="str">
        <f>DEC2BIN(INT(E509/64),5)&amp;DEC2BIN(MOD(E509,64),6)</f>
        <v>00111110011</v>
      </c>
      <c r="G509" s="10" t="str">
        <f>DEC2HEX(E509,3)</f>
        <v>1F3</v>
      </c>
      <c r="H509" s="10" t="str">
        <f>IF(ROUND(D509/$B$6,0)&gt;$B$7,"YES","NO")</f>
        <v>NO</v>
      </c>
    </row>
    <row r="510" spans="1:8">
      <c r="A510" s="8">
        <v>500</v>
      </c>
      <c r="B510" s="9">
        <f>D509</f>
        <v>584.765625</v>
      </c>
      <c r="C510" s="9">
        <f>$B$6</f>
        <v>1.171875</v>
      </c>
      <c r="D510" s="9">
        <f>B510+C510</f>
        <v>585.9375</v>
      </c>
      <c r="E510" s="8">
        <f>MIN($B$7,ROUND(D510/$B$6,0))</f>
        <v>500</v>
      </c>
      <c r="F510" s="8" t="str">
        <f>DEC2BIN(INT(E510/64),5)&amp;DEC2BIN(MOD(E510,64),6)</f>
        <v>00111110100</v>
      </c>
      <c r="G510" s="8" t="str">
        <f>DEC2HEX(E510,3)</f>
        <v>1F4</v>
      </c>
      <c r="H510" s="8" t="str">
        <f>IF(ROUND(D510/$B$6,0)&gt;$B$7,"YES","NO")</f>
        <v>NO</v>
      </c>
    </row>
    <row r="511" spans="1:8">
      <c r="A511" s="10">
        <v>501</v>
      </c>
      <c r="B511" s="11">
        <f>D510</f>
        <v>585.9375</v>
      </c>
      <c r="C511" s="11">
        <f>$B$6</f>
        <v>1.171875</v>
      </c>
      <c r="D511" s="11">
        <f>B511+C511</f>
        <v>587.109375</v>
      </c>
      <c r="E511" s="10">
        <f>MIN($B$7,ROUND(D511/$B$6,0))</f>
        <v>501</v>
      </c>
      <c r="F511" s="10" t="str">
        <f>DEC2BIN(INT(E511/64),5)&amp;DEC2BIN(MOD(E511,64),6)</f>
        <v>00111110101</v>
      </c>
      <c r="G511" s="10" t="str">
        <f>DEC2HEX(E511,3)</f>
        <v>1F5</v>
      </c>
      <c r="H511" s="10" t="str">
        <f>IF(ROUND(D511/$B$6,0)&gt;$B$7,"YES","NO")</f>
        <v>NO</v>
      </c>
    </row>
    <row r="512" spans="1:8">
      <c r="A512" s="8">
        <v>502</v>
      </c>
      <c r="B512" s="9">
        <f>D511</f>
        <v>587.109375</v>
      </c>
      <c r="C512" s="9">
        <f>$B$6</f>
        <v>1.171875</v>
      </c>
      <c r="D512" s="9">
        <f>B512+C512</f>
        <v>588.28125</v>
      </c>
      <c r="E512" s="8">
        <f>MIN($B$7,ROUND(D512/$B$6,0))</f>
        <v>502</v>
      </c>
      <c r="F512" s="8" t="str">
        <f>DEC2BIN(INT(E512/64),5)&amp;DEC2BIN(MOD(E512,64),6)</f>
        <v>00111110110</v>
      </c>
      <c r="G512" s="8" t="str">
        <f>DEC2HEX(E512,3)</f>
        <v>1F6</v>
      </c>
      <c r="H512" s="8" t="str">
        <f>IF(ROUND(D512/$B$6,0)&gt;$B$7,"YES","NO")</f>
        <v>NO</v>
      </c>
    </row>
    <row r="513" spans="1:8">
      <c r="A513" s="10">
        <v>503</v>
      </c>
      <c r="B513" s="11">
        <f>D512</f>
        <v>588.28125</v>
      </c>
      <c r="C513" s="11">
        <f>$B$6</f>
        <v>1.171875</v>
      </c>
      <c r="D513" s="11">
        <f>B513+C513</f>
        <v>589.453125</v>
      </c>
      <c r="E513" s="10">
        <f>MIN($B$7,ROUND(D513/$B$6,0))</f>
        <v>503</v>
      </c>
      <c r="F513" s="10" t="str">
        <f>DEC2BIN(INT(E513/64),5)&amp;DEC2BIN(MOD(E513,64),6)</f>
        <v>00111110111</v>
      </c>
      <c r="G513" s="10" t="str">
        <f>DEC2HEX(E513,3)</f>
        <v>1F7</v>
      </c>
      <c r="H513" s="10" t="str">
        <f>IF(ROUND(D513/$B$6,0)&gt;$B$7,"YES","NO")</f>
        <v>NO</v>
      </c>
    </row>
    <row r="514" spans="1:8">
      <c r="A514" s="8">
        <v>504</v>
      </c>
      <c r="B514" s="9">
        <f>D513</f>
        <v>589.453125</v>
      </c>
      <c r="C514" s="9">
        <f>$B$6</f>
        <v>1.171875</v>
      </c>
      <c r="D514" s="9">
        <f>B514+C514</f>
        <v>590.625</v>
      </c>
      <c r="E514" s="8">
        <f>MIN($B$7,ROUND(D514/$B$6,0))</f>
        <v>504</v>
      </c>
      <c r="F514" s="8" t="str">
        <f>DEC2BIN(INT(E514/64),5)&amp;DEC2BIN(MOD(E514,64),6)</f>
        <v>00111111000</v>
      </c>
      <c r="G514" s="8" t="str">
        <f>DEC2HEX(E514,3)</f>
        <v>1F8</v>
      </c>
      <c r="H514" s="8" t="str">
        <f>IF(ROUND(D514/$B$6,0)&gt;$B$7,"YES","NO")</f>
        <v>NO</v>
      </c>
    </row>
    <row r="515" spans="1:8">
      <c r="A515" s="10">
        <v>505</v>
      </c>
      <c r="B515" s="11">
        <f>D514</f>
        <v>590.625</v>
      </c>
      <c r="C515" s="11">
        <f>$B$6</f>
        <v>1.171875</v>
      </c>
      <c r="D515" s="11">
        <f>B515+C515</f>
        <v>591.796875</v>
      </c>
      <c r="E515" s="10">
        <f>MIN($B$7,ROUND(D515/$B$6,0))</f>
        <v>505</v>
      </c>
      <c r="F515" s="10" t="str">
        <f>DEC2BIN(INT(E515/64),5)&amp;DEC2BIN(MOD(E515,64),6)</f>
        <v>00111111001</v>
      </c>
      <c r="G515" s="10" t="str">
        <f>DEC2HEX(E515,3)</f>
        <v>1F9</v>
      </c>
      <c r="H515" s="10" t="str">
        <f>IF(ROUND(D515/$B$6,0)&gt;$B$7,"YES","NO")</f>
        <v>NO</v>
      </c>
    </row>
    <row r="516" spans="1:8">
      <c r="A516" s="8">
        <v>506</v>
      </c>
      <c r="B516" s="9">
        <f>D515</f>
        <v>591.796875</v>
      </c>
      <c r="C516" s="9">
        <f>$B$6</f>
        <v>1.171875</v>
      </c>
      <c r="D516" s="9">
        <f>B516+C516</f>
        <v>592.96875</v>
      </c>
      <c r="E516" s="8">
        <f>MIN($B$7,ROUND(D516/$B$6,0))</f>
        <v>506</v>
      </c>
      <c r="F516" s="8" t="str">
        <f>DEC2BIN(INT(E516/64),5)&amp;DEC2BIN(MOD(E516,64),6)</f>
        <v>00111111010</v>
      </c>
      <c r="G516" s="8" t="str">
        <f>DEC2HEX(E516,3)</f>
        <v>1FA</v>
      </c>
      <c r="H516" s="8" t="str">
        <f>IF(ROUND(D516/$B$6,0)&gt;$B$7,"YES","NO")</f>
        <v>NO</v>
      </c>
    </row>
    <row r="517" spans="1:8">
      <c r="A517" s="10">
        <v>507</v>
      </c>
      <c r="B517" s="11">
        <f>D516</f>
        <v>592.96875</v>
      </c>
      <c r="C517" s="11">
        <f>$B$6</f>
        <v>1.171875</v>
      </c>
      <c r="D517" s="11">
        <f>B517+C517</f>
        <v>594.140625</v>
      </c>
      <c r="E517" s="10">
        <f>MIN($B$7,ROUND(D517/$B$6,0))</f>
        <v>507</v>
      </c>
      <c r="F517" s="10" t="str">
        <f>DEC2BIN(INT(E517/64),5)&amp;DEC2BIN(MOD(E517,64),6)</f>
        <v>00111111011</v>
      </c>
      <c r="G517" s="10" t="str">
        <f>DEC2HEX(E517,3)</f>
        <v>1FB</v>
      </c>
      <c r="H517" s="10" t="str">
        <f>IF(ROUND(D517/$B$6,0)&gt;$B$7,"YES","NO")</f>
        <v>NO</v>
      </c>
    </row>
    <row r="518" spans="1:8">
      <c r="A518" s="8">
        <v>508</v>
      </c>
      <c r="B518" s="9">
        <f>D517</f>
        <v>594.140625</v>
      </c>
      <c r="C518" s="9">
        <f>$B$6</f>
        <v>1.171875</v>
      </c>
      <c r="D518" s="9">
        <f>B518+C518</f>
        <v>595.3125</v>
      </c>
      <c r="E518" s="8">
        <f>MIN($B$7,ROUND(D518/$B$6,0))</f>
        <v>508</v>
      </c>
      <c r="F518" s="8" t="str">
        <f>DEC2BIN(INT(E518/64),5)&amp;DEC2BIN(MOD(E518,64),6)</f>
        <v>00111111100</v>
      </c>
      <c r="G518" s="8" t="str">
        <f>DEC2HEX(E518,3)</f>
        <v>1FC</v>
      </c>
      <c r="H518" s="8" t="str">
        <f>IF(ROUND(D518/$B$6,0)&gt;$B$7,"YES","NO")</f>
        <v>NO</v>
      </c>
    </row>
    <row r="519" spans="1:8">
      <c r="A519" s="10">
        <v>509</v>
      </c>
      <c r="B519" s="11">
        <f>D518</f>
        <v>595.3125</v>
      </c>
      <c r="C519" s="11">
        <f>$B$6</f>
        <v>1.171875</v>
      </c>
      <c r="D519" s="11">
        <f>B519+C519</f>
        <v>596.484375</v>
      </c>
      <c r="E519" s="10">
        <f>MIN($B$7,ROUND(D519/$B$6,0))</f>
        <v>509</v>
      </c>
      <c r="F519" s="10" t="str">
        <f>DEC2BIN(INT(E519/64),5)&amp;DEC2BIN(MOD(E519,64),6)</f>
        <v>00111111101</v>
      </c>
      <c r="G519" s="10" t="str">
        <f>DEC2HEX(E519,3)</f>
        <v>1FD</v>
      </c>
      <c r="H519" s="10" t="str">
        <f>IF(ROUND(D519/$B$6,0)&gt;$B$7,"YES","NO")</f>
        <v>NO</v>
      </c>
    </row>
    <row r="520" spans="1:8">
      <c r="A520" s="8">
        <v>510</v>
      </c>
      <c r="B520" s="9">
        <f>D519</f>
        <v>596.484375</v>
      </c>
      <c r="C520" s="9">
        <f>$B$6</f>
        <v>1.171875</v>
      </c>
      <c r="D520" s="9">
        <f>B520+C520</f>
        <v>597.65625</v>
      </c>
      <c r="E520" s="8">
        <f>MIN($B$7,ROUND(D520/$B$6,0))</f>
        <v>510</v>
      </c>
      <c r="F520" s="8" t="str">
        <f>DEC2BIN(INT(E520/64),5)&amp;DEC2BIN(MOD(E520,64),6)</f>
        <v>00111111110</v>
      </c>
      <c r="G520" s="8" t="str">
        <f>DEC2HEX(E520,3)</f>
        <v>1FE</v>
      </c>
      <c r="H520" s="8" t="str">
        <f>IF(ROUND(D520/$B$6,0)&gt;$B$7,"YES","NO")</f>
        <v>NO</v>
      </c>
    </row>
    <row r="521" spans="1:8">
      <c r="A521" s="10">
        <v>511</v>
      </c>
      <c r="B521" s="11">
        <f>D520</f>
        <v>597.65625</v>
      </c>
      <c r="C521" s="11">
        <f>$B$6</f>
        <v>1.171875</v>
      </c>
      <c r="D521" s="11">
        <f>B521+C521</f>
        <v>598.828125</v>
      </c>
      <c r="E521" s="10">
        <f>MIN($B$7,ROUND(D521/$B$6,0))</f>
        <v>511</v>
      </c>
      <c r="F521" s="10" t="str">
        <f>DEC2BIN(INT(E521/64),5)&amp;DEC2BIN(MOD(E521,64),6)</f>
        <v>00111111111</v>
      </c>
      <c r="G521" s="10" t="str">
        <f>DEC2HEX(E521,3)</f>
        <v>1FF</v>
      </c>
      <c r="H521" s="10" t="str">
        <f>IF(ROUND(D521/$B$6,0)&gt;$B$7,"YES","NO")</f>
        <v>NO</v>
      </c>
    </row>
    <row r="522" spans="1:8">
      <c r="A522" s="8">
        <v>512</v>
      </c>
      <c r="B522" s="9">
        <f>D521</f>
        <v>598.828125</v>
      </c>
      <c r="C522" s="9">
        <f>$B$6</f>
        <v>1.171875</v>
      </c>
      <c r="D522" s="9">
        <f>B522+C522</f>
        <v>600</v>
      </c>
      <c r="E522" s="8">
        <f>MIN($B$7,ROUND(D522/$B$6,0))</f>
        <v>512</v>
      </c>
      <c r="F522" s="8" t="str">
        <f>DEC2BIN(INT(E522/64),5)&amp;DEC2BIN(MOD(E522,64),6)</f>
        <v>01000000000</v>
      </c>
      <c r="G522" s="8" t="str">
        <f>DEC2HEX(E522,3)</f>
        <v>200</v>
      </c>
      <c r="H522" s="8" t="str">
        <f>IF(ROUND(D522/$B$6,0)&gt;$B$7,"YES","NO")</f>
        <v>NO</v>
      </c>
    </row>
    <row r="523" spans="1:8">
      <c r="A523" s="10">
        <v>513</v>
      </c>
      <c r="B523" s="11">
        <f>D522</f>
        <v>600</v>
      </c>
      <c r="C523" s="11">
        <f>$B$6</f>
        <v>1.171875</v>
      </c>
      <c r="D523" s="11">
        <f>B523+C523</f>
        <v>601.171875</v>
      </c>
      <c r="E523" s="10">
        <f>MIN($B$7,ROUND(D523/$B$6,0))</f>
        <v>513</v>
      </c>
      <c r="F523" s="10" t="str">
        <f>DEC2BIN(INT(E523/64),5)&amp;DEC2BIN(MOD(E523,64),6)</f>
        <v>01000000001</v>
      </c>
      <c r="G523" s="10" t="str">
        <f>DEC2HEX(E523,3)</f>
        <v>201</v>
      </c>
      <c r="H523" s="10" t="str">
        <f>IF(ROUND(D523/$B$6,0)&gt;$B$7,"YES","NO")</f>
        <v>NO</v>
      </c>
    </row>
    <row r="524" spans="1:8">
      <c r="A524" s="8">
        <v>514</v>
      </c>
      <c r="B524" s="9">
        <f>D523</f>
        <v>601.171875</v>
      </c>
      <c r="C524" s="9">
        <f>$B$6</f>
        <v>1.171875</v>
      </c>
      <c r="D524" s="9">
        <f>B524+C524</f>
        <v>602.34375</v>
      </c>
      <c r="E524" s="8">
        <f>MIN($B$7,ROUND(D524/$B$6,0))</f>
        <v>514</v>
      </c>
      <c r="F524" s="8" t="str">
        <f>DEC2BIN(INT(E524/64),5)&amp;DEC2BIN(MOD(E524,64),6)</f>
        <v>01000000010</v>
      </c>
      <c r="G524" s="8" t="str">
        <f>DEC2HEX(E524,3)</f>
        <v>202</v>
      </c>
      <c r="H524" s="8" t="str">
        <f>IF(ROUND(D524/$B$6,0)&gt;$B$7,"YES","NO")</f>
        <v>NO</v>
      </c>
    </row>
    <row r="525" spans="1:8">
      <c r="A525" s="10">
        <v>515</v>
      </c>
      <c r="B525" s="11">
        <f>D524</f>
        <v>602.34375</v>
      </c>
      <c r="C525" s="11">
        <f>$B$6</f>
        <v>1.171875</v>
      </c>
      <c r="D525" s="11">
        <f>B525+C525</f>
        <v>603.515625</v>
      </c>
      <c r="E525" s="10">
        <f>MIN($B$7,ROUND(D525/$B$6,0))</f>
        <v>515</v>
      </c>
      <c r="F525" s="10" t="str">
        <f>DEC2BIN(INT(E525/64),5)&amp;DEC2BIN(MOD(E525,64),6)</f>
        <v>01000000011</v>
      </c>
      <c r="G525" s="10" t="str">
        <f>DEC2HEX(E525,3)</f>
        <v>203</v>
      </c>
      <c r="H525" s="10" t="str">
        <f>IF(ROUND(D525/$B$6,0)&gt;$B$7,"YES","NO")</f>
        <v>NO</v>
      </c>
    </row>
    <row r="526" spans="1:8">
      <c r="A526" s="8">
        <v>516</v>
      </c>
      <c r="B526" s="9">
        <f>D525</f>
        <v>603.515625</v>
      </c>
      <c r="C526" s="9">
        <f>$B$6</f>
        <v>1.171875</v>
      </c>
      <c r="D526" s="9">
        <f>B526+C526</f>
        <v>604.6875</v>
      </c>
      <c r="E526" s="8">
        <f>MIN($B$7,ROUND(D526/$B$6,0))</f>
        <v>516</v>
      </c>
      <c r="F526" s="8" t="str">
        <f>DEC2BIN(INT(E526/64),5)&amp;DEC2BIN(MOD(E526,64),6)</f>
        <v>01000000100</v>
      </c>
      <c r="G526" s="8" t="str">
        <f>DEC2HEX(E526,3)</f>
        <v>204</v>
      </c>
      <c r="H526" s="8" t="str">
        <f>IF(ROUND(D526/$B$6,0)&gt;$B$7,"YES","NO")</f>
        <v>NO</v>
      </c>
    </row>
    <row r="527" spans="1:8">
      <c r="A527" s="10">
        <v>517</v>
      </c>
      <c r="B527" s="11">
        <f>D526</f>
        <v>604.6875</v>
      </c>
      <c r="C527" s="11">
        <f>$B$6</f>
        <v>1.171875</v>
      </c>
      <c r="D527" s="11">
        <f>B527+C527</f>
        <v>605.859375</v>
      </c>
      <c r="E527" s="10">
        <f>MIN($B$7,ROUND(D527/$B$6,0))</f>
        <v>517</v>
      </c>
      <c r="F527" s="10" t="str">
        <f>DEC2BIN(INT(E527/64),5)&amp;DEC2BIN(MOD(E527,64),6)</f>
        <v>01000000101</v>
      </c>
      <c r="G527" s="10" t="str">
        <f>DEC2HEX(E527,3)</f>
        <v>205</v>
      </c>
      <c r="H527" s="10" t="str">
        <f>IF(ROUND(D527/$B$6,0)&gt;$B$7,"YES","NO")</f>
        <v>NO</v>
      </c>
    </row>
    <row r="528" spans="1:8">
      <c r="A528" s="8">
        <v>518</v>
      </c>
      <c r="B528" s="9">
        <f>D527</f>
        <v>605.859375</v>
      </c>
      <c r="C528" s="9">
        <f>$B$6</f>
        <v>1.171875</v>
      </c>
      <c r="D528" s="9">
        <f>B528+C528</f>
        <v>607.03125</v>
      </c>
      <c r="E528" s="8">
        <f>MIN($B$7,ROUND(D528/$B$6,0))</f>
        <v>518</v>
      </c>
      <c r="F528" s="8" t="str">
        <f>DEC2BIN(INT(E528/64),5)&amp;DEC2BIN(MOD(E528,64),6)</f>
        <v>01000000110</v>
      </c>
      <c r="G528" s="8" t="str">
        <f>DEC2HEX(E528,3)</f>
        <v>206</v>
      </c>
      <c r="H528" s="8" t="str">
        <f>IF(ROUND(D528/$B$6,0)&gt;$B$7,"YES","NO")</f>
        <v>NO</v>
      </c>
    </row>
    <row r="529" spans="1:8">
      <c r="A529" s="10">
        <v>519</v>
      </c>
      <c r="B529" s="11">
        <f>D528</f>
        <v>607.03125</v>
      </c>
      <c r="C529" s="11">
        <f>$B$6</f>
        <v>1.171875</v>
      </c>
      <c r="D529" s="11">
        <f>B529+C529</f>
        <v>608.203125</v>
      </c>
      <c r="E529" s="10">
        <f>MIN($B$7,ROUND(D529/$B$6,0))</f>
        <v>519</v>
      </c>
      <c r="F529" s="10" t="str">
        <f>DEC2BIN(INT(E529/64),5)&amp;DEC2BIN(MOD(E529,64),6)</f>
        <v>01000000111</v>
      </c>
      <c r="G529" s="10" t="str">
        <f>DEC2HEX(E529,3)</f>
        <v>207</v>
      </c>
      <c r="H529" s="10" t="str">
        <f>IF(ROUND(D529/$B$6,0)&gt;$B$7,"YES","NO")</f>
        <v>NO</v>
      </c>
    </row>
    <row r="530" spans="1:8">
      <c r="A530" s="8">
        <v>520</v>
      </c>
      <c r="B530" s="9">
        <f>D529</f>
        <v>608.203125</v>
      </c>
      <c r="C530" s="9">
        <f>$B$6</f>
        <v>1.171875</v>
      </c>
      <c r="D530" s="9">
        <f>B530+C530</f>
        <v>609.375</v>
      </c>
      <c r="E530" s="8">
        <f>MIN($B$7,ROUND(D530/$B$6,0))</f>
        <v>520</v>
      </c>
      <c r="F530" s="8" t="str">
        <f>DEC2BIN(INT(E530/64),5)&amp;DEC2BIN(MOD(E530,64),6)</f>
        <v>01000001000</v>
      </c>
      <c r="G530" s="8" t="str">
        <f>DEC2HEX(E530,3)</f>
        <v>208</v>
      </c>
      <c r="H530" s="8" t="str">
        <f>IF(ROUND(D530/$B$6,0)&gt;$B$7,"YES","NO")</f>
        <v>NO</v>
      </c>
    </row>
    <row r="531" spans="1:8">
      <c r="A531" s="10">
        <v>521</v>
      </c>
      <c r="B531" s="11">
        <f>D530</f>
        <v>609.375</v>
      </c>
      <c r="C531" s="11">
        <f>$B$6</f>
        <v>1.171875</v>
      </c>
      <c r="D531" s="11">
        <f>B531+C531</f>
        <v>610.546875</v>
      </c>
      <c r="E531" s="10">
        <f>MIN($B$7,ROUND(D531/$B$6,0))</f>
        <v>521</v>
      </c>
      <c r="F531" s="10" t="str">
        <f>DEC2BIN(INT(E531/64),5)&amp;DEC2BIN(MOD(E531,64),6)</f>
        <v>01000001001</v>
      </c>
      <c r="G531" s="10" t="str">
        <f>DEC2HEX(E531,3)</f>
        <v>209</v>
      </c>
      <c r="H531" s="10" t="str">
        <f>IF(ROUND(D531/$B$6,0)&gt;$B$7,"YES","NO")</f>
        <v>NO</v>
      </c>
    </row>
    <row r="532" spans="1:8">
      <c r="A532" s="8">
        <v>522</v>
      </c>
      <c r="B532" s="9">
        <f>D531</f>
        <v>610.546875</v>
      </c>
      <c r="C532" s="9">
        <f>$B$6</f>
        <v>1.171875</v>
      </c>
      <c r="D532" s="9">
        <f>B532+C532</f>
        <v>611.71875</v>
      </c>
      <c r="E532" s="8">
        <f>MIN($B$7,ROUND(D532/$B$6,0))</f>
        <v>522</v>
      </c>
      <c r="F532" s="8" t="str">
        <f>DEC2BIN(INT(E532/64),5)&amp;DEC2BIN(MOD(E532,64),6)</f>
        <v>01000001010</v>
      </c>
      <c r="G532" s="8" t="str">
        <f>DEC2HEX(E532,3)</f>
        <v>20A</v>
      </c>
      <c r="H532" s="8" t="str">
        <f>IF(ROUND(D532/$B$6,0)&gt;$B$7,"YES","NO")</f>
        <v>NO</v>
      </c>
    </row>
    <row r="533" spans="1:8">
      <c r="A533" s="10">
        <v>523</v>
      </c>
      <c r="B533" s="11">
        <f>D532</f>
        <v>611.71875</v>
      </c>
      <c r="C533" s="11">
        <f>$B$6</f>
        <v>1.171875</v>
      </c>
      <c r="D533" s="11">
        <f>B533+C533</f>
        <v>612.890625</v>
      </c>
      <c r="E533" s="10">
        <f>MIN($B$7,ROUND(D533/$B$6,0))</f>
        <v>523</v>
      </c>
      <c r="F533" s="10" t="str">
        <f>DEC2BIN(INT(E533/64),5)&amp;DEC2BIN(MOD(E533,64),6)</f>
        <v>01000001011</v>
      </c>
      <c r="G533" s="10" t="str">
        <f>DEC2HEX(E533,3)</f>
        <v>20B</v>
      </c>
      <c r="H533" s="10" t="str">
        <f>IF(ROUND(D533/$B$6,0)&gt;$B$7,"YES","NO")</f>
        <v>NO</v>
      </c>
    </row>
    <row r="534" spans="1:8">
      <c r="A534" s="8">
        <v>524</v>
      </c>
      <c r="B534" s="9">
        <f>D533</f>
        <v>612.890625</v>
      </c>
      <c r="C534" s="9">
        <f>$B$6</f>
        <v>1.171875</v>
      </c>
      <c r="D534" s="9">
        <f>B534+C534</f>
        <v>614.0625</v>
      </c>
      <c r="E534" s="8">
        <f>MIN($B$7,ROUND(D534/$B$6,0))</f>
        <v>524</v>
      </c>
      <c r="F534" s="8" t="str">
        <f>DEC2BIN(INT(E534/64),5)&amp;DEC2BIN(MOD(E534,64),6)</f>
        <v>01000001100</v>
      </c>
      <c r="G534" s="8" t="str">
        <f>DEC2HEX(E534,3)</f>
        <v>20C</v>
      </c>
      <c r="H534" s="8" t="str">
        <f>IF(ROUND(D534/$B$6,0)&gt;$B$7,"YES","NO")</f>
        <v>NO</v>
      </c>
    </row>
    <row r="535" spans="1:8">
      <c r="A535" s="10">
        <v>525</v>
      </c>
      <c r="B535" s="11">
        <f>D534</f>
        <v>614.0625</v>
      </c>
      <c r="C535" s="11">
        <f>$B$6</f>
        <v>1.171875</v>
      </c>
      <c r="D535" s="11">
        <f>B535+C535</f>
        <v>615.234375</v>
      </c>
      <c r="E535" s="10">
        <f>MIN($B$7,ROUND(D535/$B$6,0))</f>
        <v>525</v>
      </c>
      <c r="F535" s="10" t="str">
        <f>DEC2BIN(INT(E535/64),5)&amp;DEC2BIN(MOD(E535,64),6)</f>
        <v>01000001101</v>
      </c>
      <c r="G535" s="10" t="str">
        <f>DEC2HEX(E535,3)</f>
        <v>20D</v>
      </c>
      <c r="H535" s="10" t="str">
        <f>IF(ROUND(D535/$B$6,0)&gt;$B$7,"YES","NO")</f>
        <v>NO</v>
      </c>
    </row>
    <row r="536" spans="1:8">
      <c r="A536" s="8">
        <v>526</v>
      </c>
      <c r="B536" s="9">
        <f>D535</f>
        <v>615.234375</v>
      </c>
      <c r="C536" s="9">
        <f>$B$6</f>
        <v>1.171875</v>
      </c>
      <c r="D536" s="9">
        <f>B536+C536</f>
        <v>616.40625</v>
      </c>
      <c r="E536" s="8">
        <f>MIN($B$7,ROUND(D536/$B$6,0))</f>
        <v>526</v>
      </c>
      <c r="F536" s="8" t="str">
        <f>DEC2BIN(INT(E536/64),5)&amp;DEC2BIN(MOD(E536,64),6)</f>
        <v>01000001110</v>
      </c>
      <c r="G536" s="8" t="str">
        <f>DEC2HEX(E536,3)</f>
        <v>20E</v>
      </c>
      <c r="H536" s="8" t="str">
        <f>IF(ROUND(D536/$B$6,0)&gt;$B$7,"YES","NO")</f>
        <v>NO</v>
      </c>
    </row>
    <row r="537" spans="1:8">
      <c r="A537" s="10">
        <v>527</v>
      </c>
      <c r="B537" s="11">
        <f>D536</f>
        <v>616.40625</v>
      </c>
      <c r="C537" s="11">
        <f>$B$6</f>
        <v>1.171875</v>
      </c>
      <c r="D537" s="11">
        <f>B537+C537</f>
        <v>617.578125</v>
      </c>
      <c r="E537" s="10">
        <f>MIN($B$7,ROUND(D537/$B$6,0))</f>
        <v>527</v>
      </c>
      <c r="F537" s="10" t="str">
        <f>DEC2BIN(INT(E537/64),5)&amp;DEC2BIN(MOD(E537,64),6)</f>
        <v>01000001111</v>
      </c>
      <c r="G537" s="10" t="str">
        <f>DEC2HEX(E537,3)</f>
        <v>20F</v>
      </c>
      <c r="H537" s="10" t="str">
        <f>IF(ROUND(D537/$B$6,0)&gt;$B$7,"YES","NO")</f>
        <v>NO</v>
      </c>
    </row>
    <row r="538" spans="1:8">
      <c r="A538" s="8">
        <v>528</v>
      </c>
      <c r="B538" s="9">
        <f>D537</f>
        <v>617.578125</v>
      </c>
      <c r="C538" s="9">
        <f>$B$6</f>
        <v>1.171875</v>
      </c>
      <c r="D538" s="9">
        <f>B538+C538</f>
        <v>618.75</v>
      </c>
      <c r="E538" s="8">
        <f>MIN($B$7,ROUND(D538/$B$6,0))</f>
        <v>528</v>
      </c>
      <c r="F538" s="8" t="str">
        <f>DEC2BIN(INT(E538/64),5)&amp;DEC2BIN(MOD(E538,64),6)</f>
        <v>01000010000</v>
      </c>
      <c r="G538" s="8" t="str">
        <f>DEC2HEX(E538,3)</f>
        <v>210</v>
      </c>
      <c r="H538" s="8" t="str">
        <f>IF(ROUND(D538/$B$6,0)&gt;$B$7,"YES","NO")</f>
        <v>NO</v>
      </c>
    </row>
    <row r="539" spans="1:8">
      <c r="A539" s="10">
        <v>529</v>
      </c>
      <c r="B539" s="11">
        <f>D538</f>
        <v>618.75</v>
      </c>
      <c r="C539" s="11">
        <f>$B$6</f>
        <v>1.171875</v>
      </c>
      <c r="D539" s="11">
        <f>B539+C539</f>
        <v>619.921875</v>
      </c>
      <c r="E539" s="10">
        <f>MIN($B$7,ROUND(D539/$B$6,0))</f>
        <v>529</v>
      </c>
      <c r="F539" s="10" t="str">
        <f>DEC2BIN(INT(E539/64),5)&amp;DEC2BIN(MOD(E539,64),6)</f>
        <v>01000010001</v>
      </c>
      <c r="G539" s="10" t="str">
        <f>DEC2HEX(E539,3)</f>
        <v>211</v>
      </c>
      <c r="H539" s="10" t="str">
        <f>IF(ROUND(D539/$B$6,0)&gt;$B$7,"YES","NO")</f>
        <v>NO</v>
      </c>
    </row>
    <row r="540" spans="1:8">
      <c r="A540" s="8">
        <v>530</v>
      </c>
      <c r="B540" s="9">
        <f>D539</f>
        <v>619.921875</v>
      </c>
      <c r="C540" s="9">
        <f>$B$6</f>
        <v>1.171875</v>
      </c>
      <c r="D540" s="9">
        <f>B540+C540</f>
        <v>621.09375</v>
      </c>
      <c r="E540" s="8">
        <f>MIN($B$7,ROUND(D540/$B$6,0))</f>
        <v>530</v>
      </c>
      <c r="F540" s="8" t="str">
        <f>DEC2BIN(INT(E540/64),5)&amp;DEC2BIN(MOD(E540,64),6)</f>
        <v>01000010010</v>
      </c>
      <c r="G540" s="8" t="str">
        <f>DEC2HEX(E540,3)</f>
        <v>212</v>
      </c>
      <c r="H540" s="8" t="str">
        <f>IF(ROUND(D540/$B$6,0)&gt;$B$7,"YES","NO")</f>
        <v>NO</v>
      </c>
    </row>
    <row r="541" spans="1:8">
      <c r="A541" s="10">
        <v>531</v>
      </c>
      <c r="B541" s="11">
        <f>D540</f>
        <v>621.09375</v>
      </c>
      <c r="C541" s="11">
        <f>$B$6</f>
        <v>1.171875</v>
      </c>
      <c r="D541" s="11">
        <f>B541+C541</f>
        <v>622.265625</v>
      </c>
      <c r="E541" s="10">
        <f>MIN($B$7,ROUND(D541/$B$6,0))</f>
        <v>531</v>
      </c>
      <c r="F541" s="10" t="str">
        <f>DEC2BIN(INT(E541/64),5)&amp;DEC2BIN(MOD(E541,64),6)</f>
        <v>01000010011</v>
      </c>
      <c r="G541" s="10" t="str">
        <f>DEC2HEX(E541,3)</f>
        <v>213</v>
      </c>
      <c r="H541" s="10" t="str">
        <f>IF(ROUND(D541/$B$6,0)&gt;$B$7,"YES","NO")</f>
        <v>NO</v>
      </c>
    </row>
    <row r="542" spans="1:8">
      <c r="A542" s="8">
        <v>532</v>
      </c>
      <c r="B542" s="9">
        <f>D541</f>
        <v>622.265625</v>
      </c>
      <c r="C542" s="9">
        <f>$B$6</f>
        <v>1.171875</v>
      </c>
      <c r="D542" s="9">
        <f>B542+C542</f>
        <v>623.4375</v>
      </c>
      <c r="E542" s="8">
        <f>MIN($B$7,ROUND(D542/$B$6,0))</f>
        <v>532</v>
      </c>
      <c r="F542" s="8" t="str">
        <f>DEC2BIN(INT(E542/64),5)&amp;DEC2BIN(MOD(E542,64),6)</f>
        <v>01000010100</v>
      </c>
      <c r="G542" s="8" t="str">
        <f>DEC2HEX(E542,3)</f>
        <v>214</v>
      </c>
      <c r="H542" s="8" t="str">
        <f>IF(ROUND(D542/$B$6,0)&gt;$B$7,"YES","NO")</f>
        <v>NO</v>
      </c>
    </row>
    <row r="543" spans="1:8">
      <c r="A543" s="10">
        <v>533</v>
      </c>
      <c r="B543" s="11">
        <f>D542</f>
        <v>623.4375</v>
      </c>
      <c r="C543" s="11">
        <f>$B$6</f>
        <v>1.171875</v>
      </c>
      <c r="D543" s="11">
        <f>B543+C543</f>
        <v>624.609375</v>
      </c>
      <c r="E543" s="10">
        <f>MIN($B$7,ROUND(D543/$B$6,0))</f>
        <v>533</v>
      </c>
      <c r="F543" s="10" t="str">
        <f>DEC2BIN(INT(E543/64),5)&amp;DEC2BIN(MOD(E543,64),6)</f>
        <v>01000010101</v>
      </c>
      <c r="G543" s="10" t="str">
        <f>DEC2HEX(E543,3)</f>
        <v>215</v>
      </c>
      <c r="H543" s="10" t="str">
        <f>IF(ROUND(D543/$B$6,0)&gt;$B$7,"YES","NO")</f>
        <v>NO</v>
      </c>
    </row>
    <row r="544" spans="1:8">
      <c r="A544" s="8">
        <v>534</v>
      </c>
      <c r="B544" s="9">
        <f>D543</f>
        <v>624.609375</v>
      </c>
      <c r="C544" s="9">
        <f>$B$6</f>
        <v>1.171875</v>
      </c>
      <c r="D544" s="9">
        <f>B544+C544</f>
        <v>625.78125</v>
      </c>
      <c r="E544" s="8">
        <f>MIN($B$7,ROUND(D544/$B$6,0))</f>
        <v>534</v>
      </c>
      <c r="F544" s="8" t="str">
        <f>DEC2BIN(INT(E544/64),5)&amp;DEC2BIN(MOD(E544,64),6)</f>
        <v>01000010110</v>
      </c>
      <c r="G544" s="8" t="str">
        <f>DEC2HEX(E544,3)</f>
        <v>216</v>
      </c>
      <c r="H544" s="8" t="str">
        <f>IF(ROUND(D544/$B$6,0)&gt;$B$7,"YES","NO")</f>
        <v>NO</v>
      </c>
    </row>
    <row r="545" spans="1:8">
      <c r="A545" s="10">
        <v>535</v>
      </c>
      <c r="B545" s="11">
        <f>D544</f>
        <v>625.78125</v>
      </c>
      <c r="C545" s="11">
        <f>$B$6</f>
        <v>1.171875</v>
      </c>
      <c r="D545" s="11">
        <f>B545+C545</f>
        <v>626.953125</v>
      </c>
      <c r="E545" s="10">
        <f>MIN($B$7,ROUND(D545/$B$6,0))</f>
        <v>535</v>
      </c>
      <c r="F545" s="10" t="str">
        <f>DEC2BIN(INT(E545/64),5)&amp;DEC2BIN(MOD(E545,64),6)</f>
        <v>01000010111</v>
      </c>
      <c r="G545" s="10" t="str">
        <f>DEC2HEX(E545,3)</f>
        <v>217</v>
      </c>
      <c r="H545" s="10" t="str">
        <f>IF(ROUND(D545/$B$6,0)&gt;$B$7,"YES","NO")</f>
        <v>NO</v>
      </c>
    </row>
    <row r="546" spans="1:8">
      <c r="A546" s="8">
        <v>536</v>
      </c>
      <c r="B546" s="9">
        <f>D545</f>
        <v>626.953125</v>
      </c>
      <c r="C546" s="9">
        <f>$B$6</f>
        <v>1.171875</v>
      </c>
      <c r="D546" s="9">
        <f>B546+C546</f>
        <v>628.125</v>
      </c>
      <c r="E546" s="8">
        <f>MIN($B$7,ROUND(D546/$B$6,0))</f>
        <v>536</v>
      </c>
      <c r="F546" s="8" t="str">
        <f>DEC2BIN(INT(E546/64),5)&amp;DEC2BIN(MOD(E546,64),6)</f>
        <v>01000011000</v>
      </c>
      <c r="G546" s="8" t="str">
        <f>DEC2HEX(E546,3)</f>
        <v>218</v>
      </c>
      <c r="H546" s="8" t="str">
        <f>IF(ROUND(D546/$B$6,0)&gt;$B$7,"YES","NO")</f>
        <v>NO</v>
      </c>
    </row>
    <row r="547" spans="1:8">
      <c r="A547" s="10">
        <v>537</v>
      </c>
      <c r="B547" s="11">
        <f>D546</f>
        <v>628.125</v>
      </c>
      <c r="C547" s="11">
        <f>$B$6</f>
        <v>1.171875</v>
      </c>
      <c r="D547" s="11">
        <f>B547+C547</f>
        <v>629.296875</v>
      </c>
      <c r="E547" s="10">
        <f>MIN($B$7,ROUND(D547/$B$6,0))</f>
        <v>537</v>
      </c>
      <c r="F547" s="10" t="str">
        <f>DEC2BIN(INT(E547/64),5)&amp;DEC2BIN(MOD(E547,64),6)</f>
        <v>01000011001</v>
      </c>
      <c r="G547" s="10" t="str">
        <f>DEC2HEX(E547,3)</f>
        <v>219</v>
      </c>
      <c r="H547" s="10" t="str">
        <f>IF(ROUND(D547/$B$6,0)&gt;$B$7,"YES","NO")</f>
        <v>NO</v>
      </c>
    </row>
    <row r="548" spans="1:8">
      <c r="A548" s="8">
        <v>538</v>
      </c>
      <c r="B548" s="9">
        <f>D547</f>
        <v>629.296875</v>
      </c>
      <c r="C548" s="9">
        <f>$B$6</f>
        <v>1.171875</v>
      </c>
      <c r="D548" s="9">
        <f>B548+C548</f>
        <v>630.46875</v>
      </c>
      <c r="E548" s="8">
        <f>MIN($B$7,ROUND(D548/$B$6,0))</f>
        <v>538</v>
      </c>
      <c r="F548" s="8" t="str">
        <f>DEC2BIN(INT(E548/64),5)&amp;DEC2BIN(MOD(E548,64),6)</f>
        <v>01000011010</v>
      </c>
      <c r="G548" s="8" t="str">
        <f>DEC2HEX(E548,3)</f>
        <v>21A</v>
      </c>
      <c r="H548" s="8" t="str">
        <f>IF(ROUND(D548/$B$6,0)&gt;$B$7,"YES","NO")</f>
        <v>NO</v>
      </c>
    </row>
    <row r="549" spans="1:8">
      <c r="A549" s="10">
        <v>539</v>
      </c>
      <c r="B549" s="11">
        <f>D548</f>
        <v>630.46875</v>
      </c>
      <c r="C549" s="11">
        <f>$B$6</f>
        <v>1.171875</v>
      </c>
      <c r="D549" s="11">
        <f>B549+C549</f>
        <v>631.640625</v>
      </c>
      <c r="E549" s="10">
        <f>MIN($B$7,ROUND(D549/$B$6,0))</f>
        <v>539</v>
      </c>
      <c r="F549" s="10" t="str">
        <f>DEC2BIN(INT(E549/64),5)&amp;DEC2BIN(MOD(E549,64),6)</f>
        <v>01000011011</v>
      </c>
      <c r="G549" s="10" t="str">
        <f>DEC2HEX(E549,3)</f>
        <v>21B</v>
      </c>
      <c r="H549" s="10" t="str">
        <f>IF(ROUND(D549/$B$6,0)&gt;$B$7,"YES","NO")</f>
        <v>NO</v>
      </c>
    </row>
    <row r="550" spans="1:8">
      <c r="A550" s="8">
        <v>540</v>
      </c>
      <c r="B550" s="9">
        <f>D549</f>
        <v>631.640625</v>
      </c>
      <c r="C550" s="9">
        <f>$B$6</f>
        <v>1.171875</v>
      </c>
      <c r="D550" s="9">
        <f>B550+C550</f>
        <v>632.8125</v>
      </c>
      <c r="E550" s="8">
        <f>MIN($B$7,ROUND(D550/$B$6,0))</f>
        <v>540</v>
      </c>
      <c r="F550" s="8" t="str">
        <f>DEC2BIN(INT(E550/64),5)&amp;DEC2BIN(MOD(E550,64),6)</f>
        <v>01000011100</v>
      </c>
      <c r="G550" s="8" t="str">
        <f>DEC2HEX(E550,3)</f>
        <v>21C</v>
      </c>
      <c r="H550" s="8" t="str">
        <f>IF(ROUND(D550/$B$6,0)&gt;$B$7,"YES","NO")</f>
        <v>NO</v>
      </c>
    </row>
    <row r="551" spans="1:8">
      <c r="A551" s="10">
        <v>541</v>
      </c>
      <c r="B551" s="11">
        <f>D550</f>
        <v>632.8125</v>
      </c>
      <c r="C551" s="11">
        <f>$B$6</f>
        <v>1.171875</v>
      </c>
      <c r="D551" s="11">
        <f>B551+C551</f>
        <v>633.984375</v>
      </c>
      <c r="E551" s="10">
        <f>MIN($B$7,ROUND(D551/$B$6,0))</f>
        <v>541</v>
      </c>
      <c r="F551" s="10" t="str">
        <f>DEC2BIN(INT(E551/64),5)&amp;DEC2BIN(MOD(E551,64),6)</f>
        <v>01000011101</v>
      </c>
      <c r="G551" s="10" t="str">
        <f>DEC2HEX(E551,3)</f>
        <v>21D</v>
      </c>
      <c r="H551" s="10" t="str">
        <f>IF(ROUND(D551/$B$6,0)&gt;$B$7,"YES","NO")</f>
        <v>NO</v>
      </c>
    </row>
    <row r="552" spans="1:8">
      <c r="A552" s="8">
        <v>542</v>
      </c>
      <c r="B552" s="9">
        <f>D551</f>
        <v>633.984375</v>
      </c>
      <c r="C552" s="9">
        <f>$B$6</f>
        <v>1.171875</v>
      </c>
      <c r="D552" s="9">
        <f>B552+C552</f>
        <v>635.15625</v>
      </c>
      <c r="E552" s="8">
        <f>MIN($B$7,ROUND(D552/$B$6,0))</f>
        <v>542</v>
      </c>
      <c r="F552" s="8" t="str">
        <f>DEC2BIN(INT(E552/64),5)&amp;DEC2BIN(MOD(E552,64),6)</f>
        <v>01000011110</v>
      </c>
      <c r="G552" s="8" t="str">
        <f>DEC2HEX(E552,3)</f>
        <v>21E</v>
      </c>
      <c r="H552" s="8" t="str">
        <f>IF(ROUND(D552/$B$6,0)&gt;$B$7,"YES","NO")</f>
        <v>NO</v>
      </c>
    </row>
    <row r="553" spans="1:8">
      <c r="A553" s="10">
        <v>543</v>
      </c>
      <c r="B553" s="11">
        <f>D552</f>
        <v>635.15625</v>
      </c>
      <c r="C553" s="11">
        <f>$B$6</f>
        <v>1.171875</v>
      </c>
      <c r="D553" s="11">
        <f>B553+C553</f>
        <v>636.328125</v>
      </c>
      <c r="E553" s="10">
        <f>MIN($B$7,ROUND(D553/$B$6,0))</f>
        <v>543</v>
      </c>
      <c r="F553" s="10" t="str">
        <f>DEC2BIN(INT(E553/64),5)&amp;DEC2BIN(MOD(E553,64),6)</f>
        <v>01000011111</v>
      </c>
      <c r="G553" s="10" t="str">
        <f>DEC2HEX(E553,3)</f>
        <v>21F</v>
      </c>
      <c r="H553" s="10" t="str">
        <f>IF(ROUND(D553/$B$6,0)&gt;$B$7,"YES","NO")</f>
        <v>NO</v>
      </c>
    </row>
    <row r="554" spans="1:8">
      <c r="A554" s="8">
        <v>544</v>
      </c>
      <c r="B554" s="9">
        <f>D553</f>
        <v>636.328125</v>
      </c>
      <c r="C554" s="9">
        <f>$B$6</f>
        <v>1.171875</v>
      </c>
      <c r="D554" s="9">
        <f>B554+C554</f>
        <v>637.5</v>
      </c>
      <c r="E554" s="8">
        <f>MIN($B$7,ROUND(D554/$B$6,0))</f>
        <v>544</v>
      </c>
      <c r="F554" s="8" t="str">
        <f>DEC2BIN(INT(E554/64),5)&amp;DEC2BIN(MOD(E554,64),6)</f>
        <v>01000100000</v>
      </c>
      <c r="G554" s="8" t="str">
        <f>DEC2HEX(E554,3)</f>
        <v>220</v>
      </c>
      <c r="H554" s="8" t="str">
        <f>IF(ROUND(D554/$B$6,0)&gt;$B$7,"YES","NO")</f>
        <v>NO</v>
      </c>
    </row>
    <row r="555" spans="1:8">
      <c r="A555" s="10">
        <v>545</v>
      </c>
      <c r="B555" s="11">
        <f>D554</f>
        <v>637.5</v>
      </c>
      <c r="C555" s="11">
        <f>$B$6</f>
        <v>1.171875</v>
      </c>
      <c r="D555" s="11">
        <f>B555+C555</f>
        <v>638.671875</v>
      </c>
      <c r="E555" s="10">
        <f>MIN($B$7,ROUND(D555/$B$6,0))</f>
        <v>545</v>
      </c>
      <c r="F555" s="10" t="str">
        <f>DEC2BIN(INT(E555/64),5)&amp;DEC2BIN(MOD(E555,64),6)</f>
        <v>01000100001</v>
      </c>
      <c r="G555" s="10" t="str">
        <f>DEC2HEX(E555,3)</f>
        <v>221</v>
      </c>
      <c r="H555" s="10" t="str">
        <f>IF(ROUND(D555/$B$6,0)&gt;$B$7,"YES","NO")</f>
        <v>NO</v>
      </c>
    </row>
    <row r="556" spans="1:8">
      <c r="A556" s="8">
        <v>546</v>
      </c>
      <c r="B556" s="9">
        <f>D555</f>
        <v>638.671875</v>
      </c>
      <c r="C556" s="9">
        <f>$B$6</f>
        <v>1.171875</v>
      </c>
      <c r="D556" s="9">
        <f>B556+C556</f>
        <v>639.84375</v>
      </c>
      <c r="E556" s="8">
        <f>MIN($B$7,ROUND(D556/$B$6,0))</f>
        <v>546</v>
      </c>
      <c r="F556" s="8" t="str">
        <f>DEC2BIN(INT(E556/64),5)&amp;DEC2BIN(MOD(E556,64),6)</f>
        <v>01000100010</v>
      </c>
      <c r="G556" s="8" t="str">
        <f>DEC2HEX(E556,3)</f>
        <v>222</v>
      </c>
      <c r="H556" s="8" t="str">
        <f>IF(ROUND(D556/$B$6,0)&gt;$B$7,"YES","NO")</f>
        <v>NO</v>
      </c>
    </row>
    <row r="557" spans="1:8">
      <c r="A557" s="10">
        <v>547</v>
      </c>
      <c r="B557" s="11">
        <f>D556</f>
        <v>639.84375</v>
      </c>
      <c r="C557" s="11">
        <f>$B$6</f>
        <v>1.171875</v>
      </c>
      <c r="D557" s="11">
        <f>B557+C557</f>
        <v>641.015625</v>
      </c>
      <c r="E557" s="10">
        <f>MIN($B$7,ROUND(D557/$B$6,0))</f>
        <v>547</v>
      </c>
      <c r="F557" s="10" t="str">
        <f>DEC2BIN(INT(E557/64),5)&amp;DEC2BIN(MOD(E557,64),6)</f>
        <v>01000100011</v>
      </c>
      <c r="G557" s="10" t="str">
        <f>DEC2HEX(E557,3)</f>
        <v>223</v>
      </c>
      <c r="H557" s="10" t="str">
        <f>IF(ROUND(D557/$B$6,0)&gt;$B$7,"YES","NO")</f>
        <v>NO</v>
      </c>
    </row>
    <row r="558" spans="1:8">
      <c r="A558" s="8">
        <v>548</v>
      </c>
      <c r="B558" s="9">
        <f>D557</f>
        <v>641.015625</v>
      </c>
      <c r="C558" s="9">
        <f>$B$6</f>
        <v>1.171875</v>
      </c>
      <c r="D558" s="9">
        <f>B558+C558</f>
        <v>642.1875</v>
      </c>
      <c r="E558" s="8">
        <f>MIN($B$7,ROUND(D558/$B$6,0))</f>
        <v>548</v>
      </c>
      <c r="F558" s="8" t="str">
        <f>DEC2BIN(INT(E558/64),5)&amp;DEC2BIN(MOD(E558,64),6)</f>
        <v>01000100100</v>
      </c>
      <c r="G558" s="8" t="str">
        <f>DEC2HEX(E558,3)</f>
        <v>224</v>
      </c>
      <c r="H558" s="8" t="str">
        <f>IF(ROUND(D558/$B$6,0)&gt;$B$7,"YES","NO")</f>
        <v>NO</v>
      </c>
    </row>
    <row r="559" spans="1:8">
      <c r="A559" s="10">
        <v>549</v>
      </c>
      <c r="B559" s="11">
        <f>D558</f>
        <v>642.1875</v>
      </c>
      <c r="C559" s="11">
        <f>$B$6</f>
        <v>1.171875</v>
      </c>
      <c r="D559" s="11">
        <f>B559+C559</f>
        <v>643.359375</v>
      </c>
      <c r="E559" s="10">
        <f>MIN($B$7,ROUND(D559/$B$6,0))</f>
        <v>549</v>
      </c>
      <c r="F559" s="10" t="str">
        <f>DEC2BIN(INT(E559/64),5)&amp;DEC2BIN(MOD(E559,64),6)</f>
        <v>01000100101</v>
      </c>
      <c r="G559" s="10" t="str">
        <f>DEC2HEX(E559,3)</f>
        <v>225</v>
      </c>
      <c r="H559" s="10" t="str">
        <f>IF(ROUND(D559/$B$6,0)&gt;$B$7,"YES","NO")</f>
        <v>NO</v>
      </c>
    </row>
    <row r="560" spans="1:8">
      <c r="A560" s="8">
        <v>550</v>
      </c>
      <c r="B560" s="9">
        <f>D559</f>
        <v>643.359375</v>
      </c>
      <c r="C560" s="9">
        <f>$B$6</f>
        <v>1.171875</v>
      </c>
      <c r="D560" s="9">
        <f>B560+C560</f>
        <v>644.53125</v>
      </c>
      <c r="E560" s="8">
        <f>MIN($B$7,ROUND(D560/$B$6,0))</f>
        <v>550</v>
      </c>
      <c r="F560" s="8" t="str">
        <f>DEC2BIN(INT(E560/64),5)&amp;DEC2BIN(MOD(E560,64),6)</f>
        <v>01000100110</v>
      </c>
      <c r="G560" s="8" t="str">
        <f>DEC2HEX(E560,3)</f>
        <v>226</v>
      </c>
      <c r="H560" s="8" t="str">
        <f>IF(ROUND(D560/$B$6,0)&gt;$B$7,"YES","NO")</f>
        <v>NO</v>
      </c>
    </row>
    <row r="561" spans="1:8">
      <c r="A561" s="10">
        <v>551</v>
      </c>
      <c r="B561" s="11">
        <f>D560</f>
        <v>644.53125</v>
      </c>
      <c r="C561" s="11">
        <f>$B$6</f>
        <v>1.171875</v>
      </c>
      <c r="D561" s="11">
        <f>B561+C561</f>
        <v>645.703125</v>
      </c>
      <c r="E561" s="10">
        <f>MIN($B$7,ROUND(D561/$B$6,0))</f>
        <v>551</v>
      </c>
      <c r="F561" s="10" t="str">
        <f>DEC2BIN(INT(E561/64),5)&amp;DEC2BIN(MOD(E561,64),6)</f>
        <v>01000100111</v>
      </c>
      <c r="G561" s="10" t="str">
        <f>DEC2HEX(E561,3)</f>
        <v>227</v>
      </c>
      <c r="H561" s="10" t="str">
        <f>IF(ROUND(D561/$B$6,0)&gt;$B$7,"YES","NO")</f>
        <v>NO</v>
      </c>
    </row>
    <row r="562" spans="1:8">
      <c r="A562" s="8">
        <v>552</v>
      </c>
      <c r="B562" s="9">
        <f>D561</f>
        <v>645.703125</v>
      </c>
      <c r="C562" s="9">
        <f>$B$6</f>
        <v>1.171875</v>
      </c>
      <c r="D562" s="9">
        <f>B562+C562</f>
        <v>646.875</v>
      </c>
      <c r="E562" s="8">
        <f>MIN($B$7,ROUND(D562/$B$6,0))</f>
        <v>552</v>
      </c>
      <c r="F562" s="8" t="str">
        <f>DEC2BIN(INT(E562/64),5)&amp;DEC2BIN(MOD(E562,64),6)</f>
        <v>01000101000</v>
      </c>
      <c r="G562" s="8" t="str">
        <f>DEC2HEX(E562,3)</f>
        <v>228</v>
      </c>
      <c r="H562" s="8" t="str">
        <f>IF(ROUND(D562/$B$6,0)&gt;$B$7,"YES","NO")</f>
        <v>NO</v>
      </c>
    </row>
    <row r="563" spans="1:8">
      <c r="A563" s="10">
        <v>553</v>
      </c>
      <c r="B563" s="11">
        <f>D562</f>
        <v>646.875</v>
      </c>
      <c r="C563" s="11">
        <f>$B$6</f>
        <v>1.171875</v>
      </c>
      <c r="D563" s="11">
        <f>B563+C563</f>
        <v>648.046875</v>
      </c>
      <c r="E563" s="10">
        <f>MIN($B$7,ROUND(D563/$B$6,0))</f>
        <v>553</v>
      </c>
      <c r="F563" s="10" t="str">
        <f>DEC2BIN(INT(E563/64),5)&amp;DEC2BIN(MOD(E563,64),6)</f>
        <v>01000101001</v>
      </c>
      <c r="G563" s="10" t="str">
        <f>DEC2HEX(E563,3)</f>
        <v>229</v>
      </c>
      <c r="H563" s="10" t="str">
        <f>IF(ROUND(D563/$B$6,0)&gt;$B$7,"YES","NO")</f>
        <v>NO</v>
      </c>
    </row>
    <row r="564" spans="1:8">
      <c r="A564" s="8">
        <v>554</v>
      </c>
      <c r="B564" s="9">
        <f>D563</f>
        <v>648.046875</v>
      </c>
      <c r="C564" s="9">
        <f>$B$6</f>
        <v>1.171875</v>
      </c>
      <c r="D564" s="9">
        <f>B564+C564</f>
        <v>649.21875</v>
      </c>
      <c r="E564" s="8">
        <f>MIN($B$7,ROUND(D564/$B$6,0))</f>
        <v>554</v>
      </c>
      <c r="F564" s="8" t="str">
        <f>DEC2BIN(INT(E564/64),5)&amp;DEC2BIN(MOD(E564,64),6)</f>
        <v>01000101010</v>
      </c>
      <c r="G564" s="8" t="str">
        <f>DEC2HEX(E564,3)</f>
        <v>22A</v>
      </c>
      <c r="H564" s="8" t="str">
        <f>IF(ROUND(D564/$B$6,0)&gt;$B$7,"YES","NO")</f>
        <v>NO</v>
      </c>
    </row>
    <row r="565" spans="1:8">
      <c r="A565" s="10">
        <v>555</v>
      </c>
      <c r="B565" s="11">
        <f>D564</f>
        <v>649.21875</v>
      </c>
      <c r="C565" s="11">
        <f>$B$6</f>
        <v>1.171875</v>
      </c>
      <c r="D565" s="11">
        <f>B565+C565</f>
        <v>650.390625</v>
      </c>
      <c r="E565" s="10">
        <f>MIN($B$7,ROUND(D565/$B$6,0))</f>
        <v>555</v>
      </c>
      <c r="F565" s="10" t="str">
        <f>DEC2BIN(INT(E565/64),5)&amp;DEC2BIN(MOD(E565,64),6)</f>
        <v>01000101011</v>
      </c>
      <c r="G565" s="10" t="str">
        <f>DEC2HEX(E565,3)</f>
        <v>22B</v>
      </c>
      <c r="H565" s="10" t="str">
        <f>IF(ROUND(D565/$B$6,0)&gt;$B$7,"YES","NO")</f>
        <v>NO</v>
      </c>
    </row>
    <row r="566" spans="1:8">
      <c r="A566" s="8">
        <v>556</v>
      </c>
      <c r="B566" s="9">
        <f>D565</f>
        <v>650.390625</v>
      </c>
      <c r="C566" s="9">
        <f>$B$6</f>
        <v>1.171875</v>
      </c>
      <c r="D566" s="9">
        <f>B566+C566</f>
        <v>651.5625</v>
      </c>
      <c r="E566" s="8">
        <f>MIN($B$7,ROUND(D566/$B$6,0))</f>
        <v>556</v>
      </c>
      <c r="F566" s="8" t="str">
        <f>DEC2BIN(INT(E566/64),5)&amp;DEC2BIN(MOD(E566,64),6)</f>
        <v>01000101100</v>
      </c>
      <c r="G566" s="8" t="str">
        <f>DEC2HEX(E566,3)</f>
        <v>22C</v>
      </c>
      <c r="H566" s="8" t="str">
        <f>IF(ROUND(D566/$B$6,0)&gt;$B$7,"YES","NO")</f>
        <v>NO</v>
      </c>
    </row>
    <row r="567" spans="1:8">
      <c r="A567" s="10">
        <v>557</v>
      </c>
      <c r="B567" s="11">
        <f>D566</f>
        <v>651.5625</v>
      </c>
      <c r="C567" s="11">
        <f>$B$6</f>
        <v>1.171875</v>
      </c>
      <c r="D567" s="11">
        <f>B567+C567</f>
        <v>652.734375</v>
      </c>
      <c r="E567" s="10">
        <f>MIN($B$7,ROUND(D567/$B$6,0))</f>
        <v>557</v>
      </c>
      <c r="F567" s="10" t="str">
        <f>DEC2BIN(INT(E567/64),5)&amp;DEC2BIN(MOD(E567,64),6)</f>
        <v>01000101101</v>
      </c>
      <c r="G567" s="10" t="str">
        <f>DEC2HEX(E567,3)</f>
        <v>22D</v>
      </c>
      <c r="H567" s="10" t="str">
        <f>IF(ROUND(D567/$B$6,0)&gt;$B$7,"YES","NO")</f>
        <v>NO</v>
      </c>
    </row>
    <row r="568" spans="1:8">
      <c r="A568" s="8">
        <v>558</v>
      </c>
      <c r="B568" s="9">
        <f>D567</f>
        <v>652.734375</v>
      </c>
      <c r="C568" s="9">
        <f>$B$6</f>
        <v>1.171875</v>
      </c>
      <c r="D568" s="9">
        <f>B568+C568</f>
        <v>653.90625</v>
      </c>
      <c r="E568" s="8">
        <f>MIN($B$7,ROUND(D568/$B$6,0))</f>
        <v>558</v>
      </c>
      <c r="F568" s="8" t="str">
        <f>DEC2BIN(INT(E568/64),5)&amp;DEC2BIN(MOD(E568,64),6)</f>
        <v>01000101110</v>
      </c>
      <c r="G568" s="8" t="str">
        <f>DEC2HEX(E568,3)</f>
        <v>22E</v>
      </c>
      <c r="H568" s="8" t="str">
        <f>IF(ROUND(D568/$B$6,0)&gt;$B$7,"YES","NO")</f>
        <v>NO</v>
      </c>
    </row>
    <row r="569" spans="1:8">
      <c r="A569" s="10">
        <v>559</v>
      </c>
      <c r="B569" s="11">
        <f>D568</f>
        <v>653.90625</v>
      </c>
      <c r="C569" s="11">
        <f>$B$6</f>
        <v>1.171875</v>
      </c>
      <c r="D569" s="11">
        <f>B569+C569</f>
        <v>655.078125</v>
      </c>
      <c r="E569" s="10">
        <f>MIN($B$7,ROUND(D569/$B$6,0))</f>
        <v>559</v>
      </c>
      <c r="F569" s="10" t="str">
        <f>DEC2BIN(INT(E569/64),5)&amp;DEC2BIN(MOD(E569,64),6)</f>
        <v>01000101111</v>
      </c>
      <c r="G569" s="10" t="str">
        <f>DEC2HEX(E569,3)</f>
        <v>22F</v>
      </c>
      <c r="H569" s="10" t="str">
        <f>IF(ROUND(D569/$B$6,0)&gt;$B$7,"YES","NO")</f>
        <v>NO</v>
      </c>
    </row>
    <row r="570" spans="1:8">
      <c r="A570" s="8">
        <v>560</v>
      </c>
      <c r="B570" s="9">
        <f>D569</f>
        <v>655.078125</v>
      </c>
      <c r="C570" s="9">
        <f>$B$6</f>
        <v>1.171875</v>
      </c>
      <c r="D570" s="9">
        <f>B570+C570</f>
        <v>656.25</v>
      </c>
      <c r="E570" s="8">
        <f>MIN($B$7,ROUND(D570/$B$6,0))</f>
        <v>560</v>
      </c>
      <c r="F570" s="8" t="str">
        <f>DEC2BIN(INT(E570/64),5)&amp;DEC2BIN(MOD(E570,64),6)</f>
        <v>01000110000</v>
      </c>
      <c r="G570" s="8" t="str">
        <f>DEC2HEX(E570,3)</f>
        <v>230</v>
      </c>
      <c r="H570" s="8" t="str">
        <f>IF(ROUND(D570/$B$6,0)&gt;$B$7,"YES","NO")</f>
        <v>NO</v>
      </c>
    </row>
    <row r="571" spans="1:8">
      <c r="A571" s="10">
        <v>561</v>
      </c>
      <c r="B571" s="11">
        <f>D570</f>
        <v>656.25</v>
      </c>
      <c r="C571" s="11">
        <f>$B$6</f>
        <v>1.171875</v>
      </c>
      <c r="D571" s="11">
        <f>B571+C571</f>
        <v>657.421875</v>
      </c>
      <c r="E571" s="10">
        <f>MIN($B$7,ROUND(D571/$B$6,0))</f>
        <v>561</v>
      </c>
      <c r="F571" s="10" t="str">
        <f>DEC2BIN(INT(E571/64),5)&amp;DEC2BIN(MOD(E571,64),6)</f>
        <v>01000110001</v>
      </c>
      <c r="G571" s="10" t="str">
        <f>DEC2HEX(E571,3)</f>
        <v>231</v>
      </c>
      <c r="H571" s="10" t="str">
        <f>IF(ROUND(D571/$B$6,0)&gt;$B$7,"YES","NO")</f>
        <v>NO</v>
      </c>
    </row>
    <row r="572" spans="1:8">
      <c r="A572" s="8">
        <v>562</v>
      </c>
      <c r="B572" s="9">
        <f>D571</f>
        <v>657.421875</v>
      </c>
      <c r="C572" s="9">
        <f>$B$6</f>
        <v>1.171875</v>
      </c>
      <c r="D572" s="9">
        <f>B572+C572</f>
        <v>658.59375</v>
      </c>
      <c r="E572" s="8">
        <f>MIN($B$7,ROUND(D572/$B$6,0))</f>
        <v>562</v>
      </c>
      <c r="F572" s="8" t="str">
        <f>DEC2BIN(INT(E572/64),5)&amp;DEC2BIN(MOD(E572,64),6)</f>
        <v>01000110010</v>
      </c>
      <c r="G572" s="8" t="str">
        <f>DEC2HEX(E572,3)</f>
        <v>232</v>
      </c>
      <c r="H572" s="8" t="str">
        <f>IF(ROUND(D572/$B$6,0)&gt;$B$7,"YES","NO")</f>
        <v>NO</v>
      </c>
    </row>
    <row r="573" spans="1:8">
      <c r="A573" s="10">
        <v>563</v>
      </c>
      <c r="B573" s="11">
        <f>D572</f>
        <v>658.59375</v>
      </c>
      <c r="C573" s="11">
        <f>$B$6</f>
        <v>1.171875</v>
      </c>
      <c r="D573" s="11">
        <f>B573+C573</f>
        <v>659.765625</v>
      </c>
      <c r="E573" s="10">
        <f>MIN($B$7,ROUND(D573/$B$6,0))</f>
        <v>563</v>
      </c>
      <c r="F573" s="10" t="str">
        <f>DEC2BIN(INT(E573/64),5)&amp;DEC2BIN(MOD(E573,64),6)</f>
        <v>01000110011</v>
      </c>
      <c r="G573" s="10" t="str">
        <f>DEC2HEX(E573,3)</f>
        <v>233</v>
      </c>
      <c r="H573" s="10" t="str">
        <f>IF(ROUND(D573/$B$6,0)&gt;$B$7,"YES","NO")</f>
        <v>NO</v>
      </c>
    </row>
    <row r="574" spans="1:8">
      <c r="A574" s="8">
        <v>564</v>
      </c>
      <c r="B574" s="9">
        <f>D573</f>
        <v>659.765625</v>
      </c>
      <c r="C574" s="9">
        <f>$B$6</f>
        <v>1.171875</v>
      </c>
      <c r="D574" s="9">
        <f>B574+C574</f>
        <v>660.9375</v>
      </c>
      <c r="E574" s="8">
        <f>MIN($B$7,ROUND(D574/$B$6,0))</f>
        <v>564</v>
      </c>
      <c r="F574" s="8" t="str">
        <f>DEC2BIN(INT(E574/64),5)&amp;DEC2BIN(MOD(E574,64),6)</f>
        <v>01000110100</v>
      </c>
      <c r="G574" s="8" t="str">
        <f>DEC2HEX(E574,3)</f>
        <v>234</v>
      </c>
      <c r="H574" s="8" t="str">
        <f>IF(ROUND(D574/$B$6,0)&gt;$B$7,"YES","NO")</f>
        <v>NO</v>
      </c>
    </row>
    <row r="575" spans="1:8">
      <c r="A575" s="10">
        <v>565</v>
      </c>
      <c r="B575" s="11">
        <f>D574</f>
        <v>660.9375</v>
      </c>
      <c r="C575" s="11">
        <f>$B$6</f>
        <v>1.171875</v>
      </c>
      <c r="D575" s="11">
        <f>B575+C575</f>
        <v>662.109375</v>
      </c>
      <c r="E575" s="10">
        <f>MIN($B$7,ROUND(D575/$B$6,0))</f>
        <v>565</v>
      </c>
      <c r="F575" s="10" t="str">
        <f>DEC2BIN(INT(E575/64),5)&amp;DEC2BIN(MOD(E575,64),6)</f>
        <v>01000110101</v>
      </c>
      <c r="G575" s="10" t="str">
        <f>DEC2HEX(E575,3)</f>
        <v>235</v>
      </c>
      <c r="H575" s="10" t="str">
        <f>IF(ROUND(D575/$B$6,0)&gt;$B$7,"YES","NO")</f>
        <v>NO</v>
      </c>
    </row>
    <row r="576" spans="1:8">
      <c r="A576" s="8">
        <v>566</v>
      </c>
      <c r="B576" s="9">
        <f>D575</f>
        <v>662.109375</v>
      </c>
      <c r="C576" s="9">
        <f>$B$6</f>
        <v>1.171875</v>
      </c>
      <c r="D576" s="9">
        <f>B576+C576</f>
        <v>663.28125</v>
      </c>
      <c r="E576" s="8">
        <f>MIN($B$7,ROUND(D576/$B$6,0))</f>
        <v>566</v>
      </c>
      <c r="F576" s="8" t="str">
        <f>DEC2BIN(INT(E576/64),5)&amp;DEC2BIN(MOD(E576,64),6)</f>
        <v>01000110110</v>
      </c>
      <c r="G576" s="8" t="str">
        <f>DEC2HEX(E576,3)</f>
        <v>236</v>
      </c>
      <c r="H576" s="8" t="str">
        <f>IF(ROUND(D576/$B$6,0)&gt;$B$7,"YES","NO")</f>
        <v>NO</v>
      </c>
    </row>
    <row r="577" spans="1:8">
      <c r="A577" s="10">
        <v>567</v>
      </c>
      <c r="B577" s="11">
        <f>D576</f>
        <v>663.28125</v>
      </c>
      <c r="C577" s="11">
        <f>$B$6</f>
        <v>1.171875</v>
      </c>
      <c r="D577" s="11">
        <f>B577+C577</f>
        <v>664.453125</v>
      </c>
      <c r="E577" s="10">
        <f>MIN($B$7,ROUND(D577/$B$6,0))</f>
        <v>567</v>
      </c>
      <c r="F577" s="10" t="str">
        <f>DEC2BIN(INT(E577/64),5)&amp;DEC2BIN(MOD(E577,64),6)</f>
        <v>01000110111</v>
      </c>
      <c r="G577" s="10" t="str">
        <f>DEC2HEX(E577,3)</f>
        <v>237</v>
      </c>
      <c r="H577" s="10" t="str">
        <f>IF(ROUND(D577/$B$6,0)&gt;$B$7,"YES","NO")</f>
        <v>NO</v>
      </c>
    </row>
    <row r="578" spans="1:8">
      <c r="A578" s="8">
        <v>568</v>
      </c>
      <c r="B578" s="9">
        <f>D577</f>
        <v>664.453125</v>
      </c>
      <c r="C578" s="9">
        <f>$B$6</f>
        <v>1.171875</v>
      </c>
      <c r="D578" s="9">
        <f>B578+C578</f>
        <v>665.625</v>
      </c>
      <c r="E578" s="8">
        <f>MIN($B$7,ROUND(D578/$B$6,0))</f>
        <v>568</v>
      </c>
      <c r="F578" s="8" t="str">
        <f>DEC2BIN(INT(E578/64),5)&amp;DEC2BIN(MOD(E578,64),6)</f>
        <v>01000111000</v>
      </c>
      <c r="G578" s="8" t="str">
        <f>DEC2HEX(E578,3)</f>
        <v>238</v>
      </c>
      <c r="H578" s="8" t="str">
        <f>IF(ROUND(D578/$B$6,0)&gt;$B$7,"YES","NO")</f>
        <v>NO</v>
      </c>
    </row>
    <row r="579" spans="1:8">
      <c r="A579" s="10">
        <v>569</v>
      </c>
      <c r="B579" s="11">
        <f>D578</f>
        <v>665.625</v>
      </c>
      <c r="C579" s="11">
        <f>$B$6</f>
        <v>1.171875</v>
      </c>
      <c r="D579" s="11">
        <f>B579+C579</f>
        <v>666.796875</v>
      </c>
      <c r="E579" s="10">
        <f>MIN($B$7,ROUND(D579/$B$6,0))</f>
        <v>569</v>
      </c>
      <c r="F579" s="10" t="str">
        <f>DEC2BIN(INT(E579/64),5)&amp;DEC2BIN(MOD(E579,64),6)</f>
        <v>01000111001</v>
      </c>
      <c r="G579" s="10" t="str">
        <f>DEC2HEX(E579,3)</f>
        <v>239</v>
      </c>
      <c r="H579" s="10" t="str">
        <f>IF(ROUND(D579/$B$6,0)&gt;$B$7,"YES","NO")</f>
        <v>NO</v>
      </c>
    </row>
    <row r="580" spans="1:8">
      <c r="A580" s="8">
        <v>570</v>
      </c>
      <c r="B580" s="9">
        <f>D579</f>
        <v>666.796875</v>
      </c>
      <c r="C580" s="9">
        <f>$B$6</f>
        <v>1.171875</v>
      </c>
      <c r="D580" s="9">
        <f>B580+C580</f>
        <v>667.96875</v>
      </c>
      <c r="E580" s="8">
        <f>MIN($B$7,ROUND(D580/$B$6,0))</f>
        <v>570</v>
      </c>
      <c r="F580" s="8" t="str">
        <f>DEC2BIN(INT(E580/64),5)&amp;DEC2BIN(MOD(E580,64),6)</f>
        <v>01000111010</v>
      </c>
      <c r="G580" s="8" t="str">
        <f>DEC2HEX(E580,3)</f>
        <v>23A</v>
      </c>
      <c r="H580" s="8" t="str">
        <f>IF(ROUND(D580/$B$6,0)&gt;$B$7,"YES","NO")</f>
        <v>NO</v>
      </c>
    </row>
    <row r="581" spans="1:8">
      <c r="A581" s="10">
        <v>571</v>
      </c>
      <c r="B581" s="11">
        <f>D580</f>
        <v>667.96875</v>
      </c>
      <c r="C581" s="11">
        <f>$B$6</f>
        <v>1.171875</v>
      </c>
      <c r="D581" s="11">
        <f>B581+C581</f>
        <v>669.140625</v>
      </c>
      <c r="E581" s="10">
        <f>MIN($B$7,ROUND(D581/$B$6,0))</f>
        <v>571</v>
      </c>
      <c r="F581" s="10" t="str">
        <f>DEC2BIN(INT(E581/64),5)&amp;DEC2BIN(MOD(E581,64),6)</f>
        <v>01000111011</v>
      </c>
      <c r="G581" s="10" t="str">
        <f>DEC2HEX(E581,3)</f>
        <v>23B</v>
      </c>
      <c r="H581" s="10" t="str">
        <f>IF(ROUND(D581/$B$6,0)&gt;$B$7,"YES","NO")</f>
        <v>NO</v>
      </c>
    </row>
    <row r="582" spans="1:8">
      <c r="A582" s="8">
        <v>572</v>
      </c>
      <c r="B582" s="9">
        <f>D581</f>
        <v>669.140625</v>
      </c>
      <c r="C582" s="9">
        <f>$B$6</f>
        <v>1.171875</v>
      </c>
      <c r="D582" s="9">
        <f>B582+C582</f>
        <v>670.3125</v>
      </c>
      <c r="E582" s="8">
        <f>MIN($B$7,ROUND(D582/$B$6,0))</f>
        <v>572</v>
      </c>
      <c r="F582" s="8" t="str">
        <f>DEC2BIN(INT(E582/64),5)&amp;DEC2BIN(MOD(E582,64),6)</f>
        <v>01000111100</v>
      </c>
      <c r="G582" s="8" t="str">
        <f>DEC2HEX(E582,3)</f>
        <v>23C</v>
      </c>
      <c r="H582" s="8" t="str">
        <f>IF(ROUND(D582/$B$6,0)&gt;$B$7,"YES","NO")</f>
        <v>NO</v>
      </c>
    </row>
    <row r="583" spans="1:8">
      <c r="A583" s="10">
        <v>573</v>
      </c>
      <c r="B583" s="11">
        <f>D582</f>
        <v>670.3125</v>
      </c>
      <c r="C583" s="11">
        <f>$B$6</f>
        <v>1.171875</v>
      </c>
      <c r="D583" s="11">
        <f>B583+C583</f>
        <v>671.484375</v>
      </c>
      <c r="E583" s="10">
        <f>MIN($B$7,ROUND(D583/$B$6,0))</f>
        <v>573</v>
      </c>
      <c r="F583" s="10" t="str">
        <f>DEC2BIN(INT(E583/64),5)&amp;DEC2BIN(MOD(E583,64),6)</f>
        <v>01000111101</v>
      </c>
      <c r="G583" s="10" t="str">
        <f>DEC2HEX(E583,3)</f>
        <v>23D</v>
      </c>
      <c r="H583" s="10" t="str">
        <f>IF(ROUND(D583/$B$6,0)&gt;$B$7,"YES","NO")</f>
        <v>NO</v>
      </c>
    </row>
    <row r="584" spans="1:8">
      <c r="A584" s="8">
        <v>574</v>
      </c>
      <c r="B584" s="9">
        <f>D583</f>
        <v>671.484375</v>
      </c>
      <c r="C584" s="9">
        <f>$B$6</f>
        <v>1.171875</v>
      </c>
      <c r="D584" s="9">
        <f>B584+C584</f>
        <v>672.65625</v>
      </c>
      <c r="E584" s="8">
        <f>MIN($B$7,ROUND(D584/$B$6,0))</f>
        <v>574</v>
      </c>
      <c r="F584" s="8" t="str">
        <f>DEC2BIN(INT(E584/64),5)&amp;DEC2BIN(MOD(E584,64),6)</f>
        <v>01000111110</v>
      </c>
      <c r="G584" s="8" t="str">
        <f>DEC2HEX(E584,3)</f>
        <v>23E</v>
      </c>
      <c r="H584" s="8" t="str">
        <f>IF(ROUND(D584/$B$6,0)&gt;$B$7,"YES","NO")</f>
        <v>NO</v>
      </c>
    </row>
    <row r="585" spans="1:8">
      <c r="A585" s="10">
        <v>575</v>
      </c>
      <c r="B585" s="11">
        <f>D584</f>
        <v>672.65625</v>
      </c>
      <c r="C585" s="11">
        <f>$B$6</f>
        <v>1.171875</v>
      </c>
      <c r="D585" s="11">
        <f>B585+C585</f>
        <v>673.828125</v>
      </c>
      <c r="E585" s="10">
        <f>MIN($B$7,ROUND(D585/$B$6,0))</f>
        <v>575</v>
      </c>
      <c r="F585" s="10" t="str">
        <f>DEC2BIN(INT(E585/64),5)&amp;DEC2BIN(MOD(E585,64),6)</f>
        <v>01000111111</v>
      </c>
      <c r="G585" s="10" t="str">
        <f>DEC2HEX(E585,3)</f>
        <v>23F</v>
      </c>
      <c r="H585" s="10" t="str">
        <f>IF(ROUND(D585/$B$6,0)&gt;$B$7,"YES","NO")</f>
        <v>NO</v>
      </c>
    </row>
    <row r="586" spans="1:8">
      <c r="A586" s="8">
        <v>576</v>
      </c>
      <c r="B586" s="9">
        <f>D585</f>
        <v>673.828125</v>
      </c>
      <c r="C586" s="9">
        <f>$B$6</f>
        <v>1.171875</v>
      </c>
      <c r="D586" s="9">
        <f>B586+C586</f>
        <v>675</v>
      </c>
      <c r="E586" s="8">
        <f>MIN($B$7,ROUND(D586/$B$6,0))</f>
        <v>576</v>
      </c>
      <c r="F586" s="8" t="str">
        <f>DEC2BIN(INT(E586/64),5)&amp;DEC2BIN(MOD(E586,64),6)</f>
        <v>01001000000</v>
      </c>
      <c r="G586" s="8" t="str">
        <f>DEC2HEX(E586,3)</f>
        <v>240</v>
      </c>
      <c r="H586" s="8" t="str">
        <f>IF(ROUND(D586/$B$6,0)&gt;$B$7,"YES","NO")</f>
        <v>NO</v>
      </c>
    </row>
    <row r="587" spans="1:8">
      <c r="A587" s="10">
        <v>577</v>
      </c>
      <c r="B587" s="11">
        <f>D586</f>
        <v>675</v>
      </c>
      <c r="C587" s="11">
        <f>$B$6</f>
        <v>1.171875</v>
      </c>
      <c r="D587" s="11">
        <f>B587+C587</f>
        <v>676.171875</v>
      </c>
      <c r="E587" s="10">
        <f>MIN($B$7,ROUND(D587/$B$6,0))</f>
        <v>577</v>
      </c>
      <c r="F587" s="10" t="str">
        <f>DEC2BIN(INT(E587/64),5)&amp;DEC2BIN(MOD(E587,64),6)</f>
        <v>01001000001</v>
      </c>
      <c r="G587" s="10" t="str">
        <f>DEC2HEX(E587,3)</f>
        <v>241</v>
      </c>
      <c r="H587" s="10" t="str">
        <f>IF(ROUND(D587/$B$6,0)&gt;$B$7,"YES","NO")</f>
        <v>NO</v>
      </c>
    </row>
    <row r="588" spans="1:8">
      <c r="A588" s="8">
        <v>578</v>
      </c>
      <c r="B588" s="9">
        <f>D587</f>
        <v>676.171875</v>
      </c>
      <c r="C588" s="9">
        <f>$B$6</f>
        <v>1.171875</v>
      </c>
      <c r="D588" s="9">
        <f>B588+C588</f>
        <v>677.34375</v>
      </c>
      <c r="E588" s="8">
        <f>MIN($B$7,ROUND(D588/$B$6,0))</f>
        <v>578</v>
      </c>
      <c r="F588" s="8" t="str">
        <f>DEC2BIN(INT(E588/64),5)&amp;DEC2BIN(MOD(E588,64),6)</f>
        <v>01001000010</v>
      </c>
      <c r="G588" s="8" t="str">
        <f>DEC2HEX(E588,3)</f>
        <v>242</v>
      </c>
      <c r="H588" s="8" t="str">
        <f>IF(ROUND(D588/$B$6,0)&gt;$B$7,"YES","NO")</f>
        <v>NO</v>
      </c>
    </row>
    <row r="589" spans="1:8">
      <c r="A589" s="10">
        <v>579</v>
      </c>
      <c r="B589" s="11">
        <f>D588</f>
        <v>677.34375</v>
      </c>
      <c r="C589" s="11">
        <f>$B$6</f>
        <v>1.171875</v>
      </c>
      <c r="D589" s="11">
        <f>B589+C589</f>
        <v>678.515625</v>
      </c>
      <c r="E589" s="10">
        <f>MIN($B$7,ROUND(D589/$B$6,0))</f>
        <v>579</v>
      </c>
      <c r="F589" s="10" t="str">
        <f>DEC2BIN(INT(E589/64),5)&amp;DEC2BIN(MOD(E589,64),6)</f>
        <v>01001000011</v>
      </c>
      <c r="G589" s="10" t="str">
        <f>DEC2HEX(E589,3)</f>
        <v>243</v>
      </c>
      <c r="H589" s="10" t="str">
        <f>IF(ROUND(D589/$B$6,0)&gt;$B$7,"YES","NO")</f>
        <v>NO</v>
      </c>
    </row>
    <row r="590" spans="1:8">
      <c r="A590" s="8">
        <v>580</v>
      </c>
      <c r="B590" s="9">
        <f>D589</f>
        <v>678.515625</v>
      </c>
      <c r="C590" s="9">
        <f>$B$6</f>
        <v>1.171875</v>
      </c>
      <c r="D590" s="9">
        <f>B590+C590</f>
        <v>679.6875</v>
      </c>
      <c r="E590" s="8">
        <f>MIN($B$7,ROUND(D590/$B$6,0))</f>
        <v>580</v>
      </c>
      <c r="F590" s="8" t="str">
        <f>DEC2BIN(INT(E590/64),5)&amp;DEC2BIN(MOD(E590,64),6)</f>
        <v>01001000100</v>
      </c>
      <c r="G590" s="8" t="str">
        <f>DEC2HEX(E590,3)</f>
        <v>244</v>
      </c>
      <c r="H590" s="8" t="str">
        <f>IF(ROUND(D590/$B$6,0)&gt;$B$7,"YES","NO")</f>
        <v>NO</v>
      </c>
    </row>
    <row r="591" spans="1:8">
      <c r="A591" s="10">
        <v>581</v>
      </c>
      <c r="B591" s="11">
        <f>D590</f>
        <v>679.6875</v>
      </c>
      <c r="C591" s="11">
        <f>$B$6</f>
        <v>1.171875</v>
      </c>
      <c r="D591" s="11">
        <f>B591+C591</f>
        <v>680.859375</v>
      </c>
      <c r="E591" s="10">
        <f>MIN($B$7,ROUND(D591/$B$6,0))</f>
        <v>581</v>
      </c>
      <c r="F591" s="10" t="str">
        <f>DEC2BIN(INT(E591/64),5)&amp;DEC2BIN(MOD(E591,64),6)</f>
        <v>01001000101</v>
      </c>
      <c r="G591" s="10" t="str">
        <f>DEC2HEX(E591,3)</f>
        <v>245</v>
      </c>
      <c r="H591" s="10" t="str">
        <f>IF(ROUND(D591/$B$6,0)&gt;$B$7,"YES","NO")</f>
        <v>NO</v>
      </c>
    </row>
    <row r="592" spans="1:8">
      <c r="A592" s="8">
        <v>582</v>
      </c>
      <c r="B592" s="9">
        <f>D591</f>
        <v>680.859375</v>
      </c>
      <c r="C592" s="9">
        <f>$B$6</f>
        <v>1.171875</v>
      </c>
      <c r="D592" s="9">
        <f>B592+C592</f>
        <v>682.03125</v>
      </c>
      <c r="E592" s="8">
        <f>MIN($B$7,ROUND(D592/$B$6,0))</f>
        <v>582</v>
      </c>
      <c r="F592" s="8" t="str">
        <f>DEC2BIN(INT(E592/64),5)&amp;DEC2BIN(MOD(E592,64),6)</f>
        <v>01001000110</v>
      </c>
      <c r="G592" s="8" t="str">
        <f>DEC2HEX(E592,3)</f>
        <v>246</v>
      </c>
      <c r="H592" s="8" t="str">
        <f>IF(ROUND(D592/$B$6,0)&gt;$B$7,"YES","NO")</f>
        <v>NO</v>
      </c>
    </row>
    <row r="593" spans="1:8">
      <c r="A593" s="10">
        <v>583</v>
      </c>
      <c r="B593" s="11">
        <f>D592</f>
        <v>682.03125</v>
      </c>
      <c r="C593" s="11">
        <f>$B$6</f>
        <v>1.171875</v>
      </c>
      <c r="D593" s="11">
        <f>B593+C593</f>
        <v>683.203125</v>
      </c>
      <c r="E593" s="10">
        <f>MIN($B$7,ROUND(D593/$B$6,0))</f>
        <v>583</v>
      </c>
      <c r="F593" s="10" t="str">
        <f>DEC2BIN(INT(E593/64),5)&amp;DEC2BIN(MOD(E593,64),6)</f>
        <v>01001000111</v>
      </c>
      <c r="G593" s="10" t="str">
        <f>DEC2HEX(E593,3)</f>
        <v>247</v>
      </c>
      <c r="H593" s="10" t="str">
        <f>IF(ROUND(D593/$B$6,0)&gt;$B$7,"YES","NO")</f>
        <v>NO</v>
      </c>
    </row>
    <row r="594" spans="1:8">
      <c r="A594" s="8">
        <v>584</v>
      </c>
      <c r="B594" s="9">
        <f>D593</f>
        <v>683.203125</v>
      </c>
      <c r="C594" s="9">
        <f>$B$6</f>
        <v>1.171875</v>
      </c>
      <c r="D594" s="9">
        <f>B594+C594</f>
        <v>684.375</v>
      </c>
      <c r="E594" s="8">
        <f>MIN($B$7,ROUND(D594/$B$6,0))</f>
        <v>584</v>
      </c>
      <c r="F594" s="8" t="str">
        <f>DEC2BIN(INT(E594/64),5)&amp;DEC2BIN(MOD(E594,64),6)</f>
        <v>01001001000</v>
      </c>
      <c r="G594" s="8" t="str">
        <f>DEC2HEX(E594,3)</f>
        <v>248</v>
      </c>
      <c r="H594" s="8" t="str">
        <f>IF(ROUND(D594/$B$6,0)&gt;$B$7,"YES","NO")</f>
        <v>NO</v>
      </c>
    </row>
    <row r="595" spans="1:8">
      <c r="A595" s="10">
        <v>585</v>
      </c>
      <c r="B595" s="11">
        <f>D594</f>
        <v>684.375</v>
      </c>
      <c r="C595" s="11">
        <f>$B$6</f>
        <v>1.171875</v>
      </c>
      <c r="D595" s="11">
        <f>B595+C595</f>
        <v>685.546875</v>
      </c>
      <c r="E595" s="10">
        <f>MIN($B$7,ROUND(D595/$B$6,0))</f>
        <v>585</v>
      </c>
      <c r="F595" s="10" t="str">
        <f>DEC2BIN(INT(E595/64),5)&amp;DEC2BIN(MOD(E595,64),6)</f>
        <v>01001001001</v>
      </c>
      <c r="G595" s="10" t="str">
        <f>DEC2HEX(E595,3)</f>
        <v>249</v>
      </c>
      <c r="H595" s="10" t="str">
        <f>IF(ROUND(D595/$B$6,0)&gt;$B$7,"YES","NO")</f>
        <v>NO</v>
      </c>
    </row>
    <row r="596" spans="1:8">
      <c r="A596" s="8">
        <v>586</v>
      </c>
      <c r="B596" s="9">
        <f>D595</f>
        <v>685.546875</v>
      </c>
      <c r="C596" s="9">
        <f>$B$6</f>
        <v>1.171875</v>
      </c>
      <c r="D596" s="9">
        <f>B596+C596</f>
        <v>686.71875</v>
      </c>
      <c r="E596" s="8">
        <f>MIN($B$7,ROUND(D596/$B$6,0))</f>
        <v>586</v>
      </c>
      <c r="F596" s="8" t="str">
        <f>DEC2BIN(INT(E596/64),5)&amp;DEC2BIN(MOD(E596,64),6)</f>
        <v>01001001010</v>
      </c>
      <c r="G596" s="8" t="str">
        <f>DEC2HEX(E596,3)</f>
        <v>24A</v>
      </c>
      <c r="H596" s="8" t="str">
        <f>IF(ROUND(D596/$B$6,0)&gt;$B$7,"YES","NO")</f>
        <v>NO</v>
      </c>
    </row>
    <row r="597" spans="1:8">
      <c r="A597" s="10">
        <v>587</v>
      </c>
      <c r="B597" s="11">
        <f>D596</f>
        <v>686.71875</v>
      </c>
      <c r="C597" s="11">
        <f>$B$6</f>
        <v>1.171875</v>
      </c>
      <c r="D597" s="11">
        <f>B597+C597</f>
        <v>687.890625</v>
      </c>
      <c r="E597" s="10">
        <f>MIN($B$7,ROUND(D597/$B$6,0))</f>
        <v>587</v>
      </c>
      <c r="F597" s="10" t="str">
        <f>DEC2BIN(INT(E597/64),5)&amp;DEC2BIN(MOD(E597,64),6)</f>
        <v>01001001011</v>
      </c>
      <c r="G597" s="10" t="str">
        <f>DEC2HEX(E597,3)</f>
        <v>24B</v>
      </c>
      <c r="H597" s="10" t="str">
        <f>IF(ROUND(D597/$B$6,0)&gt;$B$7,"YES","NO")</f>
        <v>NO</v>
      </c>
    </row>
    <row r="598" spans="1:8">
      <c r="A598" s="8">
        <v>588</v>
      </c>
      <c r="B598" s="9">
        <f>D597</f>
        <v>687.890625</v>
      </c>
      <c r="C598" s="9">
        <f>$B$6</f>
        <v>1.171875</v>
      </c>
      <c r="D598" s="9">
        <f>B598+C598</f>
        <v>689.0625</v>
      </c>
      <c r="E598" s="8">
        <f>MIN($B$7,ROUND(D598/$B$6,0))</f>
        <v>588</v>
      </c>
      <c r="F598" s="8" t="str">
        <f>DEC2BIN(INT(E598/64),5)&amp;DEC2BIN(MOD(E598,64),6)</f>
        <v>01001001100</v>
      </c>
      <c r="G598" s="8" t="str">
        <f>DEC2HEX(E598,3)</f>
        <v>24C</v>
      </c>
      <c r="H598" s="8" t="str">
        <f>IF(ROUND(D598/$B$6,0)&gt;$B$7,"YES","NO")</f>
        <v>NO</v>
      </c>
    </row>
    <row r="599" spans="1:8">
      <c r="A599" s="10">
        <v>589</v>
      </c>
      <c r="B599" s="11">
        <f>D598</f>
        <v>689.0625</v>
      </c>
      <c r="C599" s="11">
        <f>$B$6</f>
        <v>1.171875</v>
      </c>
      <c r="D599" s="11">
        <f>B599+C599</f>
        <v>690.234375</v>
      </c>
      <c r="E599" s="10">
        <f>MIN($B$7,ROUND(D599/$B$6,0))</f>
        <v>589</v>
      </c>
      <c r="F599" s="10" t="str">
        <f>DEC2BIN(INT(E599/64),5)&amp;DEC2BIN(MOD(E599,64),6)</f>
        <v>01001001101</v>
      </c>
      <c r="G599" s="10" t="str">
        <f>DEC2HEX(E599,3)</f>
        <v>24D</v>
      </c>
      <c r="H599" s="10" t="str">
        <f>IF(ROUND(D599/$B$6,0)&gt;$B$7,"YES","NO")</f>
        <v>NO</v>
      </c>
    </row>
    <row r="600" spans="1:8">
      <c r="A600" s="8">
        <v>590</v>
      </c>
      <c r="B600" s="9">
        <f>D599</f>
        <v>690.234375</v>
      </c>
      <c r="C600" s="9">
        <f>$B$6</f>
        <v>1.171875</v>
      </c>
      <c r="D600" s="9">
        <f>B600+C600</f>
        <v>691.40625</v>
      </c>
      <c r="E600" s="8">
        <f>MIN($B$7,ROUND(D600/$B$6,0))</f>
        <v>590</v>
      </c>
      <c r="F600" s="8" t="str">
        <f>DEC2BIN(INT(E600/64),5)&amp;DEC2BIN(MOD(E600,64),6)</f>
        <v>01001001110</v>
      </c>
      <c r="G600" s="8" t="str">
        <f>DEC2HEX(E600,3)</f>
        <v>24E</v>
      </c>
      <c r="H600" s="8" t="str">
        <f>IF(ROUND(D600/$B$6,0)&gt;$B$7,"YES","NO")</f>
        <v>NO</v>
      </c>
    </row>
    <row r="601" spans="1:8">
      <c r="A601" s="10">
        <v>591</v>
      </c>
      <c r="B601" s="11">
        <f>D600</f>
        <v>691.40625</v>
      </c>
      <c r="C601" s="11">
        <f>$B$6</f>
        <v>1.171875</v>
      </c>
      <c r="D601" s="11">
        <f>B601+C601</f>
        <v>692.578125</v>
      </c>
      <c r="E601" s="10">
        <f>MIN($B$7,ROUND(D601/$B$6,0))</f>
        <v>591</v>
      </c>
      <c r="F601" s="10" t="str">
        <f>DEC2BIN(INT(E601/64),5)&amp;DEC2BIN(MOD(E601,64),6)</f>
        <v>01001001111</v>
      </c>
      <c r="G601" s="10" t="str">
        <f>DEC2HEX(E601,3)</f>
        <v>24F</v>
      </c>
      <c r="H601" s="10" t="str">
        <f>IF(ROUND(D601/$B$6,0)&gt;$B$7,"YES","NO")</f>
        <v>NO</v>
      </c>
    </row>
    <row r="602" spans="1:8">
      <c r="A602" s="8">
        <v>592</v>
      </c>
      <c r="B602" s="9">
        <f>D601</f>
        <v>692.578125</v>
      </c>
      <c r="C602" s="9">
        <f>$B$6</f>
        <v>1.171875</v>
      </c>
      <c r="D602" s="9">
        <f>B602+C602</f>
        <v>693.75</v>
      </c>
      <c r="E602" s="8">
        <f>MIN($B$7,ROUND(D602/$B$6,0))</f>
        <v>592</v>
      </c>
      <c r="F602" s="8" t="str">
        <f>DEC2BIN(INT(E602/64),5)&amp;DEC2BIN(MOD(E602,64),6)</f>
        <v>01001010000</v>
      </c>
      <c r="G602" s="8" t="str">
        <f>DEC2HEX(E602,3)</f>
        <v>250</v>
      </c>
      <c r="H602" s="8" t="str">
        <f>IF(ROUND(D602/$B$6,0)&gt;$B$7,"YES","NO")</f>
        <v>NO</v>
      </c>
    </row>
    <row r="603" spans="1:8">
      <c r="A603" s="10">
        <v>593</v>
      </c>
      <c r="B603" s="11">
        <f>D602</f>
        <v>693.75</v>
      </c>
      <c r="C603" s="11">
        <f>$B$6</f>
        <v>1.171875</v>
      </c>
      <c r="D603" s="11">
        <f>B603+C603</f>
        <v>694.921875</v>
      </c>
      <c r="E603" s="10">
        <f>MIN($B$7,ROUND(D603/$B$6,0))</f>
        <v>593</v>
      </c>
      <c r="F603" s="10" t="str">
        <f>DEC2BIN(INT(E603/64),5)&amp;DEC2BIN(MOD(E603,64),6)</f>
        <v>01001010001</v>
      </c>
      <c r="G603" s="10" t="str">
        <f>DEC2HEX(E603,3)</f>
        <v>251</v>
      </c>
      <c r="H603" s="10" t="str">
        <f>IF(ROUND(D603/$B$6,0)&gt;$B$7,"YES","NO")</f>
        <v>NO</v>
      </c>
    </row>
    <row r="604" spans="1:8">
      <c r="A604" s="8">
        <v>594</v>
      </c>
      <c r="B604" s="9">
        <f>D603</f>
        <v>694.921875</v>
      </c>
      <c r="C604" s="9">
        <f>$B$6</f>
        <v>1.171875</v>
      </c>
      <c r="D604" s="9">
        <f>B604+C604</f>
        <v>696.09375</v>
      </c>
      <c r="E604" s="8">
        <f>MIN($B$7,ROUND(D604/$B$6,0))</f>
        <v>594</v>
      </c>
      <c r="F604" s="8" t="str">
        <f>DEC2BIN(INT(E604/64),5)&amp;DEC2BIN(MOD(E604,64),6)</f>
        <v>01001010010</v>
      </c>
      <c r="G604" s="8" t="str">
        <f>DEC2HEX(E604,3)</f>
        <v>252</v>
      </c>
      <c r="H604" s="8" t="str">
        <f>IF(ROUND(D604/$B$6,0)&gt;$B$7,"YES","NO")</f>
        <v>NO</v>
      </c>
    </row>
    <row r="605" spans="1:8">
      <c r="A605" s="10">
        <v>595</v>
      </c>
      <c r="B605" s="11">
        <f>D604</f>
        <v>696.09375</v>
      </c>
      <c r="C605" s="11">
        <f>$B$6</f>
        <v>1.171875</v>
      </c>
      <c r="D605" s="11">
        <f>B605+C605</f>
        <v>697.265625</v>
      </c>
      <c r="E605" s="10">
        <f>MIN($B$7,ROUND(D605/$B$6,0))</f>
        <v>595</v>
      </c>
      <c r="F605" s="10" t="str">
        <f>DEC2BIN(INT(E605/64),5)&amp;DEC2BIN(MOD(E605,64),6)</f>
        <v>01001010011</v>
      </c>
      <c r="G605" s="10" t="str">
        <f>DEC2HEX(E605,3)</f>
        <v>253</v>
      </c>
      <c r="H605" s="10" t="str">
        <f>IF(ROUND(D605/$B$6,0)&gt;$B$7,"YES","NO")</f>
        <v>NO</v>
      </c>
    </row>
    <row r="606" spans="1:8">
      <c r="A606" s="8">
        <v>596</v>
      </c>
      <c r="B606" s="9">
        <f>D605</f>
        <v>697.265625</v>
      </c>
      <c r="C606" s="9">
        <f>$B$6</f>
        <v>1.171875</v>
      </c>
      <c r="D606" s="9">
        <f>B606+C606</f>
        <v>698.4375</v>
      </c>
      <c r="E606" s="8">
        <f>MIN($B$7,ROUND(D606/$B$6,0))</f>
        <v>596</v>
      </c>
      <c r="F606" s="8" t="str">
        <f>DEC2BIN(INT(E606/64),5)&amp;DEC2BIN(MOD(E606,64),6)</f>
        <v>01001010100</v>
      </c>
      <c r="G606" s="8" t="str">
        <f>DEC2HEX(E606,3)</f>
        <v>254</v>
      </c>
      <c r="H606" s="8" t="str">
        <f>IF(ROUND(D606/$B$6,0)&gt;$B$7,"YES","NO")</f>
        <v>NO</v>
      </c>
    </row>
    <row r="607" spans="1:8">
      <c r="A607" s="10">
        <v>597</v>
      </c>
      <c r="B607" s="11">
        <f>D606</f>
        <v>698.4375</v>
      </c>
      <c r="C607" s="11">
        <f>$B$6</f>
        <v>1.171875</v>
      </c>
      <c r="D607" s="11">
        <f>B607+C607</f>
        <v>699.609375</v>
      </c>
      <c r="E607" s="10">
        <f>MIN($B$7,ROUND(D607/$B$6,0))</f>
        <v>597</v>
      </c>
      <c r="F607" s="10" t="str">
        <f>DEC2BIN(INT(E607/64),5)&amp;DEC2BIN(MOD(E607,64),6)</f>
        <v>01001010101</v>
      </c>
      <c r="G607" s="10" t="str">
        <f>DEC2HEX(E607,3)</f>
        <v>255</v>
      </c>
      <c r="H607" s="10" t="str">
        <f>IF(ROUND(D607/$B$6,0)&gt;$B$7,"YES","NO")</f>
        <v>NO</v>
      </c>
    </row>
    <row r="608" spans="1:8">
      <c r="A608" s="8">
        <v>598</v>
      </c>
      <c r="B608" s="9">
        <f>D607</f>
        <v>699.609375</v>
      </c>
      <c r="C608" s="9">
        <f>$B$6</f>
        <v>1.171875</v>
      </c>
      <c r="D608" s="9">
        <f>B608+C608</f>
        <v>700.78125</v>
      </c>
      <c r="E608" s="8">
        <f>MIN($B$7,ROUND(D608/$B$6,0))</f>
        <v>598</v>
      </c>
      <c r="F608" s="8" t="str">
        <f>DEC2BIN(INT(E608/64),5)&amp;DEC2BIN(MOD(E608,64),6)</f>
        <v>01001010110</v>
      </c>
      <c r="G608" s="8" t="str">
        <f>DEC2HEX(E608,3)</f>
        <v>256</v>
      </c>
      <c r="H608" s="8" t="str">
        <f>IF(ROUND(D608/$B$6,0)&gt;$B$7,"YES","NO")</f>
        <v>NO</v>
      </c>
    </row>
    <row r="609" spans="1:8">
      <c r="A609" s="10">
        <v>599</v>
      </c>
      <c r="B609" s="11">
        <f>D608</f>
        <v>700.78125</v>
      </c>
      <c r="C609" s="11">
        <f>$B$6</f>
        <v>1.171875</v>
      </c>
      <c r="D609" s="11">
        <f>B609+C609</f>
        <v>701.953125</v>
      </c>
      <c r="E609" s="10">
        <f>MIN($B$7,ROUND(D609/$B$6,0))</f>
        <v>599</v>
      </c>
      <c r="F609" s="10" t="str">
        <f>DEC2BIN(INT(E609/64),5)&amp;DEC2BIN(MOD(E609,64),6)</f>
        <v>01001010111</v>
      </c>
      <c r="G609" s="10" t="str">
        <f>DEC2HEX(E609,3)</f>
        <v>257</v>
      </c>
      <c r="H609" s="10" t="str">
        <f>IF(ROUND(D609/$B$6,0)&gt;$B$7,"YES","NO")</f>
        <v>NO</v>
      </c>
    </row>
    <row r="610" spans="1:8">
      <c r="A610" s="8">
        <v>600</v>
      </c>
      <c r="B610" s="9">
        <f>D609</f>
        <v>701.953125</v>
      </c>
      <c r="C610" s="9">
        <f>$B$6</f>
        <v>1.171875</v>
      </c>
      <c r="D610" s="9">
        <f>B610+C610</f>
        <v>703.125</v>
      </c>
      <c r="E610" s="8">
        <f>MIN($B$7,ROUND(D610/$B$6,0))</f>
        <v>600</v>
      </c>
      <c r="F610" s="8" t="str">
        <f>DEC2BIN(INT(E610/64),5)&amp;DEC2BIN(MOD(E610,64),6)</f>
        <v>01001011000</v>
      </c>
      <c r="G610" s="8" t="str">
        <f>DEC2HEX(E610,3)</f>
        <v>258</v>
      </c>
      <c r="H610" s="8" t="str">
        <f>IF(ROUND(D610/$B$6,0)&gt;$B$7,"YES","NO")</f>
        <v>NO</v>
      </c>
    </row>
    <row r="611" spans="1:8">
      <c r="A611" s="10">
        <v>601</v>
      </c>
      <c r="B611" s="11">
        <f>D610</f>
        <v>703.125</v>
      </c>
      <c r="C611" s="11">
        <f>$B$6</f>
        <v>1.171875</v>
      </c>
      <c r="D611" s="11">
        <f>B611+C611</f>
        <v>704.296875</v>
      </c>
      <c r="E611" s="10">
        <f>MIN($B$7,ROUND(D611/$B$6,0))</f>
        <v>601</v>
      </c>
      <c r="F611" s="10" t="str">
        <f>DEC2BIN(INT(E611/64),5)&amp;DEC2BIN(MOD(E611,64),6)</f>
        <v>01001011001</v>
      </c>
      <c r="G611" s="10" t="str">
        <f>DEC2HEX(E611,3)</f>
        <v>259</v>
      </c>
      <c r="H611" s="10" t="str">
        <f>IF(ROUND(D611/$B$6,0)&gt;$B$7,"YES","NO")</f>
        <v>NO</v>
      </c>
    </row>
    <row r="612" spans="1:8">
      <c r="A612" s="8">
        <v>602</v>
      </c>
      <c r="B612" s="9">
        <f>D611</f>
        <v>704.296875</v>
      </c>
      <c r="C612" s="9">
        <f>$B$6</f>
        <v>1.171875</v>
      </c>
      <c r="D612" s="9">
        <f>B612+C612</f>
        <v>705.46875</v>
      </c>
      <c r="E612" s="8">
        <f>MIN($B$7,ROUND(D612/$B$6,0))</f>
        <v>602</v>
      </c>
      <c r="F612" s="8" t="str">
        <f>DEC2BIN(INT(E612/64),5)&amp;DEC2BIN(MOD(E612,64),6)</f>
        <v>01001011010</v>
      </c>
      <c r="G612" s="8" t="str">
        <f>DEC2HEX(E612,3)</f>
        <v>25A</v>
      </c>
      <c r="H612" s="8" t="str">
        <f>IF(ROUND(D612/$B$6,0)&gt;$B$7,"YES","NO")</f>
        <v>NO</v>
      </c>
    </row>
    <row r="613" spans="1:8">
      <c r="A613" s="10">
        <v>603</v>
      </c>
      <c r="B613" s="11">
        <f>D612</f>
        <v>705.46875</v>
      </c>
      <c r="C613" s="11">
        <f>$B$6</f>
        <v>1.171875</v>
      </c>
      <c r="D613" s="11">
        <f>B613+C613</f>
        <v>706.640625</v>
      </c>
      <c r="E613" s="10">
        <f>MIN($B$7,ROUND(D613/$B$6,0))</f>
        <v>603</v>
      </c>
      <c r="F613" s="10" t="str">
        <f>DEC2BIN(INT(E613/64),5)&amp;DEC2BIN(MOD(E613,64),6)</f>
        <v>01001011011</v>
      </c>
      <c r="G613" s="10" t="str">
        <f>DEC2HEX(E613,3)</f>
        <v>25B</v>
      </c>
      <c r="H613" s="10" t="str">
        <f>IF(ROUND(D613/$B$6,0)&gt;$B$7,"YES","NO")</f>
        <v>NO</v>
      </c>
    </row>
    <row r="614" spans="1:8">
      <c r="A614" s="8">
        <v>604</v>
      </c>
      <c r="B614" s="9">
        <f>D613</f>
        <v>706.640625</v>
      </c>
      <c r="C614" s="9">
        <f>$B$6</f>
        <v>1.171875</v>
      </c>
      <c r="D614" s="9">
        <f>B614+C614</f>
        <v>707.8125</v>
      </c>
      <c r="E614" s="8">
        <f>MIN($B$7,ROUND(D614/$B$6,0))</f>
        <v>604</v>
      </c>
      <c r="F614" s="8" t="str">
        <f>DEC2BIN(INT(E614/64),5)&amp;DEC2BIN(MOD(E614,64),6)</f>
        <v>01001011100</v>
      </c>
      <c r="G614" s="8" t="str">
        <f>DEC2HEX(E614,3)</f>
        <v>25C</v>
      </c>
      <c r="H614" s="8" t="str">
        <f>IF(ROUND(D614/$B$6,0)&gt;$B$7,"YES","NO")</f>
        <v>NO</v>
      </c>
    </row>
    <row r="615" spans="1:8">
      <c r="A615" s="10">
        <v>605</v>
      </c>
      <c r="B615" s="11">
        <f>D614</f>
        <v>707.8125</v>
      </c>
      <c r="C615" s="11">
        <f>$B$6</f>
        <v>1.171875</v>
      </c>
      <c r="D615" s="11">
        <f>B615+C615</f>
        <v>708.984375</v>
      </c>
      <c r="E615" s="10">
        <f>MIN($B$7,ROUND(D615/$B$6,0))</f>
        <v>605</v>
      </c>
      <c r="F615" s="10" t="str">
        <f>DEC2BIN(INT(E615/64),5)&amp;DEC2BIN(MOD(E615,64),6)</f>
        <v>01001011101</v>
      </c>
      <c r="G615" s="10" t="str">
        <f>DEC2HEX(E615,3)</f>
        <v>25D</v>
      </c>
      <c r="H615" s="10" t="str">
        <f>IF(ROUND(D615/$B$6,0)&gt;$B$7,"YES","NO")</f>
        <v>NO</v>
      </c>
    </row>
    <row r="616" spans="1:8">
      <c r="A616" s="8">
        <v>606</v>
      </c>
      <c r="B616" s="9">
        <f>D615</f>
        <v>708.984375</v>
      </c>
      <c r="C616" s="9">
        <f>$B$6</f>
        <v>1.171875</v>
      </c>
      <c r="D616" s="9">
        <f>B616+C616</f>
        <v>710.15625</v>
      </c>
      <c r="E616" s="8">
        <f>MIN($B$7,ROUND(D616/$B$6,0))</f>
        <v>606</v>
      </c>
      <c r="F616" s="8" t="str">
        <f>DEC2BIN(INT(E616/64),5)&amp;DEC2BIN(MOD(E616,64),6)</f>
        <v>01001011110</v>
      </c>
      <c r="G616" s="8" t="str">
        <f>DEC2HEX(E616,3)</f>
        <v>25E</v>
      </c>
      <c r="H616" s="8" t="str">
        <f>IF(ROUND(D616/$B$6,0)&gt;$B$7,"YES","NO")</f>
        <v>NO</v>
      </c>
    </row>
    <row r="617" spans="1:8">
      <c r="A617" s="10">
        <v>607</v>
      </c>
      <c r="B617" s="11">
        <f>D616</f>
        <v>710.15625</v>
      </c>
      <c r="C617" s="11">
        <f>$B$6</f>
        <v>1.171875</v>
      </c>
      <c r="D617" s="11">
        <f>B617+C617</f>
        <v>711.328125</v>
      </c>
      <c r="E617" s="10">
        <f>MIN($B$7,ROUND(D617/$B$6,0))</f>
        <v>607</v>
      </c>
      <c r="F617" s="10" t="str">
        <f>DEC2BIN(INT(E617/64),5)&amp;DEC2BIN(MOD(E617,64),6)</f>
        <v>01001011111</v>
      </c>
      <c r="G617" s="10" t="str">
        <f>DEC2HEX(E617,3)</f>
        <v>25F</v>
      </c>
      <c r="H617" s="10" t="str">
        <f>IF(ROUND(D617/$B$6,0)&gt;$B$7,"YES","NO")</f>
        <v>NO</v>
      </c>
    </row>
    <row r="618" spans="1:8">
      <c r="A618" s="8">
        <v>608</v>
      </c>
      <c r="B618" s="9">
        <f>D617</f>
        <v>711.328125</v>
      </c>
      <c r="C618" s="9">
        <f>$B$6</f>
        <v>1.171875</v>
      </c>
      <c r="D618" s="9">
        <f>B618+C618</f>
        <v>712.5</v>
      </c>
      <c r="E618" s="8">
        <f>MIN($B$7,ROUND(D618/$B$6,0))</f>
        <v>608</v>
      </c>
      <c r="F618" s="8" t="str">
        <f>DEC2BIN(INT(E618/64),5)&amp;DEC2BIN(MOD(E618,64),6)</f>
        <v>01001100000</v>
      </c>
      <c r="G618" s="8" t="str">
        <f>DEC2HEX(E618,3)</f>
        <v>260</v>
      </c>
      <c r="H618" s="8" t="str">
        <f>IF(ROUND(D618/$B$6,0)&gt;$B$7,"YES","NO")</f>
        <v>NO</v>
      </c>
    </row>
    <row r="619" spans="1:8">
      <c r="A619" s="10">
        <v>609</v>
      </c>
      <c r="B619" s="11">
        <f>D618</f>
        <v>712.5</v>
      </c>
      <c r="C619" s="11">
        <f>$B$6</f>
        <v>1.171875</v>
      </c>
      <c r="D619" s="11">
        <f>B619+C619</f>
        <v>713.671875</v>
      </c>
      <c r="E619" s="10">
        <f>MIN($B$7,ROUND(D619/$B$6,0))</f>
        <v>609</v>
      </c>
      <c r="F619" s="10" t="str">
        <f>DEC2BIN(INT(E619/64),5)&amp;DEC2BIN(MOD(E619,64),6)</f>
        <v>01001100001</v>
      </c>
      <c r="G619" s="10" t="str">
        <f>DEC2HEX(E619,3)</f>
        <v>261</v>
      </c>
      <c r="H619" s="10" t="str">
        <f>IF(ROUND(D619/$B$6,0)&gt;$B$7,"YES","NO")</f>
        <v>NO</v>
      </c>
    </row>
    <row r="620" spans="1:8">
      <c r="A620" s="8">
        <v>610</v>
      </c>
      <c r="B620" s="9">
        <f>D619</f>
        <v>713.671875</v>
      </c>
      <c r="C620" s="9">
        <f>$B$6</f>
        <v>1.171875</v>
      </c>
      <c r="D620" s="9">
        <f>B620+C620</f>
        <v>714.84375</v>
      </c>
      <c r="E620" s="8">
        <f>MIN($B$7,ROUND(D620/$B$6,0))</f>
        <v>610</v>
      </c>
      <c r="F620" s="8" t="str">
        <f>DEC2BIN(INT(E620/64),5)&amp;DEC2BIN(MOD(E620,64),6)</f>
        <v>01001100010</v>
      </c>
      <c r="G620" s="8" t="str">
        <f>DEC2HEX(E620,3)</f>
        <v>262</v>
      </c>
      <c r="H620" s="8" t="str">
        <f>IF(ROUND(D620/$B$6,0)&gt;$B$7,"YES","NO")</f>
        <v>NO</v>
      </c>
    </row>
    <row r="621" spans="1:8">
      <c r="A621" s="10">
        <v>611</v>
      </c>
      <c r="B621" s="11">
        <f>D620</f>
        <v>714.84375</v>
      </c>
      <c r="C621" s="11">
        <f>$B$6</f>
        <v>1.171875</v>
      </c>
      <c r="D621" s="11">
        <f>B621+C621</f>
        <v>716.015625</v>
      </c>
      <c r="E621" s="10">
        <f>MIN($B$7,ROUND(D621/$B$6,0))</f>
        <v>611</v>
      </c>
      <c r="F621" s="10" t="str">
        <f>DEC2BIN(INT(E621/64),5)&amp;DEC2BIN(MOD(E621,64),6)</f>
        <v>01001100011</v>
      </c>
      <c r="G621" s="10" t="str">
        <f>DEC2HEX(E621,3)</f>
        <v>263</v>
      </c>
      <c r="H621" s="10" t="str">
        <f>IF(ROUND(D621/$B$6,0)&gt;$B$7,"YES","NO")</f>
        <v>NO</v>
      </c>
    </row>
    <row r="622" spans="1:8">
      <c r="A622" s="8">
        <v>612</v>
      </c>
      <c r="B622" s="9">
        <f>D621</f>
        <v>716.015625</v>
      </c>
      <c r="C622" s="9">
        <f>$B$6</f>
        <v>1.171875</v>
      </c>
      <c r="D622" s="9">
        <f>B622+C622</f>
        <v>717.1875</v>
      </c>
      <c r="E622" s="8">
        <f>MIN($B$7,ROUND(D622/$B$6,0))</f>
        <v>612</v>
      </c>
      <c r="F622" s="8" t="str">
        <f>DEC2BIN(INT(E622/64),5)&amp;DEC2BIN(MOD(E622,64),6)</f>
        <v>01001100100</v>
      </c>
      <c r="G622" s="8" t="str">
        <f>DEC2HEX(E622,3)</f>
        <v>264</v>
      </c>
      <c r="H622" s="8" t="str">
        <f>IF(ROUND(D622/$B$6,0)&gt;$B$7,"YES","NO")</f>
        <v>NO</v>
      </c>
    </row>
    <row r="623" spans="1:8">
      <c r="A623" s="10">
        <v>613</v>
      </c>
      <c r="B623" s="11">
        <f>D622</f>
        <v>717.1875</v>
      </c>
      <c r="C623" s="11">
        <f>$B$6</f>
        <v>1.171875</v>
      </c>
      <c r="D623" s="11">
        <f>B623+C623</f>
        <v>718.359375</v>
      </c>
      <c r="E623" s="10">
        <f>MIN($B$7,ROUND(D623/$B$6,0))</f>
        <v>613</v>
      </c>
      <c r="F623" s="10" t="str">
        <f>DEC2BIN(INT(E623/64),5)&amp;DEC2BIN(MOD(E623,64),6)</f>
        <v>01001100101</v>
      </c>
      <c r="G623" s="10" t="str">
        <f>DEC2HEX(E623,3)</f>
        <v>265</v>
      </c>
      <c r="H623" s="10" t="str">
        <f>IF(ROUND(D623/$B$6,0)&gt;$B$7,"YES","NO")</f>
        <v>NO</v>
      </c>
    </row>
    <row r="624" spans="1:8">
      <c r="A624" s="8">
        <v>614</v>
      </c>
      <c r="B624" s="9">
        <f>D623</f>
        <v>718.359375</v>
      </c>
      <c r="C624" s="9">
        <f>$B$6</f>
        <v>1.171875</v>
      </c>
      <c r="D624" s="9">
        <f>B624+C624</f>
        <v>719.53125</v>
      </c>
      <c r="E624" s="8">
        <f>MIN($B$7,ROUND(D624/$B$6,0))</f>
        <v>614</v>
      </c>
      <c r="F624" s="8" t="str">
        <f>DEC2BIN(INT(E624/64),5)&amp;DEC2BIN(MOD(E624,64),6)</f>
        <v>01001100110</v>
      </c>
      <c r="G624" s="8" t="str">
        <f>DEC2HEX(E624,3)</f>
        <v>266</v>
      </c>
      <c r="H624" s="8" t="str">
        <f>IF(ROUND(D624/$B$6,0)&gt;$B$7,"YES","NO")</f>
        <v>NO</v>
      </c>
    </row>
    <row r="625" spans="1:8">
      <c r="A625" s="10">
        <v>615</v>
      </c>
      <c r="B625" s="11">
        <f>D624</f>
        <v>719.53125</v>
      </c>
      <c r="C625" s="11">
        <f>$B$6</f>
        <v>1.171875</v>
      </c>
      <c r="D625" s="11">
        <f>B625+C625</f>
        <v>720.703125</v>
      </c>
      <c r="E625" s="10">
        <f>MIN($B$7,ROUND(D625/$B$6,0))</f>
        <v>615</v>
      </c>
      <c r="F625" s="10" t="str">
        <f>DEC2BIN(INT(E625/64),5)&amp;DEC2BIN(MOD(E625,64),6)</f>
        <v>01001100111</v>
      </c>
      <c r="G625" s="10" t="str">
        <f>DEC2HEX(E625,3)</f>
        <v>267</v>
      </c>
      <c r="H625" s="10" t="str">
        <f>IF(ROUND(D625/$B$6,0)&gt;$B$7,"YES","NO")</f>
        <v>NO</v>
      </c>
    </row>
    <row r="626" spans="1:8">
      <c r="A626" s="8">
        <v>616</v>
      </c>
      <c r="B626" s="9">
        <f>D625</f>
        <v>720.703125</v>
      </c>
      <c r="C626" s="9">
        <f>$B$6</f>
        <v>1.171875</v>
      </c>
      <c r="D626" s="9">
        <f>B626+C626</f>
        <v>721.875</v>
      </c>
      <c r="E626" s="8">
        <f>MIN($B$7,ROUND(D626/$B$6,0))</f>
        <v>616</v>
      </c>
      <c r="F626" s="8" t="str">
        <f>DEC2BIN(INT(E626/64),5)&amp;DEC2BIN(MOD(E626,64),6)</f>
        <v>01001101000</v>
      </c>
      <c r="G626" s="8" t="str">
        <f>DEC2HEX(E626,3)</f>
        <v>268</v>
      </c>
      <c r="H626" s="8" t="str">
        <f>IF(ROUND(D626/$B$6,0)&gt;$B$7,"YES","NO")</f>
        <v>NO</v>
      </c>
    </row>
    <row r="627" spans="1:8">
      <c r="A627" s="10">
        <v>617</v>
      </c>
      <c r="B627" s="11">
        <f>D626</f>
        <v>721.875</v>
      </c>
      <c r="C627" s="11">
        <f>$B$6</f>
        <v>1.171875</v>
      </c>
      <c r="D627" s="11">
        <f>B627+C627</f>
        <v>723.046875</v>
      </c>
      <c r="E627" s="10">
        <f>MIN($B$7,ROUND(D627/$B$6,0))</f>
        <v>617</v>
      </c>
      <c r="F627" s="10" t="str">
        <f>DEC2BIN(INT(E627/64),5)&amp;DEC2BIN(MOD(E627,64),6)</f>
        <v>01001101001</v>
      </c>
      <c r="G627" s="10" t="str">
        <f>DEC2HEX(E627,3)</f>
        <v>269</v>
      </c>
      <c r="H627" s="10" t="str">
        <f>IF(ROUND(D627/$B$6,0)&gt;$B$7,"YES","NO")</f>
        <v>NO</v>
      </c>
    </row>
    <row r="628" spans="1:8">
      <c r="A628" s="8">
        <v>618</v>
      </c>
      <c r="B628" s="9">
        <f>D627</f>
        <v>723.046875</v>
      </c>
      <c r="C628" s="9">
        <f>$B$6</f>
        <v>1.171875</v>
      </c>
      <c r="D628" s="9">
        <f>B628+C628</f>
        <v>724.21875</v>
      </c>
      <c r="E628" s="8">
        <f>MIN($B$7,ROUND(D628/$B$6,0))</f>
        <v>618</v>
      </c>
      <c r="F628" s="8" t="str">
        <f>DEC2BIN(INT(E628/64),5)&amp;DEC2BIN(MOD(E628,64),6)</f>
        <v>01001101010</v>
      </c>
      <c r="G628" s="8" t="str">
        <f>DEC2HEX(E628,3)</f>
        <v>26A</v>
      </c>
      <c r="H628" s="8" t="str">
        <f>IF(ROUND(D628/$B$6,0)&gt;$B$7,"YES","NO")</f>
        <v>NO</v>
      </c>
    </row>
    <row r="629" spans="1:8">
      <c r="A629" s="10">
        <v>619</v>
      </c>
      <c r="B629" s="11">
        <f>D628</f>
        <v>724.21875</v>
      </c>
      <c r="C629" s="11">
        <f>$B$6</f>
        <v>1.171875</v>
      </c>
      <c r="D629" s="11">
        <f>B629+C629</f>
        <v>725.390625</v>
      </c>
      <c r="E629" s="10">
        <f>MIN($B$7,ROUND(D629/$B$6,0))</f>
        <v>619</v>
      </c>
      <c r="F629" s="10" t="str">
        <f>DEC2BIN(INT(E629/64),5)&amp;DEC2BIN(MOD(E629,64),6)</f>
        <v>01001101011</v>
      </c>
      <c r="G629" s="10" t="str">
        <f>DEC2HEX(E629,3)</f>
        <v>26B</v>
      </c>
      <c r="H629" s="10" t="str">
        <f>IF(ROUND(D629/$B$6,0)&gt;$B$7,"YES","NO")</f>
        <v>NO</v>
      </c>
    </row>
    <row r="630" spans="1:8">
      <c r="A630" s="8">
        <v>620</v>
      </c>
      <c r="B630" s="9">
        <f>D629</f>
        <v>725.390625</v>
      </c>
      <c r="C630" s="9">
        <f>$B$6</f>
        <v>1.171875</v>
      </c>
      <c r="D630" s="9">
        <f>B630+C630</f>
        <v>726.5625</v>
      </c>
      <c r="E630" s="8">
        <f>MIN($B$7,ROUND(D630/$B$6,0))</f>
        <v>620</v>
      </c>
      <c r="F630" s="8" t="str">
        <f>DEC2BIN(INT(E630/64),5)&amp;DEC2BIN(MOD(E630,64),6)</f>
        <v>01001101100</v>
      </c>
      <c r="G630" s="8" t="str">
        <f>DEC2HEX(E630,3)</f>
        <v>26C</v>
      </c>
      <c r="H630" s="8" t="str">
        <f>IF(ROUND(D630/$B$6,0)&gt;$B$7,"YES","NO")</f>
        <v>NO</v>
      </c>
    </row>
    <row r="631" spans="1:8">
      <c r="A631" s="10">
        <v>621</v>
      </c>
      <c r="B631" s="11">
        <f>D630</f>
        <v>726.5625</v>
      </c>
      <c r="C631" s="11">
        <f>$B$6</f>
        <v>1.171875</v>
      </c>
      <c r="D631" s="11">
        <f>B631+C631</f>
        <v>727.734375</v>
      </c>
      <c r="E631" s="10">
        <f>MIN($B$7,ROUND(D631/$B$6,0))</f>
        <v>621</v>
      </c>
      <c r="F631" s="10" t="str">
        <f>DEC2BIN(INT(E631/64),5)&amp;DEC2BIN(MOD(E631,64),6)</f>
        <v>01001101101</v>
      </c>
      <c r="G631" s="10" t="str">
        <f>DEC2HEX(E631,3)</f>
        <v>26D</v>
      </c>
      <c r="H631" s="10" t="str">
        <f>IF(ROUND(D631/$B$6,0)&gt;$B$7,"YES","NO")</f>
        <v>NO</v>
      </c>
    </row>
    <row r="632" spans="1:8">
      <c r="A632" s="8">
        <v>622</v>
      </c>
      <c r="B632" s="9">
        <f>D631</f>
        <v>727.734375</v>
      </c>
      <c r="C632" s="9">
        <f>$B$6</f>
        <v>1.171875</v>
      </c>
      <c r="D632" s="9">
        <f>B632+C632</f>
        <v>728.90625</v>
      </c>
      <c r="E632" s="8">
        <f>MIN($B$7,ROUND(D632/$B$6,0))</f>
        <v>622</v>
      </c>
      <c r="F632" s="8" t="str">
        <f>DEC2BIN(INT(E632/64),5)&amp;DEC2BIN(MOD(E632,64),6)</f>
        <v>01001101110</v>
      </c>
      <c r="G632" s="8" t="str">
        <f>DEC2HEX(E632,3)</f>
        <v>26E</v>
      </c>
      <c r="H632" s="8" t="str">
        <f>IF(ROUND(D632/$B$6,0)&gt;$B$7,"YES","NO")</f>
        <v>NO</v>
      </c>
    </row>
    <row r="633" spans="1:8">
      <c r="A633" s="10">
        <v>623</v>
      </c>
      <c r="B633" s="11">
        <f>D632</f>
        <v>728.90625</v>
      </c>
      <c r="C633" s="11">
        <f>$B$6</f>
        <v>1.171875</v>
      </c>
      <c r="D633" s="11">
        <f>B633+C633</f>
        <v>730.078125</v>
      </c>
      <c r="E633" s="10">
        <f>MIN($B$7,ROUND(D633/$B$6,0))</f>
        <v>623</v>
      </c>
      <c r="F633" s="10" t="str">
        <f>DEC2BIN(INT(E633/64),5)&amp;DEC2BIN(MOD(E633,64),6)</f>
        <v>01001101111</v>
      </c>
      <c r="G633" s="10" t="str">
        <f>DEC2HEX(E633,3)</f>
        <v>26F</v>
      </c>
      <c r="H633" s="10" t="str">
        <f>IF(ROUND(D633/$B$6,0)&gt;$B$7,"YES","NO")</f>
        <v>NO</v>
      </c>
    </row>
    <row r="634" spans="1:8">
      <c r="A634" s="8">
        <v>624</v>
      </c>
      <c r="B634" s="9">
        <f>D633</f>
        <v>730.078125</v>
      </c>
      <c r="C634" s="9">
        <f>$B$6</f>
        <v>1.171875</v>
      </c>
      <c r="D634" s="9">
        <f>B634+C634</f>
        <v>731.25</v>
      </c>
      <c r="E634" s="8">
        <f>MIN($B$7,ROUND(D634/$B$6,0))</f>
        <v>624</v>
      </c>
      <c r="F634" s="8" t="str">
        <f>DEC2BIN(INT(E634/64),5)&amp;DEC2BIN(MOD(E634,64),6)</f>
        <v>01001110000</v>
      </c>
      <c r="G634" s="8" t="str">
        <f>DEC2HEX(E634,3)</f>
        <v>270</v>
      </c>
      <c r="H634" s="8" t="str">
        <f>IF(ROUND(D634/$B$6,0)&gt;$B$7,"YES","NO")</f>
        <v>NO</v>
      </c>
    </row>
    <row r="635" spans="1:8">
      <c r="A635" s="10">
        <v>625</v>
      </c>
      <c r="B635" s="11">
        <f>D634</f>
        <v>731.25</v>
      </c>
      <c r="C635" s="11">
        <f>$B$6</f>
        <v>1.171875</v>
      </c>
      <c r="D635" s="11">
        <f>B635+C635</f>
        <v>732.421875</v>
      </c>
      <c r="E635" s="10">
        <f>MIN($B$7,ROUND(D635/$B$6,0))</f>
        <v>625</v>
      </c>
      <c r="F635" s="10" t="str">
        <f>DEC2BIN(INT(E635/64),5)&amp;DEC2BIN(MOD(E635,64),6)</f>
        <v>01001110001</v>
      </c>
      <c r="G635" s="10" t="str">
        <f>DEC2HEX(E635,3)</f>
        <v>271</v>
      </c>
      <c r="H635" s="10" t="str">
        <f>IF(ROUND(D635/$B$6,0)&gt;$B$7,"YES","NO")</f>
        <v>NO</v>
      </c>
    </row>
    <row r="636" spans="1:8">
      <c r="A636" s="8">
        <v>626</v>
      </c>
      <c r="B636" s="9">
        <f>D635</f>
        <v>732.421875</v>
      </c>
      <c r="C636" s="9">
        <f>$B$6</f>
        <v>1.171875</v>
      </c>
      <c r="D636" s="9">
        <f>B636+C636</f>
        <v>733.59375</v>
      </c>
      <c r="E636" s="8">
        <f>MIN($B$7,ROUND(D636/$B$6,0))</f>
        <v>626</v>
      </c>
      <c r="F636" s="8" t="str">
        <f>DEC2BIN(INT(E636/64),5)&amp;DEC2BIN(MOD(E636,64),6)</f>
        <v>01001110010</v>
      </c>
      <c r="G636" s="8" t="str">
        <f>DEC2HEX(E636,3)</f>
        <v>272</v>
      </c>
      <c r="H636" s="8" t="str">
        <f>IF(ROUND(D636/$B$6,0)&gt;$B$7,"YES","NO")</f>
        <v>NO</v>
      </c>
    </row>
    <row r="637" spans="1:8">
      <c r="A637" s="10">
        <v>627</v>
      </c>
      <c r="B637" s="11">
        <f>D636</f>
        <v>733.59375</v>
      </c>
      <c r="C637" s="11">
        <f>$B$6</f>
        <v>1.171875</v>
      </c>
      <c r="D637" s="11">
        <f>B637+C637</f>
        <v>734.765625</v>
      </c>
      <c r="E637" s="10">
        <f>MIN($B$7,ROUND(D637/$B$6,0))</f>
        <v>627</v>
      </c>
      <c r="F637" s="10" t="str">
        <f>DEC2BIN(INT(E637/64),5)&amp;DEC2BIN(MOD(E637,64),6)</f>
        <v>01001110011</v>
      </c>
      <c r="G637" s="10" t="str">
        <f>DEC2HEX(E637,3)</f>
        <v>273</v>
      </c>
      <c r="H637" s="10" t="str">
        <f>IF(ROUND(D637/$B$6,0)&gt;$B$7,"YES","NO")</f>
        <v>NO</v>
      </c>
    </row>
    <row r="638" spans="1:8">
      <c r="A638" s="8">
        <v>628</v>
      </c>
      <c r="B638" s="9">
        <f>D637</f>
        <v>734.765625</v>
      </c>
      <c r="C638" s="9">
        <f>$B$6</f>
        <v>1.171875</v>
      </c>
      <c r="D638" s="9">
        <f>B638+C638</f>
        <v>735.9375</v>
      </c>
      <c r="E638" s="8">
        <f>MIN($B$7,ROUND(D638/$B$6,0))</f>
        <v>628</v>
      </c>
      <c r="F638" s="8" t="str">
        <f>DEC2BIN(INT(E638/64),5)&amp;DEC2BIN(MOD(E638,64),6)</f>
        <v>01001110100</v>
      </c>
      <c r="G638" s="8" t="str">
        <f>DEC2HEX(E638,3)</f>
        <v>274</v>
      </c>
      <c r="H638" s="8" t="str">
        <f>IF(ROUND(D638/$B$6,0)&gt;$B$7,"YES","NO")</f>
        <v>NO</v>
      </c>
    </row>
    <row r="639" spans="1:8">
      <c r="A639" s="10">
        <v>629</v>
      </c>
      <c r="B639" s="11">
        <f>D638</f>
        <v>735.9375</v>
      </c>
      <c r="C639" s="11">
        <f>$B$6</f>
        <v>1.171875</v>
      </c>
      <c r="D639" s="11">
        <f>B639+C639</f>
        <v>737.109375</v>
      </c>
      <c r="E639" s="10">
        <f>MIN($B$7,ROUND(D639/$B$6,0))</f>
        <v>629</v>
      </c>
      <c r="F639" s="10" t="str">
        <f>DEC2BIN(INT(E639/64),5)&amp;DEC2BIN(MOD(E639,64),6)</f>
        <v>01001110101</v>
      </c>
      <c r="G639" s="10" t="str">
        <f>DEC2HEX(E639,3)</f>
        <v>275</v>
      </c>
      <c r="H639" s="10" t="str">
        <f>IF(ROUND(D639/$B$6,0)&gt;$B$7,"YES","NO")</f>
        <v>NO</v>
      </c>
    </row>
    <row r="640" spans="1:8">
      <c r="A640" s="8">
        <v>630</v>
      </c>
      <c r="B640" s="9">
        <f>D639</f>
        <v>737.109375</v>
      </c>
      <c r="C640" s="9">
        <f>$B$6</f>
        <v>1.171875</v>
      </c>
      <c r="D640" s="9">
        <f>B640+C640</f>
        <v>738.28125</v>
      </c>
      <c r="E640" s="8">
        <f>MIN($B$7,ROUND(D640/$B$6,0))</f>
        <v>630</v>
      </c>
      <c r="F640" s="8" t="str">
        <f>DEC2BIN(INT(E640/64),5)&amp;DEC2BIN(MOD(E640,64),6)</f>
        <v>01001110110</v>
      </c>
      <c r="G640" s="8" t="str">
        <f>DEC2HEX(E640,3)</f>
        <v>276</v>
      </c>
      <c r="H640" s="8" t="str">
        <f>IF(ROUND(D640/$B$6,0)&gt;$B$7,"YES","NO")</f>
        <v>NO</v>
      </c>
    </row>
    <row r="641" spans="1:8">
      <c r="A641" s="10">
        <v>631</v>
      </c>
      <c r="B641" s="11">
        <f>D640</f>
        <v>738.28125</v>
      </c>
      <c r="C641" s="11">
        <f>$B$6</f>
        <v>1.171875</v>
      </c>
      <c r="D641" s="11">
        <f>B641+C641</f>
        <v>739.453125</v>
      </c>
      <c r="E641" s="10">
        <f>MIN($B$7,ROUND(D641/$B$6,0))</f>
        <v>631</v>
      </c>
      <c r="F641" s="10" t="str">
        <f>DEC2BIN(INT(E641/64),5)&amp;DEC2BIN(MOD(E641,64),6)</f>
        <v>01001110111</v>
      </c>
      <c r="G641" s="10" t="str">
        <f>DEC2HEX(E641,3)</f>
        <v>277</v>
      </c>
      <c r="H641" s="10" t="str">
        <f>IF(ROUND(D641/$B$6,0)&gt;$B$7,"YES","NO")</f>
        <v>NO</v>
      </c>
    </row>
    <row r="642" spans="1:8">
      <c r="A642" s="8">
        <v>632</v>
      </c>
      <c r="B642" s="9">
        <f>D641</f>
        <v>739.453125</v>
      </c>
      <c r="C642" s="9">
        <f>$B$6</f>
        <v>1.171875</v>
      </c>
      <c r="D642" s="9">
        <f>B642+C642</f>
        <v>740.625</v>
      </c>
      <c r="E642" s="8">
        <f>MIN($B$7,ROUND(D642/$B$6,0))</f>
        <v>632</v>
      </c>
      <c r="F642" s="8" t="str">
        <f>DEC2BIN(INT(E642/64),5)&amp;DEC2BIN(MOD(E642,64),6)</f>
        <v>01001111000</v>
      </c>
      <c r="G642" s="8" t="str">
        <f>DEC2HEX(E642,3)</f>
        <v>278</v>
      </c>
      <c r="H642" s="8" t="str">
        <f>IF(ROUND(D642/$B$6,0)&gt;$B$7,"YES","NO")</f>
        <v>NO</v>
      </c>
    </row>
    <row r="643" spans="1:8">
      <c r="A643" s="10">
        <v>633</v>
      </c>
      <c r="B643" s="11">
        <f>D642</f>
        <v>740.625</v>
      </c>
      <c r="C643" s="11">
        <f>$B$6</f>
        <v>1.171875</v>
      </c>
      <c r="D643" s="11">
        <f>B643+C643</f>
        <v>741.796875</v>
      </c>
      <c r="E643" s="10">
        <f>MIN($B$7,ROUND(D643/$B$6,0))</f>
        <v>633</v>
      </c>
      <c r="F643" s="10" t="str">
        <f>DEC2BIN(INT(E643/64),5)&amp;DEC2BIN(MOD(E643,64),6)</f>
        <v>01001111001</v>
      </c>
      <c r="G643" s="10" t="str">
        <f>DEC2HEX(E643,3)</f>
        <v>279</v>
      </c>
      <c r="H643" s="10" t="str">
        <f>IF(ROUND(D643/$B$6,0)&gt;$B$7,"YES","NO")</f>
        <v>NO</v>
      </c>
    </row>
    <row r="644" spans="1:8">
      <c r="A644" s="8">
        <v>634</v>
      </c>
      <c r="B644" s="9">
        <f>D643</f>
        <v>741.796875</v>
      </c>
      <c r="C644" s="9">
        <f>$B$6</f>
        <v>1.171875</v>
      </c>
      <c r="D644" s="9">
        <f>B644+C644</f>
        <v>742.96875</v>
      </c>
      <c r="E644" s="8">
        <f>MIN($B$7,ROUND(D644/$B$6,0))</f>
        <v>634</v>
      </c>
      <c r="F644" s="8" t="str">
        <f>DEC2BIN(INT(E644/64),5)&amp;DEC2BIN(MOD(E644,64),6)</f>
        <v>01001111010</v>
      </c>
      <c r="G644" s="8" t="str">
        <f>DEC2HEX(E644,3)</f>
        <v>27A</v>
      </c>
      <c r="H644" s="8" t="str">
        <f>IF(ROUND(D644/$B$6,0)&gt;$B$7,"YES","NO")</f>
        <v>NO</v>
      </c>
    </row>
    <row r="645" spans="1:8">
      <c r="A645" s="10">
        <v>635</v>
      </c>
      <c r="B645" s="11">
        <f>D644</f>
        <v>742.96875</v>
      </c>
      <c r="C645" s="11">
        <f>$B$6</f>
        <v>1.171875</v>
      </c>
      <c r="D645" s="11">
        <f>B645+C645</f>
        <v>744.140625</v>
      </c>
      <c r="E645" s="10">
        <f>MIN($B$7,ROUND(D645/$B$6,0))</f>
        <v>635</v>
      </c>
      <c r="F645" s="10" t="str">
        <f>DEC2BIN(INT(E645/64),5)&amp;DEC2BIN(MOD(E645,64),6)</f>
        <v>01001111011</v>
      </c>
      <c r="G645" s="10" t="str">
        <f>DEC2HEX(E645,3)</f>
        <v>27B</v>
      </c>
      <c r="H645" s="10" t="str">
        <f>IF(ROUND(D645/$B$6,0)&gt;$B$7,"YES","NO")</f>
        <v>NO</v>
      </c>
    </row>
    <row r="646" spans="1:8">
      <c r="A646" s="8">
        <v>636</v>
      </c>
      <c r="B646" s="9">
        <f>D645</f>
        <v>744.140625</v>
      </c>
      <c r="C646" s="9">
        <f>$B$6</f>
        <v>1.171875</v>
      </c>
      <c r="D646" s="9">
        <f>B646+C646</f>
        <v>745.3125</v>
      </c>
      <c r="E646" s="8">
        <f>MIN($B$7,ROUND(D646/$B$6,0))</f>
        <v>636</v>
      </c>
      <c r="F646" s="8" t="str">
        <f>DEC2BIN(INT(E646/64),5)&amp;DEC2BIN(MOD(E646,64),6)</f>
        <v>01001111100</v>
      </c>
      <c r="G646" s="8" t="str">
        <f>DEC2HEX(E646,3)</f>
        <v>27C</v>
      </c>
      <c r="H646" s="8" t="str">
        <f>IF(ROUND(D646/$B$6,0)&gt;$B$7,"YES","NO")</f>
        <v>NO</v>
      </c>
    </row>
    <row r="647" spans="1:8">
      <c r="A647" s="10">
        <v>637</v>
      </c>
      <c r="B647" s="11">
        <f>D646</f>
        <v>745.3125</v>
      </c>
      <c r="C647" s="11">
        <f>$B$6</f>
        <v>1.171875</v>
      </c>
      <c r="D647" s="11">
        <f>B647+C647</f>
        <v>746.484375</v>
      </c>
      <c r="E647" s="10">
        <f>MIN($B$7,ROUND(D647/$B$6,0))</f>
        <v>637</v>
      </c>
      <c r="F647" s="10" t="str">
        <f>DEC2BIN(INT(E647/64),5)&amp;DEC2BIN(MOD(E647,64),6)</f>
        <v>01001111101</v>
      </c>
      <c r="G647" s="10" t="str">
        <f>DEC2HEX(E647,3)</f>
        <v>27D</v>
      </c>
      <c r="H647" s="10" t="str">
        <f>IF(ROUND(D647/$B$6,0)&gt;$B$7,"YES","NO")</f>
        <v>NO</v>
      </c>
    </row>
    <row r="648" spans="1:8">
      <c r="A648" s="8">
        <v>638</v>
      </c>
      <c r="B648" s="9">
        <f>D647</f>
        <v>746.484375</v>
      </c>
      <c r="C648" s="9">
        <f>$B$6</f>
        <v>1.171875</v>
      </c>
      <c r="D648" s="9">
        <f>B648+C648</f>
        <v>747.65625</v>
      </c>
      <c r="E648" s="8">
        <f>MIN($B$7,ROUND(D648/$B$6,0))</f>
        <v>638</v>
      </c>
      <c r="F648" s="8" t="str">
        <f>DEC2BIN(INT(E648/64),5)&amp;DEC2BIN(MOD(E648,64),6)</f>
        <v>01001111110</v>
      </c>
      <c r="G648" s="8" t="str">
        <f>DEC2HEX(E648,3)</f>
        <v>27E</v>
      </c>
      <c r="H648" s="8" t="str">
        <f>IF(ROUND(D648/$B$6,0)&gt;$B$7,"YES","NO")</f>
        <v>NO</v>
      </c>
    </row>
    <row r="649" spans="1:8">
      <c r="A649" s="10">
        <v>639</v>
      </c>
      <c r="B649" s="11">
        <f>D648</f>
        <v>747.65625</v>
      </c>
      <c r="C649" s="11">
        <f>$B$6</f>
        <v>1.171875</v>
      </c>
      <c r="D649" s="11">
        <f>B649+C649</f>
        <v>748.828125</v>
      </c>
      <c r="E649" s="10">
        <f>MIN($B$7,ROUND(D649/$B$6,0))</f>
        <v>639</v>
      </c>
      <c r="F649" s="10" t="str">
        <f>DEC2BIN(INT(E649/64),5)&amp;DEC2BIN(MOD(E649,64),6)</f>
        <v>01001111111</v>
      </c>
      <c r="G649" s="10" t="str">
        <f>DEC2HEX(E649,3)</f>
        <v>27F</v>
      </c>
      <c r="H649" s="10" t="str">
        <f>IF(ROUND(D649/$B$6,0)&gt;$B$7,"YES","NO")</f>
        <v>NO</v>
      </c>
    </row>
    <row r="650" spans="1:8">
      <c r="A650" s="8">
        <v>640</v>
      </c>
      <c r="B650" s="9">
        <f>D649</f>
        <v>748.828125</v>
      </c>
      <c r="C650" s="9">
        <f>$B$6</f>
        <v>1.171875</v>
      </c>
      <c r="D650" s="9">
        <f>B650+C650</f>
        <v>750</v>
      </c>
      <c r="E650" s="8">
        <f>MIN($B$7,ROUND(D650/$B$6,0))</f>
        <v>640</v>
      </c>
      <c r="F650" s="8" t="str">
        <f>DEC2BIN(INT(E650/64),5)&amp;DEC2BIN(MOD(E650,64),6)</f>
        <v>01010000000</v>
      </c>
      <c r="G650" s="8" t="str">
        <f>DEC2HEX(E650,3)</f>
        <v>280</v>
      </c>
      <c r="H650" s="8" t="str">
        <f>IF(ROUND(D650/$B$6,0)&gt;$B$7,"YES","NO")</f>
        <v>NO</v>
      </c>
    </row>
    <row r="651" spans="1:8">
      <c r="A651" s="10">
        <v>641</v>
      </c>
      <c r="B651" s="11">
        <f>D650</f>
        <v>750</v>
      </c>
      <c r="C651" s="11">
        <f>$B$6</f>
        <v>1.171875</v>
      </c>
      <c r="D651" s="11">
        <f>B651+C651</f>
        <v>751.171875</v>
      </c>
      <c r="E651" s="10">
        <f>MIN($B$7,ROUND(D651/$B$6,0))</f>
        <v>641</v>
      </c>
      <c r="F651" s="10" t="str">
        <f>DEC2BIN(INT(E651/64),5)&amp;DEC2BIN(MOD(E651,64),6)</f>
        <v>01010000001</v>
      </c>
      <c r="G651" s="10" t="str">
        <f>DEC2HEX(E651,3)</f>
        <v>281</v>
      </c>
      <c r="H651" s="10" t="str">
        <f>IF(ROUND(D651/$B$6,0)&gt;$B$7,"YES","NO")</f>
        <v>NO</v>
      </c>
    </row>
    <row r="652" spans="1:8">
      <c r="A652" s="8">
        <v>642</v>
      </c>
      <c r="B652" s="9">
        <f>D651</f>
        <v>751.171875</v>
      </c>
      <c r="C652" s="9">
        <f>$B$6</f>
        <v>1.171875</v>
      </c>
      <c r="D652" s="9">
        <f>B652+C652</f>
        <v>752.34375</v>
      </c>
      <c r="E652" s="8">
        <f>MIN($B$7,ROUND(D652/$B$6,0))</f>
        <v>642</v>
      </c>
      <c r="F652" s="8" t="str">
        <f>DEC2BIN(INT(E652/64),5)&amp;DEC2BIN(MOD(E652,64),6)</f>
        <v>01010000010</v>
      </c>
      <c r="G652" s="8" t="str">
        <f>DEC2HEX(E652,3)</f>
        <v>282</v>
      </c>
      <c r="H652" s="8" t="str">
        <f>IF(ROUND(D652/$B$6,0)&gt;$B$7,"YES","NO")</f>
        <v>NO</v>
      </c>
    </row>
    <row r="653" spans="1:8">
      <c r="A653" s="10">
        <v>643</v>
      </c>
      <c r="B653" s="11">
        <f>D652</f>
        <v>752.34375</v>
      </c>
      <c r="C653" s="11">
        <f>$B$6</f>
        <v>1.171875</v>
      </c>
      <c r="D653" s="11">
        <f>B653+C653</f>
        <v>753.515625</v>
      </c>
      <c r="E653" s="10">
        <f>MIN($B$7,ROUND(D653/$B$6,0))</f>
        <v>643</v>
      </c>
      <c r="F653" s="10" t="str">
        <f>DEC2BIN(INT(E653/64),5)&amp;DEC2BIN(MOD(E653,64),6)</f>
        <v>01010000011</v>
      </c>
      <c r="G653" s="10" t="str">
        <f>DEC2HEX(E653,3)</f>
        <v>283</v>
      </c>
      <c r="H653" s="10" t="str">
        <f>IF(ROUND(D653/$B$6,0)&gt;$B$7,"YES","NO")</f>
        <v>NO</v>
      </c>
    </row>
    <row r="654" spans="1:8">
      <c r="A654" s="8">
        <v>644</v>
      </c>
      <c r="B654" s="9">
        <f>D653</f>
        <v>753.515625</v>
      </c>
      <c r="C654" s="9">
        <f>$B$6</f>
        <v>1.171875</v>
      </c>
      <c r="D654" s="9">
        <f>B654+C654</f>
        <v>754.6875</v>
      </c>
      <c r="E654" s="8">
        <f>MIN($B$7,ROUND(D654/$B$6,0))</f>
        <v>644</v>
      </c>
      <c r="F654" s="8" t="str">
        <f>DEC2BIN(INT(E654/64),5)&amp;DEC2BIN(MOD(E654,64),6)</f>
        <v>01010000100</v>
      </c>
      <c r="G654" s="8" t="str">
        <f>DEC2HEX(E654,3)</f>
        <v>284</v>
      </c>
      <c r="H654" s="8" t="str">
        <f>IF(ROUND(D654/$B$6,0)&gt;$B$7,"YES","NO")</f>
        <v>NO</v>
      </c>
    </row>
    <row r="655" spans="1:8">
      <c r="A655" s="10">
        <v>645</v>
      </c>
      <c r="B655" s="11">
        <f>D654</f>
        <v>754.6875</v>
      </c>
      <c r="C655" s="11">
        <f>$B$6</f>
        <v>1.171875</v>
      </c>
      <c r="D655" s="11">
        <f>B655+C655</f>
        <v>755.859375</v>
      </c>
      <c r="E655" s="10">
        <f>MIN($B$7,ROUND(D655/$B$6,0))</f>
        <v>645</v>
      </c>
      <c r="F655" s="10" t="str">
        <f>DEC2BIN(INT(E655/64),5)&amp;DEC2BIN(MOD(E655,64),6)</f>
        <v>01010000101</v>
      </c>
      <c r="G655" s="10" t="str">
        <f>DEC2HEX(E655,3)</f>
        <v>285</v>
      </c>
      <c r="H655" s="10" t="str">
        <f>IF(ROUND(D655/$B$6,0)&gt;$B$7,"YES","NO")</f>
        <v>NO</v>
      </c>
    </row>
    <row r="656" spans="1:8">
      <c r="A656" s="8">
        <v>646</v>
      </c>
      <c r="B656" s="9">
        <f>D655</f>
        <v>755.859375</v>
      </c>
      <c r="C656" s="9">
        <f>$B$6</f>
        <v>1.171875</v>
      </c>
      <c r="D656" s="9">
        <f>B656+C656</f>
        <v>757.03125</v>
      </c>
      <c r="E656" s="8">
        <f>MIN($B$7,ROUND(D656/$B$6,0))</f>
        <v>646</v>
      </c>
      <c r="F656" s="8" t="str">
        <f>DEC2BIN(INT(E656/64),5)&amp;DEC2BIN(MOD(E656,64),6)</f>
        <v>01010000110</v>
      </c>
      <c r="G656" s="8" t="str">
        <f>DEC2HEX(E656,3)</f>
        <v>286</v>
      </c>
      <c r="H656" s="8" t="str">
        <f>IF(ROUND(D656/$B$6,0)&gt;$B$7,"YES","NO")</f>
        <v>NO</v>
      </c>
    </row>
    <row r="657" spans="1:8">
      <c r="A657" s="10">
        <v>647</v>
      </c>
      <c r="B657" s="11">
        <f>D656</f>
        <v>757.03125</v>
      </c>
      <c r="C657" s="11">
        <f>$B$6</f>
        <v>1.171875</v>
      </c>
      <c r="D657" s="11">
        <f>B657+C657</f>
        <v>758.203125</v>
      </c>
      <c r="E657" s="10">
        <f>MIN($B$7,ROUND(D657/$B$6,0))</f>
        <v>647</v>
      </c>
      <c r="F657" s="10" t="str">
        <f>DEC2BIN(INT(E657/64),5)&amp;DEC2BIN(MOD(E657,64),6)</f>
        <v>01010000111</v>
      </c>
      <c r="G657" s="10" t="str">
        <f>DEC2HEX(E657,3)</f>
        <v>287</v>
      </c>
      <c r="H657" s="10" t="str">
        <f>IF(ROUND(D657/$B$6,0)&gt;$B$7,"YES","NO")</f>
        <v>NO</v>
      </c>
    </row>
    <row r="658" spans="1:8">
      <c r="A658" s="8">
        <v>648</v>
      </c>
      <c r="B658" s="9">
        <f>D657</f>
        <v>758.203125</v>
      </c>
      <c r="C658" s="9">
        <f>$B$6</f>
        <v>1.171875</v>
      </c>
      <c r="D658" s="9">
        <f>B658+C658</f>
        <v>759.375</v>
      </c>
      <c r="E658" s="8">
        <f>MIN($B$7,ROUND(D658/$B$6,0))</f>
        <v>648</v>
      </c>
      <c r="F658" s="8" t="str">
        <f>DEC2BIN(INT(E658/64),5)&amp;DEC2BIN(MOD(E658,64),6)</f>
        <v>01010001000</v>
      </c>
      <c r="G658" s="8" t="str">
        <f>DEC2HEX(E658,3)</f>
        <v>288</v>
      </c>
      <c r="H658" s="8" t="str">
        <f>IF(ROUND(D658/$B$6,0)&gt;$B$7,"YES","NO")</f>
        <v>NO</v>
      </c>
    </row>
    <row r="659" spans="1:8">
      <c r="A659" s="10">
        <v>649</v>
      </c>
      <c r="B659" s="11">
        <f>D658</f>
        <v>759.375</v>
      </c>
      <c r="C659" s="11">
        <f>$B$6</f>
        <v>1.171875</v>
      </c>
      <c r="D659" s="11">
        <f>B659+C659</f>
        <v>760.546875</v>
      </c>
      <c r="E659" s="10">
        <f>MIN($B$7,ROUND(D659/$B$6,0))</f>
        <v>649</v>
      </c>
      <c r="F659" s="10" t="str">
        <f>DEC2BIN(INT(E659/64),5)&amp;DEC2BIN(MOD(E659,64),6)</f>
        <v>01010001001</v>
      </c>
      <c r="G659" s="10" t="str">
        <f>DEC2HEX(E659,3)</f>
        <v>289</v>
      </c>
      <c r="H659" s="10" t="str">
        <f>IF(ROUND(D659/$B$6,0)&gt;$B$7,"YES","NO")</f>
        <v>NO</v>
      </c>
    </row>
    <row r="660" spans="1:8">
      <c r="A660" s="8">
        <v>650</v>
      </c>
      <c r="B660" s="9">
        <f>D659</f>
        <v>760.546875</v>
      </c>
      <c r="C660" s="9">
        <f>$B$6</f>
        <v>1.171875</v>
      </c>
      <c r="D660" s="9">
        <f>B660+C660</f>
        <v>761.71875</v>
      </c>
      <c r="E660" s="8">
        <f>MIN($B$7,ROUND(D660/$B$6,0))</f>
        <v>650</v>
      </c>
      <c r="F660" s="8" t="str">
        <f>DEC2BIN(INT(E660/64),5)&amp;DEC2BIN(MOD(E660,64),6)</f>
        <v>01010001010</v>
      </c>
      <c r="G660" s="8" t="str">
        <f>DEC2HEX(E660,3)</f>
        <v>28A</v>
      </c>
      <c r="H660" s="8" t="str">
        <f>IF(ROUND(D660/$B$6,0)&gt;$B$7,"YES","NO")</f>
        <v>NO</v>
      </c>
    </row>
    <row r="661" spans="1:8">
      <c r="A661" s="10">
        <v>651</v>
      </c>
      <c r="B661" s="11">
        <f>D660</f>
        <v>761.71875</v>
      </c>
      <c r="C661" s="11">
        <f>$B$6</f>
        <v>1.171875</v>
      </c>
      <c r="D661" s="11">
        <f>B661+C661</f>
        <v>762.890625</v>
      </c>
      <c r="E661" s="10">
        <f>MIN($B$7,ROUND(D661/$B$6,0))</f>
        <v>651</v>
      </c>
      <c r="F661" s="10" t="str">
        <f>DEC2BIN(INT(E661/64),5)&amp;DEC2BIN(MOD(E661,64),6)</f>
        <v>01010001011</v>
      </c>
      <c r="G661" s="10" t="str">
        <f>DEC2HEX(E661,3)</f>
        <v>28B</v>
      </c>
      <c r="H661" s="10" t="str">
        <f>IF(ROUND(D661/$B$6,0)&gt;$B$7,"YES","NO")</f>
        <v>NO</v>
      </c>
    </row>
    <row r="662" spans="1:8">
      <c r="A662" s="8">
        <v>652</v>
      </c>
      <c r="B662" s="9">
        <f>D661</f>
        <v>762.890625</v>
      </c>
      <c r="C662" s="9">
        <f>$B$6</f>
        <v>1.171875</v>
      </c>
      <c r="D662" s="9">
        <f>B662+C662</f>
        <v>764.0625</v>
      </c>
      <c r="E662" s="8">
        <f>MIN($B$7,ROUND(D662/$B$6,0))</f>
        <v>652</v>
      </c>
      <c r="F662" s="8" t="str">
        <f>DEC2BIN(INT(E662/64),5)&amp;DEC2BIN(MOD(E662,64),6)</f>
        <v>01010001100</v>
      </c>
      <c r="G662" s="8" t="str">
        <f>DEC2HEX(E662,3)</f>
        <v>28C</v>
      </c>
      <c r="H662" s="8" t="str">
        <f>IF(ROUND(D662/$B$6,0)&gt;$B$7,"YES","NO")</f>
        <v>NO</v>
      </c>
    </row>
    <row r="663" spans="1:8">
      <c r="A663" s="10">
        <v>653</v>
      </c>
      <c r="B663" s="11">
        <f>D662</f>
        <v>764.0625</v>
      </c>
      <c r="C663" s="11">
        <f>$B$6</f>
        <v>1.171875</v>
      </c>
      <c r="D663" s="11">
        <f>B663+C663</f>
        <v>765.234375</v>
      </c>
      <c r="E663" s="10">
        <f>MIN($B$7,ROUND(D663/$B$6,0))</f>
        <v>653</v>
      </c>
      <c r="F663" s="10" t="str">
        <f>DEC2BIN(INT(E663/64),5)&amp;DEC2BIN(MOD(E663,64),6)</f>
        <v>01010001101</v>
      </c>
      <c r="G663" s="10" t="str">
        <f>DEC2HEX(E663,3)</f>
        <v>28D</v>
      </c>
      <c r="H663" s="10" t="str">
        <f>IF(ROUND(D663/$B$6,0)&gt;$B$7,"YES","NO")</f>
        <v>NO</v>
      </c>
    </row>
    <row r="664" spans="1:8">
      <c r="A664" s="8">
        <v>654</v>
      </c>
      <c r="B664" s="9">
        <f>D663</f>
        <v>765.234375</v>
      </c>
      <c r="C664" s="9">
        <f>$B$6</f>
        <v>1.171875</v>
      </c>
      <c r="D664" s="9">
        <f>B664+C664</f>
        <v>766.40625</v>
      </c>
      <c r="E664" s="8">
        <f>MIN($B$7,ROUND(D664/$B$6,0))</f>
        <v>654</v>
      </c>
      <c r="F664" s="8" t="str">
        <f>DEC2BIN(INT(E664/64),5)&amp;DEC2BIN(MOD(E664,64),6)</f>
        <v>01010001110</v>
      </c>
      <c r="G664" s="8" t="str">
        <f>DEC2HEX(E664,3)</f>
        <v>28E</v>
      </c>
      <c r="H664" s="8" t="str">
        <f>IF(ROUND(D664/$B$6,0)&gt;$B$7,"YES","NO")</f>
        <v>NO</v>
      </c>
    </row>
    <row r="665" spans="1:8">
      <c r="A665" s="10">
        <v>655</v>
      </c>
      <c r="B665" s="11">
        <f>D664</f>
        <v>766.40625</v>
      </c>
      <c r="C665" s="11">
        <f>$B$6</f>
        <v>1.171875</v>
      </c>
      <c r="D665" s="11">
        <f>B665+C665</f>
        <v>767.578125</v>
      </c>
      <c r="E665" s="10">
        <f>MIN($B$7,ROUND(D665/$B$6,0))</f>
        <v>655</v>
      </c>
      <c r="F665" s="10" t="str">
        <f>DEC2BIN(INT(E665/64),5)&amp;DEC2BIN(MOD(E665,64),6)</f>
        <v>01010001111</v>
      </c>
      <c r="G665" s="10" t="str">
        <f>DEC2HEX(E665,3)</f>
        <v>28F</v>
      </c>
      <c r="H665" s="10" t="str">
        <f>IF(ROUND(D665/$B$6,0)&gt;$B$7,"YES","NO")</f>
        <v>NO</v>
      </c>
    </row>
    <row r="666" spans="1:8">
      <c r="A666" s="8">
        <v>656</v>
      </c>
      <c r="B666" s="9">
        <f>D665</f>
        <v>767.578125</v>
      </c>
      <c r="C666" s="9">
        <f>$B$6</f>
        <v>1.171875</v>
      </c>
      <c r="D666" s="9">
        <f>B666+C666</f>
        <v>768.75</v>
      </c>
      <c r="E666" s="8">
        <f>MIN($B$7,ROUND(D666/$B$6,0))</f>
        <v>656</v>
      </c>
      <c r="F666" s="8" t="str">
        <f>DEC2BIN(INT(E666/64),5)&amp;DEC2BIN(MOD(E666,64),6)</f>
        <v>01010010000</v>
      </c>
      <c r="G666" s="8" t="str">
        <f>DEC2HEX(E666,3)</f>
        <v>290</v>
      </c>
      <c r="H666" s="8" t="str">
        <f>IF(ROUND(D666/$B$6,0)&gt;$B$7,"YES","NO")</f>
        <v>NO</v>
      </c>
    </row>
    <row r="667" spans="1:8">
      <c r="A667" s="10">
        <v>657</v>
      </c>
      <c r="B667" s="11">
        <f>D666</f>
        <v>768.75</v>
      </c>
      <c r="C667" s="11">
        <f>$B$6</f>
        <v>1.171875</v>
      </c>
      <c r="D667" s="11">
        <f>B667+C667</f>
        <v>769.921875</v>
      </c>
      <c r="E667" s="10">
        <f>MIN($B$7,ROUND(D667/$B$6,0))</f>
        <v>657</v>
      </c>
      <c r="F667" s="10" t="str">
        <f>DEC2BIN(INT(E667/64),5)&amp;DEC2BIN(MOD(E667,64),6)</f>
        <v>01010010001</v>
      </c>
      <c r="G667" s="10" t="str">
        <f>DEC2HEX(E667,3)</f>
        <v>291</v>
      </c>
      <c r="H667" s="10" t="str">
        <f>IF(ROUND(D667/$B$6,0)&gt;$B$7,"YES","NO")</f>
        <v>NO</v>
      </c>
    </row>
    <row r="668" spans="1:8">
      <c r="A668" s="8">
        <v>658</v>
      </c>
      <c r="B668" s="9">
        <f>D667</f>
        <v>769.921875</v>
      </c>
      <c r="C668" s="9">
        <f>$B$6</f>
        <v>1.171875</v>
      </c>
      <c r="D668" s="9">
        <f>B668+C668</f>
        <v>771.09375</v>
      </c>
      <c r="E668" s="8">
        <f>MIN($B$7,ROUND(D668/$B$6,0))</f>
        <v>658</v>
      </c>
      <c r="F668" s="8" t="str">
        <f>DEC2BIN(INT(E668/64),5)&amp;DEC2BIN(MOD(E668,64),6)</f>
        <v>01010010010</v>
      </c>
      <c r="G668" s="8" t="str">
        <f>DEC2HEX(E668,3)</f>
        <v>292</v>
      </c>
      <c r="H668" s="8" t="str">
        <f>IF(ROUND(D668/$B$6,0)&gt;$B$7,"YES","NO")</f>
        <v>NO</v>
      </c>
    </row>
    <row r="669" spans="1:8">
      <c r="A669" s="10">
        <v>659</v>
      </c>
      <c r="B669" s="11">
        <f>D668</f>
        <v>771.09375</v>
      </c>
      <c r="C669" s="11">
        <f>$B$6</f>
        <v>1.171875</v>
      </c>
      <c r="D669" s="11">
        <f>B669+C669</f>
        <v>772.265625</v>
      </c>
      <c r="E669" s="10">
        <f>MIN($B$7,ROUND(D669/$B$6,0))</f>
        <v>659</v>
      </c>
      <c r="F669" s="10" t="str">
        <f>DEC2BIN(INT(E669/64),5)&amp;DEC2BIN(MOD(E669,64),6)</f>
        <v>01010010011</v>
      </c>
      <c r="G669" s="10" t="str">
        <f>DEC2HEX(E669,3)</f>
        <v>293</v>
      </c>
      <c r="H669" s="10" t="str">
        <f>IF(ROUND(D669/$B$6,0)&gt;$B$7,"YES","NO")</f>
        <v>NO</v>
      </c>
    </row>
    <row r="670" spans="1:8">
      <c r="A670" s="8">
        <v>660</v>
      </c>
      <c r="B670" s="9">
        <f>D669</f>
        <v>772.265625</v>
      </c>
      <c r="C670" s="9">
        <f>$B$6</f>
        <v>1.171875</v>
      </c>
      <c r="D670" s="9">
        <f>B670+C670</f>
        <v>773.4375</v>
      </c>
      <c r="E670" s="8">
        <f>MIN($B$7,ROUND(D670/$B$6,0))</f>
        <v>660</v>
      </c>
      <c r="F670" s="8" t="str">
        <f>DEC2BIN(INT(E670/64),5)&amp;DEC2BIN(MOD(E670,64),6)</f>
        <v>01010010100</v>
      </c>
      <c r="G670" s="8" t="str">
        <f>DEC2HEX(E670,3)</f>
        <v>294</v>
      </c>
      <c r="H670" s="8" t="str">
        <f>IF(ROUND(D670/$B$6,0)&gt;$B$7,"YES","NO")</f>
        <v>NO</v>
      </c>
    </row>
    <row r="671" spans="1:8">
      <c r="A671" s="10">
        <v>661</v>
      </c>
      <c r="B671" s="11">
        <f>D670</f>
        <v>773.4375</v>
      </c>
      <c r="C671" s="11">
        <f>$B$6</f>
        <v>1.171875</v>
      </c>
      <c r="D671" s="11">
        <f>B671+C671</f>
        <v>774.609375</v>
      </c>
      <c r="E671" s="10">
        <f>MIN($B$7,ROUND(D671/$B$6,0))</f>
        <v>661</v>
      </c>
      <c r="F671" s="10" t="str">
        <f>DEC2BIN(INT(E671/64),5)&amp;DEC2BIN(MOD(E671,64),6)</f>
        <v>01010010101</v>
      </c>
      <c r="G671" s="10" t="str">
        <f>DEC2HEX(E671,3)</f>
        <v>295</v>
      </c>
      <c r="H671" s="10" t="str">
        <f>IF(ROUND(D671/$B$6,0)&gt;$B$7,"YES","NO")</f>
        <v>NO</v>
      </c>
    </row>
    <row r="672" spans="1:8">
      <c r="A672" s="8">
        <v>662</v>
      </c>
      <c r="B672" s="9">
        <f>D671</f>
        <v>774.609375</v>
      </c>
      <c r="C672" s="9">
        <f>$B$6</f>
        <v>1.171875</v>
      </c>
      <c r="D672" s="9">
        <f>B672+C672</f>
        <v>775.78125</v>
      </c>
      <c r="E672" s="8">
        <f>MIN($B$7,ROUND(D672/$B$6,0))</f>
        <v>662</v>
      </c>
      <c r="F672" s="8" t="str">
        <f>DEC2BIN(INT(E672/64),5)&amp;DEC2BIN(MOD(E672,64),6)</f>
        <v>01010010110</v>
      </c>
      <c r="G672" s="8" t="str">
        <f>DEC2HEX(E672,3)</f>
        <v>296</v>
      </c>
      <c r="H672" s="8" t="str">
        <f>IF(ROUND(D672/$B$6,0)&gt;$B$7,"YES","NO")</f>
        <v>NO</v>
      </c>
    </row>
    <row r="673" spans="1:8">
      <c r="A673" s="10">
        <v>663</v>
      </c>
      <c r="B673" s="11">
        <f>D672</f>
        <v>775.78125</v>
      </c>
      <c r="C673" s="11">
        <f>$B$6</f>
        <v>1.171875</v>
      </c>
      <c r="D673" s="11">
        <f>B673+C673</f>
        <v>776.953125</v>
      </c>
      <c r="E673" s="10">
        <f>MIN($B$7,ROUND(D673/$B$6,0))</f>
        <v>663</v>
      </c>
      <c r="F673" s="10" t="str">
        <f>DEC2BIN(INT(E673/64),5)&amp;DEC2BIN(MOD(E673,64),6)</f>
        <v>01010010111</v>
      </c>
      <c r="G673" s="10" t="str">
        <f>DEC2HEX(E673,3)</f>
        <v>297</v>
      </c>
      <c r="H673" s="10" t="str">
        <f>IF(ROUND(D673/$B$6,0)&gt;$B$7,"YES","NO")</f>
        <v>NO</v>
      </c>
    </row>
    <row r="674" spans="1:8">
      <c r="A674" s="8">
        <v>664</v>
      </c>
      <c r="B674" s="9">
        <f>D673</f>
        <v>776.953125</v>
      </c>
      <c r="C674" s="9">
        <f>$B$6</f>
        <v>1.171875</v>
      </c>
      <c r="D674" s="9">
        <f>B674+C674</f>
        <v>778.125</v>
      </c>
      <c r="E674" s="8">
        <f>MIN($B$7,ROUND(D674/$B$6,0))</f>
        <v>664</v>
      </c>
      <c r="F674" s="8" t="str">
        <f>DEC2BIN(INT(E674/64),5)&amp;DEC2BIN(MOD(E674,64),6)</f>
        <v>01010011000</v>
      </c>
      <c r="G674" s="8" t="str">
        <f>DEC2HEX(E674,3)</f>
        <v>298</v>
      </c>
      <c r="H674" s="8" t="str">
        <f>IF(ROUND(D674/$B$6,0)&gt;$B$7,"YES","NO")</f>
        <v>NO</v>
      </c>
    </row>
    <row r="675" spans="1:8">
      <c r="A675" s="10">
        <v>665</v>
      </c>
      <c r="B675" s="11">
        <f>D674</f>
        <v>778.125</v>
      </c>
      <c r="C675" s="11">
        <f>$B$6</f>
        <v>1.171875</v>
      </c>
      <c r="D675" s="11">
        <f>B675+C675</f>
        <v>779.296875</v>
      </c>
      <c r="E675" s="10">
        <f>MIN($B$7,ROUND(D675/$B$6,0))</f>
        <v>665</v>
      </c>
      <c r="F675" s="10" t="str">
        <f>DEC2BIN(INT(E675/64),5)&amp;DEC2BIN(MOD(E675,64),6)</f>
        <v>01010011001</v>
      </c>
      <c r="G675" s="10" t="str">
        <f>DEC2HEX(E675,3)</f>
        <v>299</v>
      </c>
      <c r="H675" s="10" t="str">
        <f>IF(ROUND(D675/$B$6,0)&gt;$B$7,"YES","NO")</f>
        <v>NO</v>
      </c>
    </row>
    <row r="676" spans="1:8">
      <c r="A676" s="8">
        <v>666</v>
      </c>
      <c r="B676" s="9">
        <f>D675</f>
        <v>779.296875</v>
      </c>
      <c r="C676" s="9">
        <f>$B$6</f>
        <v>1.171875</v>
      </c>
      <c r="D676" s="9">
        <f>B676+C676</f>
        <v>780.46875</v>
      </c>
      <c r="E676" s="8">
        <f>MIN($B$7,ROUND(D676/$B$6,0))</f>
        <v>666</v>
      </c>
      <c r="F676" s="8" t="str">
        <f>DEC2BIN(INT(E676/64),5)&amp;DEC2BIN(MOD(E676,64),6)</f>
        <v>01010011010</v>
      </c>
      <c r="G676" s="8" t="str">
        <f>DEC2HEX(E676,3)</f>
        <v>29A</v>
      </c>
      <c r="H676" s="8" t="str">
        <f>IF(ROUND(D676/$B$6,0)&gt;$B$7,"YES","NO")</f>
        <v>NO</v>
      </c>
    </row>
    <row r="677" spans="1:8">
      <c r="A677" s="10">
        <v>667</v>
      </c>
      <c r="B677" s="11">
        <f>D676</f>
        <v>780.46875</v>
      </c>
      <c r="C677" s="11">
        <f>$B$6</f>
        <v>1.171875</v>
      </c>
      <c r="D677" s="11">
        <f>B677+C677</f>
        <v>781.640625</v>
      </c>
      <c r="E677" s="10">
        <f>MIN($B$7,ROUND(D677/$B$6,0))</f>
        <v>667</v>
      </c>
      <c r="F677" s="10" t="str">
        <f>DEC2BIN(INT(E677/64),5)&amp;DEC2BIN(MOD(E677,64),6)</f>
        <v>01010011011</v>
      </c>
      <c r="G677" s="10" t="str">
        <f>DEC2HEX(E677,3)</f>
        <v>29B</v>
      </c>
      <c r="H677" s="10" t="str">
        <f>IF(ROUND(D677/$B$6,0)&gt;$B$7,"YES","NO")</f>
        <v>NO</v>
      </c>
    </row>
    <row r="678" spans="1:8">
      <c r="A678" s="8">
        <v>668</v>
      </c>
      <c r="B678" s="9">
        <f>D677</f>
        <v>781.640625</v>
      </c>
      <c r="C678" s="9">
        <f>$B$6</f>
        <v>1.171875</v>
      </c>
      <c r="D678" s="9">
        <f>B678+C678</f>
        <v>782.8125</v>
      </c>
      <c r="E678" s="8">
        <f>MIN($B$7,ROUND(D678/$B$6,0))</f>
        <v>668</v>
      </c>
      <c r="F678" s="8" t="str">
        <f>DEC2BIN(INT(E678/64),5)&amp;DEC2BIN(MOD(E678,64),6)</f>
        <v>01010011100</v>
      </c>
      <c r="G678" s="8" t="str">
        <f>DEC2HEX(E678,3)</f>
        <v>29C</v>
      </c>
      <c r="H678" s="8" t="str">
        <f>IF(ROUND(D678/$B$6,0)&gt;$B$7,"YES","NO")</f>
        <v>NO</v>
      </c>
    </row>
    <row r="679" spans="1:8">
      <c r="A679" s="10">
        <v>669</v>
      </c>
      <c r="B679" s="11">
        <f>D678</f>
        <v>782.8125</v>
      </c>
      <c r="C679" s="11">
        <f>$B$6</f>
        <v>1.171875</v>
      </c>
      <c r="D679" s="11">
        <f>B679+C679</f>
        <v>783.984375</v>
      </c>
      <c r="E679" s="10">
        <f>MIN($B$7,ROUND(D679/$B$6,0))</f>
        <v>669</v>
      </c>
      <c r="F679" s="10" t="str">
        <f>DEC2BIN(INT(E679/64),5)&amp;DEC2BIN(MOD(E679,64),6)</f>
        <v>01010011101</v>
      </c>
      <c r="G679" s="10" t="str">
        <f>DEC2HEX(E679,3)</f>
        <v>29D</v>
      </c>
      <c r="H679" s="10" t="str">
        <f>IF(ROUND(D679/$B$6,0)&gt;$B$7,"YES","NO")</f>
        <v>NO</v>
      </c>
    </row>
    <row r="680" spans="1:8">
      <c r="A680" s="8">
        <v>670</v>
      </c>
      <c r="B680" s="9">
        <f>D679</f>
        <v>783.984375</v>
      </c>
      <c r="C680" s="9">
        <f>$B$6</f>
        <v>1.171875</v>
      </c>
      <c r="D680" s="9">
        <f>B680+C680</f>
        <v>785.15625</v>
      </c>
      <c r="E680" s="8">
        <f>MIN($B$7,ROUND(D680/$B$6,0))</f>
        <v>670</v>
      </c>
      <c r="F680" s="8" t="str">
        <f>DEC2BIN(INT(E680/64),5)&amp;DEC2BIN(MOD(E680,64),6)</f>
        <v>01010011110</v>
      </c>
      <c r="G680" s="8" t="str">
        <f>DEC2HEX(E680,3)</f>
        <v>29E</v>
      </c>
      <c r="H680" s="8" t="str">
        <f>IF(ROUND(D680/$B$6,0)&gt;$B$7,"YES","NO")</f>
        <v>NO</v>
      </c>
    </row>
    <row r="681" spans="1:8">
      <c r="A681" s="10">
        <v>671</v>
      </c>
      <c r="B681" s="11">
        <f>D680</f>
        <v>785.15625</v>
      </c>
      <c r="C681" s="11">
        <f>$B$6</f>
        <v>1.171875</v>
      </c>
      <c r="D681" s="11">
        <f>B681+C681</f>
        <v>786.328125</v>
      </c>
      <c r="E681" s="10">
        <f>MIN($B$7,ROUND(D681/$B$6,0))</f>
        <v>671</v>
      </c>
      <c r="F681" s="10" t="str">
        <f>DEC2BIN(INT(E681/64),5)&amp;DEC2BIN(MOD(E681,64),6)</f>
        <v>01010011111</v>
      </c>
      <c r="G681" s="10" t="str">
        <f>DEC2HEX(E681,3)</f>
        <v>29F</v>
      </c>
      <c r="H681" s="10" t="str">
        <f>IF(ROUND(D681/$B$6,0)&gt;$B$7,"YES","NO")</f>
        <v>NO</v>
      </c>
    </row>
    <row r="682" spans="1:8">
      <c r="A682" s="8">
        <v>672</v>
      </c>
      <c r="B682" s="9">
        <f>D681</f>
        <v>786.328125</v>
      </c>
      <c r="C682" s="9">
        <f>$B$6</f>
        <v>1.171875</v>
      </c>
      <c r="D682" s="9">
        <f>B682+C682</f>
        <v>787.5</v>
      </c>
      <c r="E682" s="8">
        <f>MIN($B$7,ROUND(D682/$B$6,0))</f>
        <v>672</v>
      </c>
      <c r="F682" s="8" t="str">
        <f>DEC2BIN(INT(E682/64),5)&amp;DEC2BIN(MOD(E682,64),6)</f>
        <v>01010100000</v>
      </c>
      <c r="G682" s="8" t="str">
        <f>DEC2HEX(E682,3)</f>
        <v>2A0</v>
      </c>
      <c r="H682" s="8" t="str">
        <f>IF(ROUND(D682/$B$6,0)&gt;$B$7,"YES","NO")</f>
        <v>NO</v>
      </c>
    </row>
    <row r="683" spans="1:8">
      <c r="A683" s="10">
        <v>673</v>
      </c>
      <c r="B683" s="11">
        <f>D682</f>
        <v>787.5</v>
      </c>
      <c r="C683" s="11">
        <f>$B$6</f>
        <v>1.171875</v>
      </c>
      <c r="D683" s="11">
        <f>B683+C683</f>
        <v>788.671875</v>
      </c>
      <c r="E683" s="10">
        <f>MIN($B$7,ROUND(D683/$B$6,0))</f>
        <v>673</v>
      </c>
      <c r="F683" s="10" t="str">
        <f>DEC2BIN(INT(E683/64),5)&amp;DEC2BIN(MOD(E683,64),6)</f>
        <v>01010100001</v>
      </c>
      <c r="G683" s="10" t="str">
        <f>DEC2HEX(E683,3)</f>
        <v>2A1</v>
      </c>
      <c r="H683" s="10" t="str">
        <f>IF(ROUND(D683/$B$6,0)&gt;$B$7,"YES","NO")</f>
        <v>NO</v>
      </c>
    </row>
    <row r="684" spans="1:8">
      <c r="A684" s="8">
        <v>674</v>
      </c>
      <c r="B684" s="9">
        <f>D683</f>
        <v>788.671875</v>
      </c>
      <c r="C684" s="9">
        <f>$B$6</f>
        <v>1.171875</v>
      </c>
      <c r="D684" s="9">
        <f>B684+C684</f>
        <v>789.84375</v>
      </c>
      <c r="E684" s="8">
        <f>MIN($B$7,ROUND(D684/$B$6,0))</f>
        <v>674</v>
      </c>
      <c r="F684" s="8" t="str">
        <f>DEC2BIN(INT(E684/64),5)&amp;DEC2BIN(MOD(E684,64),6)</f>
        <v>01010100010</v>
      </c>
      <c r="G684" s="8" t="str">
        <f>DEC2HEX(E684,3)</f>
        <v>2A2</v>
      </c>
      <c r="H684" s="8" t="str">
        <f>IF(ROUND(D684/$B$6,0)&gt;$B$7,"YES","NO")</f>
        <v>NO</v>
      </c>
    </row>
    <row r="685" spans="1:8">
      <c r="A685" s="10">
        <v>675</v>
      </c>
      <c r="B685" s="11">
        <f>D684</f>
        <v>789.84375</v>
      </c>
      <c r="C685" s="11">
        <f>$B$6</f>
        <v>1.171875</v>
      </c>
      <c r="D685" s="11">
        <f>B685+C685</f>
        <v>791.015625</v>
      </c>
      <c r="E685" s="10">
        <f>MIN($B$7,ROUND(D685/$B$6,0))</f>
        <v>675</v>
      </c>
      <c r="F685" s="10" t="str">
        <f>DEC2BIN(INT(E685/64),5)&amp;DEC2BIN(MOD(E685,64),6)</f>
        <v>01010100011</v>
      </c>
      <c r="G685" s="10" t="str">
        <f>DEC2HEX(E685,3)</f>
        <v>2A3</v>
      </c>
      <c r="H685" s="10" t="str">
        <f>IF(ROUND(D685/$B$6,0)&gt;$B$7,"YES","NO")</f>
        <v>NO</v>
      </c>
    </row>
    <row r="686" spans="1:8">
      <c r="A686" s="8">
        <v>676</v>
      </c>
      <c r="B686" s="9">
        <f>D685</f>
        <v>791.015625</v>
      </c>
      <c r="C686" s="9">
        <f>$B$6</f>
        <v>1.171875</v>
      </c>
      <c r="D686" s="9">
        <f>B686+C686</f>
        <v>792.1875</v>
      </c>
      <c r="E686" s="8">
        <f>MIN($B$7,ROUND(D686/$B$6,0))</f>
        <v>676</v>
      </c>
      <c r="F686" s="8" t="str">
        <f>DEC2BIN(INT(E686/64),5)&amp;DEC2BIN(MOD(E686,64),6)</f>
        <v>01010100100</v>
      </c>
      <c r="G686" s="8" t="str">
        <f>DEC2HEX(E686,3)</f>
        <v>2A4</v>
      </c>
      <c r="H686" s="8" t="str">
        <f>IF(ROUND(D686/$B$6,0)&gt;$B$7,"YES","NO")</f>
        <v>NO</v>
      </c>
    </row>
    <row r="687" spans="1:8">
      <c r="A687" s="10">
        <v>677</v>
      </c>
      <c r="B687" s="11">
        <f>D686</f>
        <v>792.1875</v>
      </c>
      <c r="C687" s="11">
        <f>$B$6</f>
        <v>1.171875</v>
      </c>
      <c r="D687" s="11">
        <f>B687+C687</f>
        <v>793.359375</v>
      </c>
      <c r="E687" s="10">
        <f>MIN($B$7,ROUND(D687/$B$6,0))</f>
        <v>677</v>
      </c>
      <c r="F687" s="10" t="str">
        <f>DEC2BIN(INT(E687/64),5)&amp;DEC2BIN(MOD(E687,64),6)</f>
        <v>01010100101</v>
      </c>
      <c r="G687" s="10" t="str">
        <f>DEC2HEX(E687,3)</f>
        <v>2A5</v>
      </c>
      <c r="H687" s="10" t="str">
        <f>IF(ROUND(D687/$B$6,0)&gt;$B$7,"YES","NO")</f>
        <v>NO</v>
      </c>
    </row>
    <row r="688" spans="1:8">
      <c r="A688" s="8">
        <v>678</v>
      </c>
      <c r="B688" s="9">
        <f>D687</f>
        <v>793.359375</v>
      </c>
      <c r="C688" s="9">
        <f>$B$6</f>
        <v>1.171875</v>
      </c>
      <c r="D688" s="9">
        <f>B688+C688</f>
        <v>794.53125</v>
      </c>
      <c r="E688" s="8">
        <f>MIN($B$7,ROUND(D688/$B$6,0))</f>
        <v>678</v>
      </c>
      <c r="F688" s="8" t="str">
        <f>DEC2BIN(INT(E688/64),5)&amp;DEC2BIN(MOD(E688,64),6)</f>
        <v>01010100110</v>
      </c>
      <c r="G688" s="8" t="str">
        <f>DEC2HEX(E688,3)</f>
        <v>2A6</v>
      </c>
      <c r="H688" s="8" t="str">
        <f>IF(ROUND(D688/$B$6,0)&gt;$B$7,"YES","NO")</f>
        <v>NO</v>
      </c>
    </row>
    <row r="689" spans="1:8">
      <c r="A689" s="10">
        <v>679</v>
      </c>
      <c r="B689" s="11">
        <f>D688</f>
        <v>794.53125</v>
      </c>
      <c r="C689" s="11">
        <f>$B$6</f>
        <v>1.171875</v>
      </c>
      <c r="D689" s="11">
        <f>B689+C689</f>
        <v>795.703125</v>
      </c>
      <c r="E689" s="10">
        <f>MIN($B$7,ROUND(D689/$B$6,0))</f>
        <v>679</v>
      </c>
      <c r="F689" s="10" t="str">
        <f>DEC2BIN(INT(E689/64),5)&amp;DEC2BIN(MOD(E689,64),6)</f>
        <v>01010100111</v>
      </c>
      <c r="G689" s="10" t="str">
        <f>DEC2HEX(E689,3)</f>
        <v>2A7</v>
      </c>
      <c r="H689" s="10" t="str">
        <f>IF(ROUND(D689/$B$6,0)&gt;$B$7,"YES","NO")</f>
        <v>NO</v>
      </c>
    </row>
    <row r="690" spans="1:8">
      <c r="A690" s="8">
        <v>680</v>
      </c>
      <c r="B690" s="9">
        <f>D689</f>
        <v>795.703125</v>
      </c>
      <c r="C690" s="9">
        <f>$B$6</f>
        <v>1.171875</v>
      </c>
      <c r="D690" s="9">
        <f>B690+C690</f>
        <v>796.875</v>
      </c>
      <c r="E690" s="8">
        <f>MIN($B$7,ROUND(D690/$B$6,0))</f>
        <v>680</v>
      </c>
      <c r="F690" s="8" t="str">
        <f>DEC2BIN(INT(E690/64),5)&amp;DEC2BIN(MOD(E690,64),6)</f>
        <v>01010101000</v>
      </c>
      <c r="G690" s="8" t="str">
        <f>DEC2HEX(E690,3)</f>
        <v>2A8</v>
      </c>
      <c r="H690" s="8" t="str">
        <f>IF(ROUND(D690/$B$6,0)&gt;$B$7,"YES","NO")</f>
        <v>NO</v>
      </c>
    </row>
    <row r="691" spans="1:8">
      <c r="A691" s="10">
        <v>681</v>
      </c>
      <c r="B691" s="11">
        <f>D690</f>
        <v>796.875</v>
      </c>
      <c r="C691" s="11">
        <f>$B$6</f>
        <v>1.171875</v>
      </c>
      <c r="D691" s="11">
        <f>B691+C691</f>
        <v>798.046875</v>
      </c>
      <c r="E691" s="10">
        <f>MIN($B$7,ROUND(D691/$B$6,0))</f>
        <v>681</v>
      </c>
      <c r="F691" s="10" t="str">
        <f>DEC2BIN(INT(E691/64),5)&amp;DEC2BIN(MOD(E691,64),6)</f>
        <v>01010101001</v>
      </c>
      <c r="G691" s="10" t="str">
        <f>DEC2HEX(E691,3)</f>
        <v>2A9</v>
      </c>
      <c r="H691" s="10" t="str">
        <f>IF(ROUND(D691/$B$6,0)&gt;$B$7,"YES","NO")</f>
        <v>NO</v>
      </c>
    </row>
    <row r="692" spans="1:8">
      <c r="A692" s="8">
        <v>682</v>
      </c>
      <c r="B692" s="9">
        <f>D691</f>
        <v>798.046875</v>
      </c>
      <c r="C692" s="9">
        <f>$B$6</f>
        <v>1.171875</v>
      </c>
      <c r="D692" s="9">
        <f>B692+C692</f>
        <v>799.21875</v>
      </c>
      <c r="E692" s="8">
        <f>MIN($B$7,ROUND(D692/$B$6,0))</f>
        <v>682</v>
      </c>
      <c r="F692" s="8" t="str">
        <f>DEC2BIN(INT(E692/64),5)&amp;DEC2BIN(MOD(E692,64),6)</f>
        <v>01010101010</v>
      </c>
      <c r="G692" s="8" t="str">
        <f>DEC2HEX(E692,3)</f>
        <v>2AA</v>
      </c>
      <c r="H692" s="8" t="str">
        <f>IF(ROUND(D692/$B$6,0)&gt;$B$7,"YES","NO")</f>
        <v>NO</v>
      </c>
    </row>
    <row r="693" spans="1:8">
      <c r="A693" s="10">
        <v>683</v>
      </c>
      <c r="B693" s="11">
        <f>D692</f>
        <v>799.21875</v>
      </c>
      <c r="C693" s="11">
        <f>$B$6</f>
        <v>1.171875</v>
      </c>
      <c r="D693" s="11">
        <f>B693+C693</f>
        <v>800.390625</v>
      </c>
      <c r="E693" s="10">
        <f>MIN($B$7,ROUND(D693/$B$6,0))</f>
        <v>683</v>
      </c>
      <c r="F693" s="10" t="str">
        <f>DEC2BIN(INT(E693/64),5)&amp;DEC2BIN(MOD(E693,64),6)</f>
        <v>01010101011</v>
      </c>
      <c r="G693" s="10" t="str">
        <f>DEC2HEX(E693,3)</f>
        <v>2AB</v>
      </c>
      <c r="H693" s="10" t="str">
        <f>IF(ROUND(D693/$B$6,0)&gt;$B$7,"YES","NO")</f>
        <v>NO</v>
      </c>
    </row>
    <row r="694" spans="1:8">
      <c r="A694" s="8">
        <v>684</v>
      </c>
      <c r="B694" s="9">
        <f>D693</f>
        <v>800.390625</v>
      </c>
      <c r="C694" s="9">
        <f>$B$6</f>
        <v>1.171875</v>
      </c>
      <c r="D694" s="9">
        <f>B694+C694</f>
        <v>801.5625</v>
      </c>
      <c r="E694" s="8">
        <f>MIN($B$7,ROUND(D694/$B$6,0))</f>
        <v>684</v>
      </c>
      <c r="F694" s="8" t="str">
        <f>DEC2BIN(INT(E694/64),5)&amp;DEC2BIN(MOD(E694,64),6)</f>
        <v>01010101100</v>
      </c>
      <c r="G694" s="8" t="str">
        <f>DEC2HEX(E694,3)</f>
        <v>2AC</v>
      </c>
      <c r="H694" s="8" t="str">
        <f>IF(ROUND(D694/$B$6,0)&gt;$B$7,"YES","NO")</f>
        <v>NO</v>
      </c>
    </row>
    <row r="695" spans="1:8">
      <c r="A695" s="10">
        <v>685</v>
      </c>
      <c r="B695" s="11">
        <f>D694</f>
        <v>801.5625</v>
      </c>
      <c r="C695" s="11">
        <f>$B$6</f>
        <v>1.171875</v>
      </c>
      <c r="D695" s="11">
        <f>B695+C695</f>
        <v>802.734375</v>
      </c>
      <c r="E695" s="10">
        <f>MIN($B$7,ROUND(D695/$B$6,0))</f>
        <v>685</v>
      </c>
      <c r="F695" s="10" t="str">
        <f>DEC2BIN(INT(E695/64),5)&amp;DEC2BIN(MOD(E695,64),6)</f>
        <v>01010101101</v>
      </c>
      <c r="G695" s="10" t="str">
        <f>DEC2HEX(E695,3)</f>
        <v>2AD</v>
      </c>
      <c r="H695" s="10" t="str">
        <f>IF(ROUND(D695/$B$6,0)&gt;$B$7,"YES","NO")</f>
        <v>NO</v>
      </c>
    </row>
    <row r="696" spans="1:8">
      <c r="A696" s="8">
        <v>686</v>
      </c>
      <c r="B696" s="9">
        <f>D695</f>
        <v>802.734375</v>
      </c>
      <c r="C696" s="9">
        <f>$B$6</f>
        <v>1.171875</v>
      </c>
      <c r="D696" s="9">
        <f>B696+C696</f>
        <v>803.90625</v>
      </c>
      <c r="E696" s="8">
        <f>MIN($B$7,ROUND(D696/$B$6,0))</f>
        <v>686</v>
      </c>
      <c r="F696" s="8" t="str">
        <f>DEC2BIN(INT(E696/64),5)&amp;DEC2BIN(MOD(E696,64),6)</f>
        <v>01010101110</v>
      </c>
      <c r="G696" s="8" t="str">
        <f>DEC2HEX(E696,3)</f>
        <v>2AE</v>
      </c>
      <c r="H696" s="8" t="str">
        <f>IF(ROUND(D696/$B$6,0)&gt;$B$7,"YES","NO")</f>
        <v>NO</v>
      </c>
    </row>
    <row r="697" spans="1:8">
      <c r="A697" s="10">
        <v>687</v>
      </c>
      <c r="B697" s="11">
        <f>D696</f>
        <v>803.90625</v>
      </c>
      <c r="C697" s="11">
        <f>$B$6</f>
        <v>1.171875</v>
      </c>
      <c r="D697" s="11">
        <f>B697+C697</f>
        <v>805.078125</v>
      </c>
      <c r="E697" s="10">
        <f>MIN($B$7,ROUND(D697/$B$6,0))</f>
        <v>687</v>
      </c>
      <c r="F697" s="10" t="str">
        <f>DEC2BIN(INT(E697/64),5)&amp;DEC2BIN(MOD(E697,64),6)</f>
        <v>01010101111</v>
      </c>
      <c r="G697" s="10" t="str">
        <f>DEC2HEX(E697,3)</f>
        <v>2AF</v>
      </c>
      <c r="H697" s="10" t="str">
        <f>IF(ROUND(D697/$B$6,0)&gt;$B$7,"YES","NO")</f>
        <v>NO</v>
      </c>
    </row>
    <row r="698" spans="1:8">
      <c r="A698" s="8">
        <v>688</v>
      </c>
      <c r="B698" s="9">
        <f>D697</f>
        <v>805.078125</v>
      </c>
      <c r="C698" s="9">
        <f>$B$6</f>
        <v>1.171875</v>
      </c>
      <c r="D698" s="9">
        <f>B698+C698</f>
        <v>806.25</v>
      </c>
      <c r="E698" s="8">
        <f>MIN($B$7,ROUND(D698/$B$6,0))</f>
        <v>688</v>
      </c>
      <c r="F698" s="8" t="str">
        <f>DEC2BIN(INT(E698/64),5)&amp;DEC2BIN(MOD(E698,64),6)</f>
        <v>01010110000</v>
      </c>
      <c r="G698" s="8" t="str">
        <f>DEC2HEX(E698,3)</f>
        <v>2B0</v>
      </c>
      <c r="H698" s="8" t="str">
        <f>IF(ROUND(D698/$B$6,0)&gt;$B$7,"YES","NO")</f>
        <v>NO</v>
      </c>
    </row>
    <row r="699" spans="1:8">
      <c r="A699" s="10">
        <v>689</v>
      </c>
      <c r="B699" s="11">
        <f>D698</f>
        <v>806.25</v>
      </c>
      <c r="C699" s="11">
        <f>$B$6</f>
        <v>1.171875</v>
      </c>
      <c r="D699" s="11">
        <f>B699+C699</f>
        <v>807.421875</v>
      </c>
      <c r="E699" s="10">
        <f>MIN($B$7,ROUND(D699/$B$6,0))</f>
        <v>689</v>
      </c>
      <c r="F699" s="10" t="str">
        <f>DEC2BIN(INT(E699/64),5)&amp;DEC2BIN(MOD(E699,64),6)</f>
        <v>01010110001</v>
      </c>
      <c r="G699" s="10" t="str">
        <f>DEC2HEX(E699,3)</f>
        <v>2B1</v>
      </c>
      <c r="H699" s="10" t="str">
        <f>IF(ROUND(D699/$B$6,0)&gt;$B$7,"YES","NO")</f>
        <v>NO</v>
      </c>
    </row>
    <row r="700" spans="1:8">
      <c r="A700" s="8">
        <v>690</v>
      </c>
      <c r="B700" s="9">
        <f>D699</f>
        <v>807.421875</v>
      </c>
      <c r="C700" s="9">
        <f>$B$6</f>
        <v>1.171875</v>
      </c>
      <c r="D700" s="9">
        <f>B700+C700</f>
        <v>808.59375</v>
      </c>
      <c r="E700" s="8">
        <f>MIN($B$7,ROUND(D700/$B$6,0))</f>
        <v>690</v>
      </c>
      <c r="F700" s="8" t="str">
        <f>DEC2BIN(INT(E700/64),5)&amp;DEC2BIN(MOD(E700,64),6)</f>
        <v>01010110010</v>
      </c>
      <c r="G700" s="8" t="str">
        <f>DEC2HEX(E700,3)</f>
        <v>2B2</v>
      </c>
      <c r="H700" s="8" t="str">
        <f>IF(ROUND(D700/$B$6,0)&gt;$B$7,"YES","NO")</f>
        <v>NO</v>
      </c>
    </row>
    <row r="701" spans="1:8">
      <c r="A701" s="10">
        <v>691</v>
      </c>
      <c r="B701" s="11">
        <f>D700</f>
        <v>808.59375</v>
      </c>
      <c r="C701" s="11">
        <f>$B$6</f>
        <v>1.171875</v>
      </c>
      <c r="D701" s="11">
        <f>B701+C701</f>
        <v>809.765625</v>
      </c>
      <c r="E701" s="10">
        <f>MIN($B$7,ROUND(D701/$B$6,0))</f>
        <v>691</v>
      </c>
      <c r="F701" s="10" t="str">
        <f>DEC2BIN(INT(E701/64),5)&amp;DEC2BIN(MOD(E701,64),6)</f>
        <v>01010110011</v>
      </c>
      <c r="G701" s="10" t="str">
        <f>DEC2HEX(E701,3)</f>
        <v>2B3</v>
      </c>
      <c r="H701" s="10" t="str">
        <f>IF(ROUND(D701/$B$6,0)&gt;$B$7,"YES","NO")</f>
        <v>NO</v>
      </c>
    </row>
    <row r="702" spans="1:8">
      <c r="A702" s="8">
        <v>692</v>
      </c>
      <c r="B702" s="9">
        <f>D701</f>
        <v>809.765625</v>
      </c>
      <c r="C702" s="9">
        <f>$B$6</f>
        <v>1.171875</v>
      </c>
      <c r="D702" s="9">
        <f>B702+C702</f>
        <v>810.9375</v>
      </c>
      <c r="E702" s="8">
        <f>MIN($B$7,ROUND(D702/$B$6,0))</f>
        <v>692</v>
      </c>
      <c r="F702" s="8" t="str">
        <f>DEC2BIN(INT(E702/64),5)&amp;DEC2BIN(MOD(E702,64),6)</f>
        <v>01010110100</v>
      </c>
      <c r="G702" s="8" t="str">
        <f>DEC2HEX(E702,3)</f>
        <v>2B4</v>
      </c>
      <c r="H702" s="8" t="str">
        <f>IF(ROUND(D702/$B$6,0)&gt;$B$7,"YES","NO")</f>
        <v>NO</v>
      </c>
    </row>
    <row r="703" spans="1:8">
      <c r="A703" s="10">
        <v>693</v>
      </c>
      <c r="B703" s="11">
        <f>D702</f>
        <v>810.9375</v>
      </c>
      <c r="C703" s="11">
        <f>$B$6</f>
        <v>1.171875</v>
      </c>
      <c r="D703" s="11">
        <f>B703+C703</f>
        <v>812.109375</v>
      </c>
      <c r="E703" s="10">
        <f>MIN($B$7,ROUND(D703/$B$6,0))</f>
        <v>693</v>
      </c>
      <c r="F703" s="10" t="str">
        <f>DEC2BIN(INT(E703/64),5)&amp;DEC2BIN(MOD(E703,64),6)</f>
        <v>01010110101</v>
      </c>
      <c r="G703" s="10" t="str">
        <f>DEC2HEX(E703,3)</f>
        <v>2B5</v>
      </c>
      <c r="H703" s="10" t="str">
        <f>IF(ROUND(D703/$B$6,0)&gt;$B$7,"YES","NO")</f>
        <v>NO</v>
      </c>
    </row>
    <row r="704" spans="1:8">
      <c r="A704" s="8">
        <v>694</v>
      </c>
      <c r="B704" s="9">
        <f>D703</f>
        <v>812.109375</v>
      </c>
      <c r="C704" s="9">
        <f>$B$6</f>
        <v>1.171875</v>
      </c>
      <c r="D704" s="9">
        <f>B704+C704</f>
        <v>813.28125</v>
      </c>
      <c r="E704" s="8">
        <f>MIN($B$7,ROUND(D704/$B$6,0))</f>
        <v>694</v>
      </c>
      <c r="F704" s="8" t="str">
        <f>DEC2BIN(INT(E704/64),5)&amp;DEC2BIN(MOD(E704,64),6)</f>
        <v>01010110110</v>
      </c>
      <c r="G704" s="8" t="str">
        <f>DEC2HEX(E704,3)</f>
        <v>2B6</v>
      </c>
      <c r="H704" s="8" t="str">
        <f>IF(ROUND(D704/$B$6,0)&gt;$B$7,"YES","NO")</f>
        <v>NO</v>
      </c>
    </row>
    <row r="705" spans="1:8">
      <c r="A705" s="10">
        <v>695</v>
      </c>
      <c r="B705" s="11">
        <f>D704</f>
        <v>813.28125</v>
      </c>
      <c r="C705" s="11">
        <f>$B$6</f>
        <v>1.171875</v>
      </c>
      <c r="D705" s="11">
        <f>B705+C705</f>
        <v>814.453125</v>
      </c>
      <c r="E705" s="10">
        <f>MIN($B$7,ROUND(D705/$B$6,0))</f>
        <v>695</v>
      </c>
      <c r="F705" s="10" t="str">
        <f>DEC2BIN(INT(E705/64),5)&amp;DEC2BIN(MOD(E705,64),6)</f>
        <v>01010110111</v>
      </c>
      <c r="G705" s="10" t="str">
        <f>DEC2HEX(E705,3)</f>
        <v>2B7</v>
      </c>
      <c r="H705" s="10" t="str">
        <f>IF(ROUND(D705/$B$6,0)&gt;$B$7,"YES","NO")</f>
        <v>NO</v>
      </c>
    </row>
    <row r="706" spans="1:8">
      <c r="A706" s="8">
        <v>696</v>
      </c>
      <c r="B706" s="9">
        <f>D705</f>
        <v>814.453125</v>
      </c>
      <c r="C706" s="9">
        <f>$B$6</f>
        <v>1.171875</v>
      </c>
      <c r="D706" s="9">
        <f>B706+C706</f>
        <v>815.625</v>
      </c>
      <c r="E706" s="8">
        <f>MIN($B$7,ROUND(D706/$B$6,0))</f>
        <v>696</v>
      </c>
      <c r="F706" s="8" t="str">
        <f>DEC2BIN(INT(E706/64),5)&amp;DEC2BIN(MOD(E706,64),6)</f>
        <v>01010111000</v>
      </c>
      <c r="G706" s="8" t="str">
        <f>DEC2HEX(E706,3)</f>
        <v>2B8</v>
      </c>
      <c r="H706" s="8" t="str">
        <f>IF(ROUND(D706/$B$6,0)&gt;$B$7,"YES","NO")</f>
        <v>NO</v>
      </c>
    </row>
    <row r="707" spans="1:8">
      <c r="A707" s="10">
        <v>697</v>
      </c>
      <c r="B707" s="11">
        <f>D706</f>
        <v>815.625</v>
      </c>
      <c r="C707" s="11">
        <f>$B$6</f>
        <v>1.171875</v>
      </c>
      <c r="D707" s="11">
        <f>B707+C707</f>
        <v>816.796875</v>
      </c>
      <c r="E707" s="10">
        <f>MIN($B$7,ROUND(D707/$B$6,0))</f>
        <v>697</v>
      </c>
      <c r="F707" s="10" t="str">
        <f>DEC2BIN(INT(E707/64),5)&amp;DEC2BIN(MOD(E707,64),6)</f>
        <v>01010111001</v>
      </c>
      <c r="G707" s="10" t="str">
        <f>DEC2HEX(E707,3)</f>
        <v>2B9</v>
      </c>
      <c r="H707" s="10" t="str">
        <f>IF(ROUND(D707/$B$6,0)&gt;$B$7,"YES","NO")</f>
        <v>NO</v>
      </c>
    </row>
    <row r="708" spans="1:8">
      <c r="A708" s="8">
        <v>698</v>
      </c>
      <c r="B708" s="9">
        <f>D707</f>
        <v>816.796875</v>
      </c>
      <c r="C708" s="9">
        <f>$B$6</f>
        <v>1.171875</v>
      </c>
      <c r="D708" s="9">
        <f>B708+C708</f>
        <v>817.96875</v>
      </c>
      <c r="E708" s="8">
        <f>MIN($B$7,ROUND(D708/$B$6,0))</f>
        <v>698</v>
      </c>
      <c r="F708" s="8" t="str">
        <f>DEC2BIN(INT(E708/64),5)&amp;DEC2BIN(MOD(E708,64),6)</f>
        <v>01010111010</v>
      </c>
      <c r="G708" s="8" t="str">
        <f>DEC2HEX(E708,3)</f>
        <v>2BA</v>
      </c>
      <c r="H708" s="8" t="str">
        <f>IF(ROUND(D708/$B$6,0)&gt;$B$7,"YES","NO")</f>
        <v>NO</v>
      </c>
    </row>
    <row r="709" spans="1:8">
      <c r="A709" s="10">
        <v>699</v>
      </c>
      <c r="B709" s="11">
        <f>D708</f>
        <v>817.96875</v>
      </c>
      <c r="C709" s="11">
        <f>$B$6</f>
        <v>1.171875</v>
      </c>
      <c r="D709" s="11">
        <f>B709+C709</f>
        <v>819.140625</v>
      </c>
      <c r="E709" s="10">
        <f>MIN($B$7,ROUND(D709/$B$6,0))</f>
        <v>699</v>
      </c>
      <c r="F709" s="10" t="str">
        <f>DEC2BIN(INT(E709/64),5)&amp;DEC2BIN(MOD(E709,64),6)</f>
        <v>01010111011</v>
      </c>
      <c r="G709" s="10" t="str">
        <f>DEC2HEX(E709,3)</f>
        <v>2BB</v>
      </c>
      <c r="H709" s="10" t="str">
        <f>IF(ROUND(D709/$B$6,0)&gt;$B$7,"YES","NO")</f>
        <v>NO</v>
      </c>
    </row>
    <row r="710" spans="1:8">
      <c r="A710" s="8">
        <v>700</v>
      </c>
      <c r="B710" s="9">
        <f>D709</f>
        <v>819.140625</v>
      </c>
      <c r="C710" s="9">
        <f>$B$6</f>
        <v>1.171875</v>
      </c>
      <c r="D710" s="9">
        <f>B710+C710</f>
        <v>820.3125</v>
      </c>
      <c r="E710" s="8">
        <f>MIN($B$7,ROUND(D710/$B$6,0))</f>
        <v>700</v>
      </c>
      <c r="F710" s="8" t="str">
        <f>DEC2BIN(INT(E710/64),5)&amp;DEC2BIN(MOD(E710,64),6)</f>
        <v>01010111100</v>
      </c>
      <c r="G710" s="8" t="str">
        <f>DEC2HEX(E710,3)</f>
        <v>2BC</v>
      </c>
      <c r="H710" s="8" t="str">
        <f>IF(ROUND(D710/$B$6,0)&gt;$B$7,"YES","NO")</f>
        <v>NO</v>
      </c>
    </row>
    <row r="711" spans="1:8">
      <c r="A711" s="10">
        <v>701</v>
      </c>
      <c r="B711" s="11">
        <f>D710</f>
        <v>820.3125</v>
      </c>
      <c r="C711" s="11">
        <f>$B$6</f>
        <v>1.171875</v>
      </c>
      <c r="D711" s="11">
        <f>B711+C711</f>
        <v>821.484375</v>
      </c>
      <c r="E711" s="10">
        <f>MIN($B$7,ROUND(D711/$B$6,0))</f>
        <v>701</v>
      </c>
      <c r="F711" s="10" t="str">
        <f>DEC2BIN(INT(E711/64),5)&amp;DEC2BIN(MOD(E711,64),6)</f>
        <v>01010111101</v>
      </c>
      <c r="G711" s="10" t="str">
        <f>DEC2HEX(E711,3)</f>
        <v>2BD</v>
      </c>
      <c r="H711" s="10" t="str">
        <f>IF(ROUND(D711/$B$6,0)&gt;$B$7,"YES","NO")</f>
        <v>NO</v>
      </c>
    </row>
    <row r="712" spans="1:8">
      <c r="A712" s="8">
        <v>702</v>
      </c>
      <c r="B712" s="9">
        <f>D711</f>
        <v>821.484375</v>
      </c>
      <c r="C712" s="9">
        <f>$B$6</f>
        <v>1.171875</v>
      </c>
      <c r="D712" s="9">
        <f>B712+C712</f>
        <v>822.65625</v>
      </c>
      <c r="E712" s="8">
        <f>MIN($B$7,ROUND(D712/$B$6,0))</f>
        <v>702</v>
      </c>
      <c r="F712" s="8" t="str">
        <f>DEC2BIN(INT(E712/64),5)&amp;DEC2BIN(MOD(E712,64),6)</f>
        <v>01010111110</v>
      </c>
      <c r="G712" s="8" t="str">
        <f>DEC2HEX(E712,3)</f>
        <v>2BE</v>
      </c>
      <c r="H712" s="8" t="str">
        <f>IF(ROUND(D712/$B$6,0)&gt;$B$7,"YES","NO")</f>
        <v>NO</v>
      </c>
    </row>
    <row r="713" spans="1:8">
      <c r="A713" s="10">
        <v>703</v>
      </c>
      <c r="B713" s="11">
        <f>D712</f>
        <v>822.65625</v>
      </c>
      <c r="C713" s="11">
        <f>$B$6</f>
        <v>1.171875</v>
      </c>
      <c r="D713" s="11">
        <f>B713+C713</f>
        <v>823.828125</v>
      </c>
      <c r="E713" s="10">
        <f>MIN($B$7,ROUND(D713/$B$6,0))</f>
        <v>703</v>
      </c>
      <c r="F713" s="10" t="str">
        <f>DEC2BIN(INT(E713/64),5)&amp;DEC2BIN(MOD(E713,64),6)</f>
        <v>01010111111</v>
      </c>
      <c r="G713" s="10" t="str">
        <f>DEC2HEX(E713,3)</f>
        <v>2BF</v>
      </c>
      <c r="H713" s="10" t="str">
        <f>IF(ROUND(D713/$B$6,0)&gt;$B$7,"YES","NO")</f>
        <v>NO</v>
      </c>
    </row>
    <row r="714" spans="1:8">
      <c r="A714" s="8">
        <v>704</v>
      </c>
      <c r="B714" s="9">
        <f>D713</f>
        <v>823.828125</v>
      </c>
      <c r="C714" s="9">
        <f>$B$6</f>
        <v>1.171875</v>
      </c>
      <c r="D714" s="9">
        <f>B714+C714</f>
        <v>825</v>
      </c>
      <c r="E714" s="8">
        <f>MIN($B$7,ROUND(D714/$B$6,0))</f>
        <v>704</v>
      </c>
      <c r="F714" s="8" t="str">
        <f>DEC2BIN(INT(E714/64),5)&amp;DEC2BIN(MOD(E714,64),6)</f>
        <v>01011000000</v>
      </c>
      <c r="G714" s="8" t="str">
        <f>DEC2HEX(E714,3)</f>
        <v>2C0</v>
      </c>
      <c r="H714" s="8" t="str">
        <f>IF(ROUND(D714/$B$6,0)&gt;$B$7,"YES","NO")</f>
        <v>NO</v>
      </c>
    </row>
    <row r="715" spans="1:8">
      <c r="A715" s="10">
        <v>705</v>
      </c>
      <c r="B715" s="11">
        <f>D714</f>
        <v>825</v>
      </c>
      <c r="C715" s="11">
        <f>$B$6</f>
        <v>1.171875</v>
      </c>
      <c r="D715" s="11">
        <f>B715+C715</f>
        <v>826.171875</v>
      </c>
      <c r="E715" s="10">
        <f>MIN($B$7,ROUND(D715/$B$6,0))</f>
        <v>705</v>
      </c>
      <c r="F715" s="10" t="str">
        <f>DEC2BIN(INT(E715/64),5)&amp;DEC2BIN(MOD(E715,64),6)</f>
        <v>01011000001</v>
      </c>
      <c r="G715" s="10" t="str">
        <f>DEC2HEX(E715,3)</f>
        <v>2C1</v>
      </c>
      <c r="H715" s="10" t="str">
        <f>IF(ROUND(D715/$B$6,0)&gt;$B$7,"YES","NO")</f>
        <v>NO</v>
      </c>
    </row>
    <row r="716" spans="1:8">
      <c r="A716" s="8">
        <v>706</v>
      </c>
      <c r="B716" s="9">
        <f>D715</f>
        <v>826.171875</v>
      </c>
      <c r="C716" s="9">
        <f>$B$6</f>
        <v>1.171875</v>
      </c>
      <c r="D716" s="9">
        <f>B716+C716</f>
        <v>827.34375</v>
      </c>
      <c r="E716" s="8">
        <f>MIN($B$7,ROUND(D716/$B$6,0))</f>
        <v>706</v>
      </c>
      <c r="F716" s="8" t="str">
        <f>DEC2BIN(INT(E716/64),5)&amp;DEC2BIN(MOD(E716,64),6)</f>
        <v>01011000010</v>
      </c>
      <c r="G716" s="8" t="str">
        <f>DEC2HEX(E716,3)</f>
        <v>2C2</v>
      </c>
      <c r="H716" s="8" t="str">
        <f>IF(ROUND(D716/$B$6,0)&gt;$B$7,"YES","NO")</f>
        <v>NO</v>
      </c>
    </row>
    <row r="717" spans="1:8">
      <c r="A717" s="10">
        <v>707</v>
      </c>
      <c r="B717" s="11">
        <f>D716</f>
        <v>827.34375</v>
      </c>
      <c r="C717" s="11">
        <f>$B$6</f>
        <v>1.171875</v>
      </c>
      <c r="D717" s="11">
        <f>B717+C717</f>
        <v>828.515625</v>
      </c>
      <c r="E717" s="10">
        <f>MIN($B$7,ROUND(D717/$B$6,0))</f>
        <v>707</v>
      </c>
      <c r="F717" s="10" t="str">
        <f>DEC2BIN(INT(E717/64),5)&amp;DEC2BIN(MOD(E717,64),6)</f>
        <v>01011000011</v>
      </c>
      <c r="G717" s="10" t="str">
        <f>DEC2HEX(E717,3)</f>
        <v>2C3</v>
      </c>
      <c r="H717" s="10" t="str">
        <f>IF(ROUND(D717/$B$6,0)&gt;$B$7,"YES","NO")</f>
        <v>NO</v>
      </c>
    </row>
    <row r="718" spans="1:8">
      <c r="A718" s="8">
        <v>708</v>
      </c>
      <c r="B718" s="9">
        <f>D717</f>
        <v>828.515625</v>
      </c>
      <c r="C718" s="9">
        <f>$B$6</f>
        <v>1.171875</v>
      </c>
      <c r="D718" s="9">
        <f>B718+C718</f>
        <v>829.6875</v>
      </c>
      <c r="E718" s="8">
        <f>MIN($B$7,ROUND(D718/$B$6,0))</f>
        <v>708</v>
      </c>
      <c r="F718" s="8" t="str">
        <f>DEC2BIN(INT(E718/64),5)&amp;DEC2BIN(MOD(E718,64),6)</f>
        <v>01011000100</v>
      </c>
      <c r="G718" s="8" t="str">
        <f>DEC2HEX(E718,3)</f>
        <v>2C4</v>
      </c>
      <c r="H718" s="8" t="str">
        <f>IF(ROUND(D718/$B$6,0)&gt;$B$7,"YES","NO")</f>
        <v>NO</v>
      </c>
    </row>
    <row r="719" spans="1:8">
      <c r="A719" s="10">
        <v>709</v>
      </c>
      <c r="B719" s="11">
        <f>D718</f>
        <v>829.6875</v>
      </c>
      <c r="C719" s="11">
        <f>$B$6</f>
        <v>1.171875</v>
      </c>
      <c r="D719" s="11">
        <f>B719+C719</f>
        <v>830.859375</v>
      </c>
      <c r="E719" s="10">
        <f>MIN($B$7,ROUND(D719/$B$6,0))</f>
        <v>709</v>
      </c>
      <c r="F719" s="10" t="str">
        <f>DEC2BIN(INT(E719/64),5)&amp;DEC2BIN(MOD(E719,64),6)</f>
        <v>01011000101</v>
      </c>
      <c r="G719" s="10" t="str">
        <f>DEC2HEX(E719,3)</f>
        <v>2C5</v>
      </c>
      <c r="H719" s="10" t="str">
        <f>IF(ROUND(D719/$B$6,0)&gt;$B$7,"YES","NO")</f>
        <v>NO</v>
      </c>
    </row>
    <row r="720" spans="1:8">
      <c r="A720" s="8">
        <v>710</v>
      </c>
      <c r="B720" s="9">
        <f>D719</f>
        <v>830.859375</v>
      </c>
      <c r="C720" s="9">
        <f>$B$6</f>
        <v>1.171875</v>
      </c>
      <c r="D720" s="9">
        <f>B720+C720</f>
        <v>832.03125</v>
      </c>
      <c r="E720" s="8">
        <f>MIN($B$7,ROUND(D720/$B$6,0))</f>
        <v>710</v>
      </c>
      <c r="F720" s="8" t="str">
        <f>DEC2BIN(INT(E720/64),5)&amp;DEC2BIN(MOD(E720,64),6)</f>
        <v>01011000110</v>
      </c>
      <c r="G720" s="8" t="str">
        <f>DEC2HEX(E720,3)</f>
        <v>2C6</v>
      </c>
      <c r="H720" s="8" t="str">
        <f>IF(ROUND(D720/$B$6,0)&gt;$B$7,"YES","NO")</f>
        <v>NO</v>
      </c>
    </row>
    <row r="721" spans="1:8">
      <c r="A721" s="10">
        <v>711</v>
      </c>
      <c r="B721" s="11">
        <f>D720</f>
        <v>832.03125</v>
      </c>
      <c r="C721" s="11">
        <f>$B$6</f>
        <v>1.171875</v>
      </c>
      <c r="D721" s="11">
        <f>B721+C721</f>
        <v>833.203125</v>
      </c>
      <c r="E721" s="10">
        <f>MIN($B$7,ROUND(D721/$B$6,0))</f>
        <v>711</v>
      </c>
      <c r="F721" s="10" t="str">
        <f>DEC2BIN(INT(E721/64),5)&amp;DEC2BIN(MOD(E721,64),6)</f>
        <v>01011000111</v>
      </c>
      <c r="G721" s="10" t="str">
        <f>DEC2HEX(E721,3)</f>
        <v>2C7</v>
      </c>
      <c r="H721" s="10" t="str">
        <f>IF(ROUND(D721/$B$6,0)&gt;$B$7,"YES","NO")</f>
        <v>NO</v>
      </c>
    </row>
    <row r="722" spans="1:8">
      <c r="A722" s="8">
        <v>712</v>
      </c>
      <c r="B722" s="9">
        <f>D721</f>
        <v>833.203125</v>
      </c>
      <c r="C722" s="9">
        <f>$B$6</f>
        <v>1.171875</v>
      </c>
      <c r="D722" s="9">
        <f>B722+C722</f>
        <v>834.375</v>
      </c>
      <c r="E722" s="8">
        <f>MIN($B$7,ROUND(D722/$B$6,0))</f>
        <v>712</v>
      </c>
      <c r="F722" s="8" t="str">
        <f>DEC2BIN(INT(E722/64),5)&amp;DEC2BIN(MOD(E722,64),6)</f>
        <v>01011001000</v>
      </c>
      <c r="G722" s="8" t="str">
        <f>DEC2HEX(E722,3)</f>
        <v>2C8</v>
      </c>
      <c r="H722" s="8" t="str">
        <f>IF(ROUND(D722/$B$6,0)&gt;$B$7,"YES","NO")</f>
        <v>NO</v>
      </c>
    </row>
    <row r="723" spans="1:8">
      <c r="A723" s="10">
        <v>713</v>
      </c>
      <c r="B723" s="11">
        <f>D722</f>
        <v>834.375</v>
      </c>
      <c r="C723" s="11">
        <f>$B$6</f>
        <v>1.171875</v>
      </c>
      <c r="D723" s="11">
        <f>B723+C723</f>
        <v>835.546875</v>
      </c>
      <c r="E723" s="10">
        <f>MIN($B$7,ROUND(D723/$B$6,0))</f>
        <v>713</v>
      </c>
      <c r="F723" s="10" t="str">
        <f>DEC2BIN(INT(E723/64),5)&amp;DEC2BIN(MOD(E723,64),6)</f>
        <v>01011001001</v>
      </c>
      <c r="G723" s="10" t="str">
        <f>DEC2HEX(E723,3)</f>
        <v>2C9</v>
      </c>
      <c r="H723" s="10" t="str">
        <f>IF(ROUND(D723/$B$6,0)&gt;$B$7,"YES","NO")</f>
        <v>NO</v>
      </c>
    </row>
    <row r="724" spans="1:8">
      <c r="A724" s="8">
        <v>714</v>
      </c>
      <c r="B724" s="9">
        <f>D723</f>
        <v>835.546875</v>
      </c>
      <c r="C724" s="9">
        <f>$B$6</f>
        <v>1.171875</v>
      </c>
      <c r="D724" s="9">
        <f>B724+C724</f>
        <v>836.71875</v>
      </c>
      <c r="E724" s="8">
        <f>MIN($B$7,ROUND(D724/$B$6,0))</f>
        <v>714</v>
      </c>
      <c r="F724" s="8" t="str">
        <f>DEC2BIN(INT(E724/64),5)&amp;DEC2BIN(MOD(E724,64),6)</f>
        <v>01011001010</v>
      </c>
      <c r="G724" s="8" t="str">
        <f>DEC2HEX(E724,3)</f>
        <v>2CA</v>
      </c>
      <c r="H724" s="8" t="str">
        <f>IF(ROUND(D724/$B$6,0)&gt;$B$7,"YES","NO")</f>
        <v>NO</v>
      </c>
    </row>
    <row r="725" spans="1:8">
      <c r="A725" s="10">
        <v>715</v>
      </c>
      <c r="B725" s="11">
        <f>D724</f>
        <v>836.71875</v>
      </c>
      <c r="C725" s="11">
        <f>$B$6</f>
        <v>1.171875</v>
      </c>
      <c r="D725" s="11">
        <f>B725+C725</f>
        <v>837.890625</v>
      </c>
      <c r="E725" s="10">
        <f>MIN($B$7,ROUND(D725/$B$6,0))</f>
        <v>715</v>
      </c>
      <c r="F725" s="10" t="str">
        <f>DEC2BIN(INT(E725/64),5)&amp;DEC2BIN(MOD(E725,64),6)</f>
        <v>01011001011</v>
      </c>
      <c r="G725" s="10" t="str">
        <f>DEC2HEX(E725,3)</f>
        <v>2CB</v>
      </c>
      <c r="H725" s="10" t="str">
        <f>IF(ROUND(D725/$B$6,0)&gt;$B$7,"YES","NO")</f>
        <v>NO</v>
      </c>
    </row>
    <row r="726" spans="1:8">
      <c r="A726" s="8">
        <v>716</v>
      </c>
      <c r="B726" s="9">
        <f>D725</f>
        <v>837.890625</v>
      </c>
      <c r="C726" s="9">
        <f>$B$6</f>
        <v>1.171875</v>
      </c>
      <c r="D726" s="9">
        <f>B726+C726</f>
        <v>839.0625</v>
      </c>
      <c r="E726" s="8">
        <f>MIN($B$7,ROUND(D726/$B$6,0))</f>
        <v>716</v>
      </c>
      <c r="F726" s="8" t="str">
        <f>DEC2BIN(INT(E726/64),5)&amp;DEC2BIN(MOD(E726,64),6)</f>
        <v>01011001100</v>
      </c>
      <c r="G726" s="8" t="str">
        <f>DEC2HEX(E726,3)</f>
        <v>2CC</v>
      </c>
      <c r="H726" s="8" t="str">
        <f>IF(ROUND(D726/$B$6,0)&gt;$B$7,"YES","NO")</f>
        <v>NO</v>
      </c>
    </row>
    <row r="727" spans="1:8">
      <c r="A727" s="10">
        <v>717</v>
      </c>
      <c r="B727" s="11">
        <f>D726</f>
        <v>839.0625</v>
      </c>
      <c r="C727" s="11">
        <f>$B$6</f>
        <v>1.171875</v>
      </c>
      <c r="D727" s="11">
        <f>B727+C727</f>
        <v>840.234375</v>
      </c>
      <c r="E727" s="10">
        <f>MIN($B$7,ROUND(D727/$B$6,0))</f>
        <v>717</v>
      </c>
      <c r="F727" s="10" t="str">
        <f>DEC2BIN(INT(E727/64),5)&amp;DEC2BIN(MOD(E727,64),6)</f>
        <v>01011001101</v>
      </c>
      <c r="G727" s="10" t="str">
        <f>DEC2HEX(E727,3)</f>
        <v>2CD</v>
      </c>
      <c r="H727" s="10" t="str">
        <f>IF(ROUND(D727/$B$6,0)&gt;$B$7,"YES","NO")</f>
        <v>NO</v>
      </c>
    </row>
    <row r="728" spans="1:8">
      <c r="A728" s="8">
        <v>718</v>
      </c>
      <c r="B728" s="9">
        <f>D727</f>
        <v>840.234375</v>
      </c>
      <c r="C728" s="9">
        <f>$B$6</f>
        <v>1.171875</v>
      </c>
      <c r="D728" s="9">
        <f>B728+C728</f>
        <v>841.40625</v>
      </c>
      <c r="E728" s="8">
        <f>MIN($B$7,ROUND(D728/$B$6,0))</f>
        <v>718</v>
      </c>
      <c r="F728" s="8" t="str">
        <f>DEC2BIN(INT(E728/64),5)&amp;DEC2BIN(MOD(E728,64),6)</f>
        <v>01011001110</v>
      </c>
      <c r="G728" s="8" t="str">
        <f>DEC2HEX(E728,3)</f>
        <v>2CE</v>
      </c>
      <c r="H728" s="8" t="str">
        <f>IF(ROUND(D728/$B$6,0)&gt;$B$7,"YES","NO")</f>
        <v>NO</v>
      </c>
    </row>
    <row r="729" spans="1:8">
      <c r="A729" s="10">
        <v>719</v>
      </c>
      <c r="B729" s="11">
        <f>D728</f>
        <v>841.40625</v>
      </c>
      <c r="C729" s="11">
        <f>$B$6</f>
        <v>1.171875</v>
      </c>
      <c r="D729" s="11">
        <f>B729+C729</f>
        <v>842.578125</v>
      </c>
      <c r="E729" s="10">
        <f>MIN($B$7,ROUND(D729/$B$6,0))</f>
        <v>719</v>
      </c>
      <c r="F729" s="10" t="str">
        <f>DEC2BIN(INT(E729/64),5)&amp;DEC2BIN(MOD(E729,64),6)</f>
        <v>01011001111</v>
      </c>
      <c r="G729" s="10" t="str">
        <f>DEC2HEX(E729,3)</f>
        <v>2CF</v>
      </c>
      <c r="H729" s="10" t="str">
        <f>IF(ROUND(D729/$B$6,0)&gt;$B$7,"YES","NO")</f>
        <v>NO</v>
      </c>
    </row>
    <row r="730" spans="1:8">
      <c r="A730" s="8">
        <v>720</v>
      </c>
      <c r="B730" s="9">
        <f>D729</f>
        <v>842.578125</v>
      </c>
      <c r="C730" s="9">
        <f>$B$6</f>
        <v>1.171875</v>
      </c>
      <c r="D730" s="9">
        <f>B730+C730</f>
        <v>843.75</v>
      </c>
      <c r="E730" s="8">
        <f>MIN($B$7,ROUND(D730/$B$6,0))</f>
        <v>720</v>
      </c>
      <c r="F730" s="8" t="str">
        <f>DEC2BIN(INT(E730/64),5)&amp;DEC2BIN(MOD(E730,64),6)</f>
        <v>01011010000</v>
      </c>
      <c r="G730" s="8" t="str">
        <f>DEC2HEX(E730,3)</f>
        <v>2D0</v>
      </c>
      <c r="H730" s="8" t="str">
        <f>IF(ROUND(D730/$B$6,0)&gt;$B$7,"YES","NO")</f>
        <v>NO</v>
      </c>
    </row>
    <row r="731" spans="1:8">
      <c r="A731" s="10">
        <v>721</v>
      </c>
      <c r="B731" s="11">
        <f>D730</f>
        <v>843.75</v>
      </c>
      <c r="C731" s="11">
        <f>$B$6</f>
        <v>1.171875</v>
      </c>
      <c r="D731" s="11">
        <f>B731+C731</f>
        <v>844.921875</v>
      </c>
      <c r="E731" s="10">
        <f>MIN($B$7,ROUND(D731/$B$6,0))</f>
        <v>721</v>
      </c>
      <c r="F731" s="10" t="str">
        <f>DEC2BIN(INT(E731/64),5)&amp;DEC2BIN(MOD(E731,64),6)</f>
        <v>01011010001</v>
      </c>
      <c r="G731" s="10" t="str">
        <f>DEC2HEX(E731,3)</f>
        <v>2D1</v>
      </c>
      <c r="H731" s="10" t="str">
        <f>IF(ROUND(D731/$B$6,0)&gt;$B$7,"YES","NO")</f>
        <v>NO</v>
      </c>
    </row>
    <row r="732" spans="1:8">
      <c r="A732" s="8">
        <v>722</v>
      </c>
      <c r="B732" s="9">
        <f>D731</f>
        <v>844.921875</v>
      </c>
      <c r="C732" s="9">
        <f>$B$6</f>
        <v>1.171875</v>
      </c>
      <c r="D732" s="9">
        <f>B732+C732</f>
        <v>846.09375</v>
      </c>
      <c r="E732" s="8">
        <f>MIN($B$7,ROUND(D732/$B$6,0))</f>
        <v>722</v>
      </c>
      <c r="F732" s="8" t="str">
        <f>DEC2BIN(INT(E732/64),5)&amp;DEC2BIN(MOD(E732,64),6)</f>
        <v>01011010010</v>
      </c>
      <c r="G732" s="8" t="str">
        <f>DEC2HEX(E732,3)</f>
        <v>2D2</v>
      </c>
      <c r="H732" s="8" t="str">
        <f>IF(ROUND(D732/$B$6,0)&gt;$B$7,"YES","NO")</f>
        <v>NO</v>
      </c>
    </row>
    <row r="733" spans="1:8">
      <c r="A733" s="10">
        <v>723</v>
      </c>
      <c r="B733" s="11">
        <f>D732</f>
        <v>846.09375</v>
      </c>
      <c r="C733" s="11">
        <f>$B$6</f>
        <v>1.171875</v>
      </c>
      <c r="D733" s="11">
        <f>B733+C733</f>
        <v>847.265625</v>
      </c>
      <c r="E733" s="10">
        <f>MIN($B$7,ROUND(D733/$B$6,0))</f>
        <v>723</v>
      </c>
      <c r="F733" s="10" t="str">
        <f>DEC2BIN(INT(E733/64),5)&amp;DEC2BIN(MOD(E733,64),6)</f>
        <v>01011010011</v>
      </c>
      <c r="G733" s="10" t="str">
        <f>DEC2HEX(E733,3)</f>
        <v>2D3</v>
      </c>
      <c r="H733" s="10" t="str">
        <f>IF(ROUND(D733/$B$6,0)&gt;$B$7,"YES","NO")</f>
        <v>NO</v>
      </c>
    </row>
    <row r="734" spans="1:8">
      <c r="A734" s="8">
        <v>724</v>
      </c>
      <c r="B734" s="9">
        <f>D733</f>
        <v>847.265625</v>
      </c>
      <c r="C734" s="9">
        <f>$B$6</f>
        <v>1.171875</v>
      </c>
      <c r="D734" s="9">
        <f>B734+C734</f>
        <v>848.4375</v>
      </c>
      <c r="E734" s="8">
        <f>MIN($B$7,ROUND(D734/$B$6,0))</f>
        <v>724</v>
      </c>
      <c r="F734" s="8" t="str">
        <f>DEC2BIN(INT(E734/64),5)&amp;DEC2BIN(MOD(E734,64),6)</f>
        <v>01011010100</v>
      </c>
      <c r="G734" s="8" t="str">
        <f>DEC2HEX(E734,3)</f>
        <v>2D4</v>
      </c>
      <c r="H734" s="8" t="str">
        <f>IF(ROUND(D734/$B$6,0)&gt;$B$7,"YES","NO")</f>
        <v>NO</v>
      </c>
    </row>
    <row r="735" spans="1:8">
      <c r="A735" s="10">
        <v>725</v>
      </c>
      <c r="B735" s="11">
        <f>D734</f>
        <v>848.4375</v>
      </c>
      <c r="C735" s="11">
        <f>$B$6</f>
        <v>1.171875</v>
      </c>
      <c r="D735" s="11">
        <f>B735+C735</f>
        <v>849.609375</v>
      </c>
      <c r="E735" s="10">
        <f>MIN($B$7,ROUND(D735/$B$6,0))</f>
        <v>725</v>
      </c>
      <c r="F735" s="10" t="str">
        <f>DEC2BIN(INT(E735/64),5)&amp;DEC2BIN(MOD(E735,64),6)</f>
        <v>01011010101</v>
      </c>
      <c r="G735" s="10" t="str">
        <f>DEC2HEX(E735,3)</f>
        <v>2D5</v>
      </c>
      <c r="H735" s="10" t="str">
        <f>IF(ROUND(D735/$B$6,0)&gt;$B$7,"YES","NO")</f>
        <v>NO</v>
      </c>
    </row>
    <row r="736" spans="1:8">
      <c r="A736" s="8">
        <v>726</v>
      </c>
      <c r="B736" s="9">
        <f>D735</f>
        <v>849.609375</v>
      </c>
      <c r="C736" s="9">
        <f>$B$6</f>
        <v>1.171875</v>
      </c>
      <c r="D736" s="9">
        <f>B736+C736</f>
        <v>850.78125</v>
      </c>
      <c r="E736" s="8">
        <f>MIN($B$7,ROUND(D736/$B$6,0))</f>
        <v>726</v>
      </c>
      <c r="F736" s="8" t="str">
        <f>DEC2BIN(INT(E736/64),5)&amp;DEC2BIN(MOD(E736,64),6)</f>
        <v>01011010110</v>
      </c>
      <c r="G736" s="8" t="str">
        <f>DEC2HEX(E736,3)</f>
        <v>2D6</v>
      </c>
      <c r="H736" s="8" t="str">
        <f>IF(ROUND(D736/$B$6,0)&gt;$B$7,"YES","NO")</f>
        <v>NO</v>
      </c>
    </row>
    <row r="737" spans="1:8">
      <c r="A737" s="10">
        <v>727</v>
      </c>
      <c r="B737" s="11">
        <f>D736</f>
        <v>850.78125</v>
      </c>
      <c r="C737" s="11">
        <f>$B$6</f>
        <v>1.171875</v>
      </c>
      <c r="D737" s="11">
        <f>B737+C737</f>
        <v>851.953125</v>
      </c>
      <c r="E737" s="10">
        <f>MIN($B$7,ROUND(D737/$B$6,0))</f>
        <v>727</v>
      </c>
      <c r="F737" s="10" t="str">
        <f>DEC2BIN(INT(E737/64),5)&amp;DEC2BIN(MOD(E737,64),6)</f>
        <v>01011010111</v>
      </c>
      <c r="G737" s="10" t="str">
        <f>DEC2HEX(E737,3)</f>
        <v>2D7</v>
      </c>
      <c r="H737" s="10" t="str">
        <f>IF(ROUND(D737/$B$6,0)&gt;$B$7,"YES","NO")</f>
        <v>NO</v>
      </c>
    </row>
    <row r="738" spans="1:8">
      <c r="A738" s="8">
        <v>728</v>
      </c>
      <c r="B738" s="9">
        <f>D737</f>
        <v>851.953125</v>
      </c>
      <c r="C738" s="9">
        <f>$B$6</f>
        <v>1.171875</v>
      </c>
      <c r="D738" s="9">
        <f>B738+C738</f>
        <v>853.125</v>
      </c>
      <c r="E738" s="8">
        <f>MIN($B$7,ROUND(D738/$B$6,0))</f>
        <v>728</v>
      </c>
      <c r="F738" s="8" t="str">
        <f>DEC2BIN(INT(E738/64),5)&amp;DEC2BIN(MOD(E738,64),6)</f>
        <v>01011011000</v>
      </c>
      <c r="G738" s="8" t="str">
        <f>DEC2HEX(E738,3)</f>
        <v>2D8</v>
      </c>
      <c r="H738" s="8" t="str">
        <f>IF(ROUND(D738/$B$6,0)&gt;$B$7,"YES","NO")</f>
        <v>NO</v>
      </c>
    </row>
    <row r="739" spans="1:8">
      <c r="A739" s="10">
        <v>729</v>
      </c>
      <c r="B739" s="11">
        <f>D738</f>
        <v>853.125</v>
      </c>
      <c r="C739" s="11">
        <f>$B$6</f>
        <v>1.171875</v>
      </c>
      <c r="D739" s="11">
        <f>B739+C739</f>
        <v>854.296875</v>
      </c>
      <c r="E739" s="10">
        <f>MIN($B$7,ROUND(D739/$B$6,0))</f>
        <v>729</v>
      </c>
      <c r="F739" s="10" t="str">
        <f>DEC2BIN(INT(E739/64),5)&amp;DEC2BIN(MOD(E739,64),6)</f>
        <v>01011011001</v>
      </c>
      <c r="G739" s="10" t="str">
        <f>DEC2HEX(E739,3)</f>
        <v>2D9</v>
      </c>
      <c r="H739" s="10" t="str">
        <f>IF(ROUND(D739/$B$6,0)&gt;$B$7,"YES","NO")</f>
        <v>NO</v>
      </c>
    </row>
    <row r="740" spans="1:8">
      <c r="A740" s="8">
        <v>730</v>
      </c>
      <c r="B740" s="9">
        <f>D739</f>
        <v>854.296875</v>
      </c>
      <c r="C740" s="9">
        <f>$B$6</f>
        <v>1.171875</v>
      </c>
      <c r="D740" s="9">
        <f>B740+C740</f>
        <v>855.46875</v>
      </c>
      <c r="E740" s="8">
        <f>MIN($B$7,ROUND(D740/$B$6,0))</f>
        <v>730</v>
      </c>
      <c r="F740" s="8" t="str">
        <f>DEC2BIN(INT(E740/64),5)&amp;DEC2BIN(MOD(E740,64),6)</f>
        <v>01011011010</v>
      </c>
      <c r="G740" s="8" t="str">
        <f>DEC2HEX(E740,3)</f>
        <v>2DA</v>
      </c>
      <c r="H740" s="8" t="str">
        <f>IF(ROUND(D740/$B$6,0)&gt;$B$7,"YES","NO")</f>
        <v>NO</v>
      </c>
    </row>
    <row r="741" spans="1:8">
      <c r="A741" s="10">
        <v>731</v>
      </c>
      <c r="B741" s="11">
        <f>D740</f>
        <v>855.46875</v>
      </c>
      <c r="C741" s="11">
        <f>$B$6</f>
        <v>1.171875</v>
      </c>
      <c r="D741" s="11">
        <f>B741+C741</f>
        <v>856.640625</v>
      </c>
      <c r="E741" s="10">
        <f>MIN($B$7,ROUND(D741/$B$6,0))</f>
        <v>731</v>
      </c>
      <c r="F741" s="10" t="str">
        <f>DEC2BIN(INT(E741/64),5)&amp;DEC2BIN(MOD(E741,64),6)</f>
        <v>01011011011</v>
      </c>
      <c r="G741" s="10" t="str">
        <f>DEC2HEX(E741,3)</f>
        <v>2DB</v>
      </c>
      <c r="H741" s="10" t="str">
        <f>IF(ROUND(D741/$B$6,0)&gt;$B$7,"YES","NO")</f>
        <v>NO</v>
      </c>
    </row>
    <row r="742" spans="1:8">
      <c r="A742" s="8">
        <v>732</v>
      </c>
      <c r="B742" s="9">
        <f>D741</f>
        <v>856.640625</v>
      </c>
      <c r="C742" s="9">
        <f>$B$6</f>
        <v>1.171875</v>
      </c>
      <c r="D742" s="9">
        <f>B742+C742</f>
        <v>857.8125</v>
      </c>
      <c r="E742" s="8">
        <f>MIN($B$7,ROUND(D742/$B$6,0))</f>
        <v>732</v>
      </c>
      <c r="F742" s="8" t="str">
        <f>DEC2BIN(INT(E742/64),5)&amp;DEC2BIN(MOD(E742,64),6)</f>
        <v>01011011100</v>
      </c>
      <c r="G742" s="8" t="str">
        <f>DEC2HEX(E742,3)</f>
        <v>2DC</v>
      </c>
      <c r="H742" s="8" t="str">
        <f>IF(ROUND(D742/$B$6,0)&gt;$B$7,"YES","NO")</f>
        <v>NO</v>
      </c>
    </row>
    <row r="743" spans="1:8">
      <c r="A743" s="10">
        <v>733</v>
      </c>
      <c r="B743" s="11">
        <f>D742</f>
        <v>857.8125</v>
      </c>
      <c r="C743" s="11">
        <f>$B$6</f>
        <v>1.171875</v>
      </c>
      <c r="D743" s="11">
        <f>B743+C743</f>
        <v>858.984375</v>
      </c>
      <c r="E743" s="10">
        <f>MIN($B$7,ROUND(D743/$B$6,0))</f>
        <v>733</v>
      </c>
      <c r="F743" s="10" t="str">
        <f>DEC2BIN(INT(E743/64),5)&amp;DEC2BIN(MOD(E743,64),6)</f>
        <v>01011011101</v>
      </c>
      <c r="G743" s="10" t="str">
        <f>DEC2HEX(E743,3)</f>
        <v>2DD</v>
      </c>
      <c r="H743" s="10" t="str">
        <f>IF(ROUND(D743/$B$6,0)&gt;$B$7,"YES","NO")</f>
        <v>NO</v>
      </c>
    </row>
    <row r="744" spans="1:8">
      <c r="A744" s="8">
        <v>734</v>
      </c>
      <c r="B744" s="9">
        <f>D743</f>
        <v>858.984375</v>
      </c>
      <c r="C744" s="9">
        <f>$B$6</f>
        <v>1.171875</v>
      </c>
      <c r="D744" s="9">
        <f>B744+C744</f>
        <v>860.15625</v>
      </c>
      <c r="E744" s="8">
        <f>MIN($B$7,ROUND(D744/$B$6,0))</f>
        <v>734</v>
      </c>
      <c r="F744" s="8" t="str">
        <f>DEC2BIN(INT(E744/64),5)&amp;DEC2BIN(MOD(E744,64),6)</f>
        <v>01011011110</v>
      </c>
      <c r="G744" s="8" t="str">
        <f>DEC2HEX(E744,3)</f>
        <v>2DE</v>
      </c>
      <c r="H744" s="8" t="str">
        <f>IF(ROUND(D744/$B$6,0)&gt;$B$7,"YES","NO")</f>
        <v>NO</v>
      </c>
    </row>
    <row r="745" spans="1:8">
      <c r="A745" s="10">
        <v>735</v>
      </c>
      <c r="B745" s="11">
        <f>D744</f>
        <v>860.15625</v>
      </c>
      <c r="C745" s="11">
        <f>$B$6</f>
        <v>1.171875</v>
      </c>
      <c r="D745" s="11">
        <f>B745+C745</f>
        <v>861.328125</v>
      </c>
      <c r="E745" s="10">
        <f>MIN($B$7,ROUND(D745/$B$6,0))</f>
        <v>735</v>
      </c>
      <c r="F745" s="10" t="str">
        <f>DEC2BIN(INT(E745/64),5)&amp;DEC2BIN(MOD(E745,64),6)</f>
        <v>01011011111</v>
      </c>
      <c r="G745" s="10" t="str">
        <f>DEC2HEX(E745,3)</f>
        <v>2DF</v>
      </c>
      <c r="H745" s="10" t="str">
        <f>IF(ROUND(D745/$B$6,0)&gt;$B$7,"YES","NO")</f>
        <v>NO</v>
      </c>
    </row>
    <row r="746" spans="1:8">
      <c r="A746" s="8">
        <v>736</v>
      </c>
      <c r="B746" s="9">
        <f>D745</f>
        <v>861.328125</v>
      </c>
      <c r="C746" s="9">
        <f>$B$6</f>
        <v>1.171875</v>
      </c>
      <c r="D746" s="9">
        <f>B746+C746</f>
        <v>862.5</v>
      </c>
      <c r="E746" s="8">
        <f>MIN($B$7,ROUND(D746/$B$6,0))</f>
        <v>736</v>
      </c>
      <c r="F746" s="8" t="str">
        <f>DEC2BIN(INT(E746/64),5)&amp;DEC2BIN(MOD(E746,64),6)</f>
        <v>01011100000</v>
      </c>
      <c r="G746" s="8" t="str">
        <f>DEC2HEX(E746,3)</f>
        <v>2E0</v>
      </c>
      <c r="H746" s="8" t="str">
        <f>IF(ROUND(D746/$B$6,0)&gt;$B$7,"YES","NO")</f>
        <v>NO</v>
      </c>
    </row>
    <row r="747" spans="1:8">
      <c r="A747" s="10">
        <v>737</v>
      </c>
      <c r="B747" s="11">
        <f>D746</f>
        <v>862.5</v>
      </c>
      <c r="C747" s="11">
        <f>$B$6</f>
        <v>1.171875</v>
      </c>
      <c r="D747" s="11">
        <f>B747+C747</f>
        <v>863.671875</v>
      </c>
      <c r="E747" s="10">
        <f>MIN($B$7,ROUND(D747/$B$6,0))</f>
        <v>737</v>
      </c>
      <c r="F747" s="10" t="str">
        <f>DEC2BIN(INT(E747/64),5)&amp;DEC2BIN(MOD(E747,64),6)</f>
        <v>01011100001</v>
      </c>
      <c r="G747" s="10" t="str">
        <f>DEC2HEX(E747,3)</f>
        <v>2E1</v>
      </c>
      <c r="H747" s="10" t="str">
        <f>IF(ROUND(D747/$B$6,0)&gt;$B$7,"YES","NO")</f>
        <v>NO</v>
      </c>
    </row>
    <row r="748" spans="1:8">
      <c r="A748" s="8">
        <v>738</v>
      </c>
      <c r="B748" s="9">
        <f>D747</f>
        <v>863.671875</v>
      </c>
      <c r="C748" s="9">
        <f>$B$6</f>
        <v>1.171875</v>
      </c>
      <c r="D748" s="9">
        <f>B748+C748</f>
        <v>864.84375</v>
      </c>
      <c r="E748" s="8">
        <f>MIN($B$7,ROUND(D748/$B$6,0))</f>
        <v>738</v>
      </c>
      <c r="F748" s="8" t="str">
        <f>DEC2BIN(INT(E748/64),5)&amp;DEC2BIN(MOD(E748,64),6)</f>
        <v>01011100010</v>
      </c>
      <c r="G748" s="8" t="str">
        <f>DEC2HEX(E748,3)</f>
        <v>2E2</v>
      </c>
      <c r="H748" s="8" t="str">
        <f>IF(ROUND(D748/$B$6,0)&gt;$B$7,"YES","NO")</f>
        <v>NO</v>
      </c>
    </row>
    <row r="749" spans="1:8">
      <c r="A749" s="10">
        <v>739</v>
      </c>
      <c r="B749" s="11">
        <f>D748</f>
        <v>864.84375</v>
      </c>
      <c r="C749" s="11">
        <f>$B$6</f>
        <v>1.171875</v>
      </c>
      <c r="D749" s="11">
        <f>B749+C749</f>
        <v>866.015625</v>
      </c>
      <c r="E749" s="10">
        <f>MIN($B$7,ROUND(D749/$B$6,0))</f>
        <v>739</v>
      </c>
      <c r="F749" s="10" t="str">
        <f>DEC2BIN(INT(E749/64),5)&amp;DEC2BIN(MOD(E749,64),6)</f>
        <v>01011100011</v>
      </c>
      <c r="G749" s="10" t="str">
        <f>DEC2HEX(E749,3)</f>
        <v>2E3</v>
      </c>
      <c r="H749" s="10" t="str">
        <f>IF(ROUND(D749/$B$6,0)&gt;$B$7,"YES","NO")</f>
        <v>NO</v>
      </c>
    </row>
    <row r="750" spans="1:8">
      <c r="A750" s="8">
        <v>740</v>
      </c>
      <c r="B750" s="9">
        <f>D749</f>
        <v>866.015625</v>
      </c>
      <c r="C750" s="9">
        <f>$B$6</f>
        <v>1.171875</v>
      </c>
      <c r="D750" s="9">
        <f>B750+C750</f>
        <v>867.1875</v>
      </c>
      <c r="E750" s="8">
        <f>MIN($B$7,ROUND(D750/$B$6,0))</f>
        <v>740</v>
      </c>
      <c r="F750" s="8" t="str">
        <f>DEC2BIN(INT(E750/64),5)&amp;DEC2BIN(MOD(E750,64),6)</f>
        <v>01011100100</v>
      </c>
      <c r="G750" s="8" t="str">
        <f>DEC2HEX(E750,3)</f>
        <v>2E4</v>
      </c>
      <c r="H750" s="8" t="str">
        <f>IF(ROUND(D750/$B$6,0)&gt;$B$7,"YES","NO")</f>
        <v>NO</v>
      </c>
    </row>
    <row r="751" spans="1:8">
      <c r="A751" s="10">
        <v>741</v>
      </c>
      <c r="B751" s="11">
        <f>D750</f>
        <v>867.1875</v>
      </c>
      <c r="C751" s="11">
        <f>$B$6</f>
        <v>1.171875</v>
      </c>
      <c r="D751" s="11">
        <f>B751+C751</f>
        <v>868.359375</v>
      </c>
      <c r="E751" s="10">
        <f>MIN($B$7,ROUND(D751/$B$6,0))</f>
        <v>741</v>
      </c>
      <c r="F751" s="10" t="str">
        <f>DEC2BIN(INT(E751/64),5)&amp;DEC2BIN(MOD(E751,64),6)</f>
        <v>01011100101</v>
      </c>
      <c r="G751" s="10" t="str">
        <f>DEC2HEX(E751,3)</f>
        <v>2E5</v>
      </c>
      <c r="H751" s="10" t="str">
        <f>IF(ROUND(D751/$B$6,0)&gt;$B$7,"YES","NO")</f>
        <v>NO</v>
      </c>
    </row>
    <row r="752" spans="1:8">
      <c r="A752" s="8">
        <v>742</v>
      </c>
      <c r="B752" s="9">
        <f>D751</f>
        <v>868.359375</v>
      </c>
      <c r="C752" s="9">
        <f>$B$6</f>
        <v>1.171875</v>
      </c>
      <c r="D752" s="9">
        <f>B752+C752</f>
        <v>869.53125</v>
      </c>
      <c r="E752" s="8">
        <f>MIN($B$7,ROUND(D752/$B$6,0))</f>
        <v>742</v>
      </c>
      <c r="F752" s="8" t="str">
        <f>DEC2BIN(INT(E752/64),5)&amp;DEC2BIN(MOD(E752,64),6)</f>
        <v>01011100110</v>
      </c>
      <c r="G752" s="8" t="str">
        <f>DEC2HEX(E752,3)</f>
        <v>2E6</v>
      </c>
      <c r="H752" s="8" t="str">
        <f>IF(ROUND(D752/$B$6,0)&gt;$B$7,"YES","NO")</f>
        <v>NO</v>
      </c>
    </row>
    <row r="753" spans="1:8">
      <c r="A753" s="10">
        <v>743</v>
      </c>
      <c r="B753" s="11">
        <f>D752</f>
        <v>869.53125</v>
      </c>
      <c r="C753" s="11">
        <f>$B$6</f>
        <v>1.171875</v>
      </c>
      <c r="D753" s="11">
        <f>B753+C753</f>
        <v>870.703125</v>
      </c>
      <c r="E753" s="10">
        <f>MIN($B$7,ROUND(D753/$B$6,0))</f>
        <v>743</v>
      </c>
      <c r="F753" s="10" t="str">
        <f>DEC2BIN(INT(E753/64),5)&amp;DEC2BIN(MOD(E753,64),6)</f>
        <v>01011100111</v>
      </c>
      <c r="G753" s="10" t="str">
        <f>DEC2HEX(E753,3)</f>
        <v>2E7</v>
      </c>
      <c r="H753" s="10" t="str">
        <f>IF(ROUND(D753/$B$6,0)&gt;$B$7,"YES","NO")</f>
        <v>NO</v>
      </c>
    </row>
    <row r="754" spans="1:8">
      <c r="A754" s="8">
        <v>744</v>
      </c>
      <c r="B754" s="9">
        <f>D753</f>
        <v>870.703125</v>
      </c>
      <c r="C754" s="9">
        <f>$B$6</f>
        <v>1.171875</v>
      </c>
      <c r="D754" s="9">
        <f>B754+C754</f>
        <v>871.875</v>
      </c>
      <c r="E754" s="8">
        <f>MIN($B$7,ROUND(D754/$B$6,0))</f>
        <v>744</v>
      </c>
      <c r="F754" s="8" t="str">
        <f>DEC2BIN(INT(E754/64),5)&amp;DEC2BIN(MOD(E754,64),6)</f>
        <v>01011101000</v>
      </c>
      <c r="G754" s="8" t="str">
        <f>DEC2HEX(E754,3)</f>
        <v>2E8</v>
      </c>
      <c r="H754" s="8" t="str">
        <f>IF(ROUND(D754/$B$6,0)&gt;$B$7,"YES","NO")</f>
        <v>NO</v>
      </c>
    </row>
    <row r="755" spans="1:8">
      <c r="A755" s="10">
        <v>745</v>
      </c>
      <c r="B755" s="11">
        <f>D754</f>
        <v>871.875</v>
      </c>
      <c r="C755" s="11">
        <f>$B$6</f>
        <v>1.171875</v>
      </c>
      <c r="D755" s="11">
        <f>B755+C755</f>
        <v>873.046875</v>
      </c>
      <c r="E755" s="10">
        <f>MIN($B$7,ROUND(D755/$B$6,0))</f>
        <v>745</v>
      </c>
      <c r="F755" s="10" t="str">
        <f>DEC2BIN(INT(E755/64),5)&amp;DEC2BIN(MOD(E755,64),6)</f>
        <v>01011101001</v>
      </c>
      <c r="G755" s="10" t="str">
        <f>DEC2HEX(E755,3)</f>
        <v>2E9</v>
      </c>
      <c r="H755" s="10" t="str">
        <f>IF(ROUND(D755/$B$6,0)&gt;$B$7,"YES","NO")</f>
        <v>NO</v>
      </c>
    </row>
    <row r="756" spans="1:8">
      <c r="A756" s="8">
        <v>746</v>
      </c>
      <c r="B756" s="9">
        <f>D755</f>
        <v>873.046875</v>
      </c>
      <c r="C756" s="9">
        <f>$B$6</f>
        <v>1.171875</v>
      </c>
      <c r="D756" s="9">
        <f>B756+C756</f>
        <v>874.21875</v>
      </c>
      <c r="E756" s="8">
        <f>MIN($B$7,ROUND(D756/$B$6,0))</f>
        <v>746</v>
      </c>
      <c r="F756" s="8" t="str">
        <f>DEC2BIN(INT(E756/64),5)&amp;DEC2BIN(MOD(E756,64),6)</f>
        <v>01011101010</v>
      </c>
      <c r="G756" s="8" t="str">
        <f>DEC2HEX(E756,3)</f>
        <v>2EA</v>
      </c>
      <c r="H756" s="8" t="str">
        <f>IF(ROUND(D756/$B$6,0)&gt;$B$7,"YES","NO")</f>
        <v>NO</v>
      </c>
    </row>
    <row r="757" spans="1:8">
      <c r="A757" s="10">
        <v>747</v>
      </c>
      <c r="B757" s="11">
        <f>D756</f>
        <v>874.21875</v>
      </c>
      <c r="C757" s="11">
        <f>$B$6</f>
        <v>1.171875</v>
      </c>
      <c r="D757" s="11">
        <f>B757+C757</f>
        <v>875.390625</v>
      </c>
      <c r="E757" s="10">
        <f>MIN($B$7,ROUND(D757/$B$6,0))</f>
        <v>747</v>
      </c>
      <c r="F757" s="10" t="str">
        <f>DEC2BIN(INT(E757/64),5)&amp;DEC2BIN(MOD(E757,64),6)</f>
        <v>01011101011</v>
      </c>
      <c r="G757" s="10" t="str">
        <f>DEC2HEX(E757,3)</f>
        <v>2EB</v>
      </c>
      <c r="H757" s="10" t="str">
        <f>IF(ROUND(D757/$B$6,0)&gt;$B$7,"YES","NO")</f>
        <v>NO</v>
      </c>
    </row>
    <row r="758" spans="1:8">
      <c r="A758" s="8">
        <v>748</v>
      </c>
      <c r="B758" s="9">
        <f>D757</f>
        <v>875.390625</v>
      </c>
      <c r="C758" s="9">
        <f>$B$6</f>
        <v>1.171875</v>
      </c>
      <c r="D758" s="9">
        <f>B758+C758</f>
        <v>876.5625</v>
      </c>
      <c r="E758" s="8">
        <f>MIN($B$7,ROUND(D758/$B$6,0))</f>
        <v>748</v>
      </c>
      <c r="F758" s="8" t="str">
        <f>DEC2BIN(INT(E758/64),5)&amp;DEC2BIN(MOD(E758,64),6)</f>
        <v>01011101100</v>
      </c>
      <c r="G758" s="8" t="str">
        <f>DEC2HEX(E758,3)</f>
        <v>2EC</v>
      </c>
      <c r="H758" s="8" t="str">
        <f>IF(ROUND(D758/$B$6,0)&gt;$B$7,"YES","NO")</f>
        <v>NO</v>
      </c>
    </row>
    <row r="759" spans="1:8">
      <c r="A759" s="10">
        <v>749</v>
      </c>
      <c r="B759" s="11">
        <f>D758</f>
        <v>876.5625</v>
      </c>
      <c r="C759" s="11">
        <f>$B$6</f>
        <v>1.171875</v>
      </c>
      <c r="D759" s="11">
        <f>B759+C759</f>
        <v>877.734375</v>
      </c>
      <c r="E759" s="10">
        <f>MIN($B$7,ROUND(D759/$B$6,0))</f>
        <v>749</v>
      </c>
      <c r="F759" s="10" t="str">
        <f>DEC2BIN(INT(E759/64),5)&amp;DEC2BIN(MOD(E759,64),6)</f>
        <v>01011101101</v>
      </c>
      <c r="G759" s="10" t="str">
        <f>DEC2HEX(E759,3)</f>
        <v>2ED</v>
      </c>
      <c r="H759" s="10" t="str">
        <f>IF(ROUND(D759/$B$6,0)&gt;$B$7,"YES","NO")</f>
        <v>NO</v>
      </c>
    </row>
    <row r="760" spans="1:8">
      <c r="A760" s="8">
        <v>750</v>
      </c>
      <c r="B760" s="9">
        <f>D759</f>
        <v>877.734375</v>
      </c>
      <c r="C760" s="9">
        <f>$B$6</f>
        <v>1.171875</v>
      </c>
      <c r="D760" s="9">
        <f>B760+C760</f>
        <v>878.90625</v>
      </c>
      <c r="E760" s="8">
        <f>MIN($B$7,ROUND(D760/$B$6,0))</f>
        <v>750</v>
      </c>
      <c r="F760" s="8" t="str">
        <f>DEC2BIN(INT(E760/64),5)&amp;DEC2BIN(MOD(E760,64),6)</f>
        <v>01011101110</v>
      </c>
      <c r="G760" s="8" t="str">
        <f>DEC2HEX(E760,3)</f>
        <v>2EE</v>
      </c>
      <c r="H760" s="8" t="str">
        <f>IF(ROUND(D760/$B$6,0)&gt;$B$7,"YES","NO")</f>
        <v>NO</v>
      </c>
    </row>
    <row r="761" spans="1:8">
      <c r="A761" s="10">
        <v>751</v>
      </c>
      <c r="B761" s="11">
        <f>D760</f>
        <v>878.90625</v>
      </c>
      <c r="C761" s="11">
        <f>$B$6</f>
        <v>1.171875</v>
      </c>
      <c r="D761" s="11">
        <f>B761+C761</f>
        <v>880.078125</v>
      </c>
      <c r="E761" s="10">
        <f>MIN($B$7,ROUND(D761/$B$6,0))</f>
        <v>751</v>
      </c>
      <c r="F761" s="10" t="str">
        <f>DEC2BIN(INT(E761/64),5)&amp;DEC2BIN(MOD(E761,64),6)</f>
        <v>01011101111</v>
      </c>
      <c r="G761" s="10" t="str">
        <f>DEC2HEX(E761,3)</f>
        <v>2EF</v>
      </c>
      <c r="H761" s="10" t="str">
        <f>IF(ROUND(D761/$B$6,0)&gt;$B$7,"YES","NO")</f>
        <v>NO</v>
      </c>
    </row>
    <row r="762" spans="1:8">
      <c r="A762" s="8">
        <v>752</v>
      </c>
      <c r="B762" s="9">
        <f>D761</f>
        <v>880.078125</v>
      </c>
      <c r="C762" s="9">
        <f>$B$6</f>
        <v>1.171875</v>
      </c>
      <c r="D762" s="9">
        <f>B762+C762</f>
        <v>881.25</v>
      </c>
      <c r="E762" s="8">
        <f>MIN($B$7,ROUND(D762/$B$6,0))</f>
        <v>752</v>
      </c>
      <c r="F762" s="8" t="str">
        <f>DEC2BIN(INT(E762/64),5)&amp;DEC2BIN(MOD(E762,64),6)</f>
        <v>01011110000</v>
      </c>
      <c r="G762" s="8" t="str">
        <f>DEC2HEX(E762,3)</f>
        <v>2F0</v>
      </c>
      <c r="H762" s="8" t="str">
        <f>IF(ROUND(D762/$B$6,0)&gt;$B$7,"YES","NO")</f>
        <v>NO</v>
      </c>
    </row>
    <row r="763" spans="1:8">
      <c r="A763" s="10">
        <v>753</v>
      </c>
      <c r="B763" s="11">
        <f>D762</f>
        <v>881.25</v>
      </c>
      <c r="C763" s="11">
        <f>$B$6</f>
        <v>1.171875</v>
      </c>
      <c r="D763" s="11">
        <f>B763+C763</f>
        <v>882.421875</v>
      </c>
      <c r="E763" s="10">
        <f>MIN($B$7,ROUND(D763/$B$6,0))</f>
        <v>753</v>
      </c>
      <c r="F763" s="10" t="str">
        <f>DEC2BIN(INT(E763/64),5)&amp;DEC2BIN(MOD(E763,64),6)</f>
        <v>01011110001</v>
      </c>
      <c r="G763" s="10" t="str">
        <f>DEC2HEX(E763,3)</f>
        <v>2F1</v>
      </c>
      <c r="H763" s="10" t="str">
        <f>IF(ROUND(D763/$B$6,0)&gt;$B$7,"YES","NO")</f>
        <v>NO</v>
      </c>
    </row>
    <row r="764" spans="1:8">
      <c r="A764" s="8">
        <v>754</v>
      </c>
      <c r="B764" s="9">
        <f>D763</f>
        <v>882.421875</v>
      </c>
      <c r="C764" s="9">
        <f>$B$6</f>
        <v>1.171875</v>
      </c>
      <c r="D764" s="9">
        <f>B764+C764</f>
        <v>883.59375</v>
      </c>
      <c r="E764" s="8">
        <f>MIN($B$7,ROUND(D764/$B$6,0))</f>
        <v>754</v>
      </c>
      <c r="F764" s="8" t="str">
        <f>DEC2BIN(INT(E764/64),5)&amp;DEC2BIN(MOD(E764,64),6)</f>
        <v>01011110010</v>
      </c>
      <c r="G764" s="8" t="str">
        <f>DEC2HEX(E764,3)</f>
        <v>2F2</v>
      </c>
      <c r="H764" s="8" t="str">
        <f>IF(ROUND(D764/$B$6,0)&gt;$B$7,"YES","NO")</f>
        <v>NO</v>
      </c>
    </row>
    <row r="765" spans="1:8">
      <c r="A765" s="10">
        <v>755</v>
      </c>
      <c r="B765" s="11">
        <f>D764</f>
        <v>883.59375</v>
      </c>
      <c r="C765" s="11">
        <f>$B$6</f>
        <v>1.171875</v>
      </c>
      <c r="D765" s="11">
        <f>B765+C765</f>
        <v>884.765625</v>
      </c>
      <c r="E765" s="10">
        <f>MIN($B$7,ROUND(D765/$B$6,0))</f>
        <v>755</v>
      </c>
      <c r="F765" s="10" t="str">
        <f>DEC2BIN(INT(E765/64),5)&amp;DEC2BIN(MOD(E765,64),6)</f>
        <v>01011110011</v>
      </c>
      <c r="G765" s="10" t="str">
        <f>DEC2HEX(E765,3)</f>
        <v>2F3</v>
      </c>
      <c r="H765" s="10" t="str">
        <f>IF(ROUND(D765/$B$6,0)&gt;$B$7,"YES","NO")</f>
        <v>NO</v>
      </c>
    </row>
    <row r="766" spans="1:8">
      <c r="A766" s="8">
        <v>756</v>
      </c>
      <c r="B766" s="9">
        <f>D765</f>
        <v>884.765625</v>
      </c>
      <c r="C766" s="9">
        <f>$B$6</f>
        <v>1.171875</v>
      </c>
      <c r="D766" s="9">
        <f>B766+C766</f>
        <v>885.9375</v>
      </c>
      <c r="E766" s="8">
        <f>MIN($B$7,ROUND(D766/$B$6,0))</f>
        <v>756</v>
      </c>
      <c r="F766" s="8" t="str">
        <f>DEC2BIN(INT(E766/64),5)&amp;DEC2BIN(MOD(E766,64),6)</f>
        <v>01011110100</v>
      </c>
      <c r="G766" s="8" t="str">
        <f>DEC2HEX(E766,3)</f>
        <v>2F4</v>
      </c>
      <c r="H766" s="8" t="str">
        <f>IF(ROUND(D766/$B$6,0)&gt;$B$7,"YES","NO")</f>
        <v>NO</v>
      </c>
    </row>
    <row r="767" spans="1:8">
      <c r="A767" s="10">
        <v>757</v>
      </c>
      <c r="B767" s="11">
        <f>D766</f>
        <v>885.9375</v>
      </c>
      <c r="C767" s="11">
        <f>$B$6</f>
        <v>1.171875</v>
      </c>
      <c r="D767" s="11">
        <f>B767+C767</f>
        <v>887.109375</v>
      </c>
      <c r="E767" s="10">
        <f>MIN($B$7,ROUND(D767/$B$6,0))</f>
        <v>757</v>
      </c>
      <c r="F767" s="10" t="str">
        <f>DEC2BIN(INT(E767/64),5)&amp;DEC2BIN(MOD(E767,64),6)</f>
        <v>01011110101</v>
      </c>
      <c r="G767" s="10" t="str">
        <f>DEC2HEX(E767,3)</f>
        <v>2F5</v>
      </c>
      <c r="H767" s="10" t="str">
        <f>IF(ROUND(D767/$B$6,0)&gt;$B$7,"YES","NO")</f>
        <v>NO</v>
      </c>
    </row>
    <row r="768" spans="1:8">
      <c r="A768" s="8">
        <v>758</v>
      </c>
      <c r="B768" s="9">
        <f>D767</f>
        <v>887.109375</v>
      </c>
      <c r="C768" s="9">
        <f>$B$6</f>
        <v>1.171875</v>
      </c>
      <c r="D768" s="9">
        <f>B768+C768</f>
        <v>888.28125</v>
      </c>
      <c r="E768" s="8">
        <f>MIN($B$7,ROUND(D768/$B$6,0))</f>
        <v>758</v>
      </c>
      <c r="F768" s="8" t="str">
        <f>DEC2BIN(INT(E768/64),5)&amp;DEC2BIN(MOD(E768,64),6)</f>
        <v>01011110110</v>
      </c>
      <c r="G768" s="8" t="str">
        <f>DEC2HEX(E768,3)</f>
        <v>2F6</v>
      </c>
      <c r="H768" s="8" t="str">
        <f>IF(ROUND(D768/$B$6,0)&gt;$B$7,"YES","NO")</f>
        <v>NO</v>
      </c>
    </row>
    <row r="769" spans="1:8">
      <c r="A769" s="10">
        <v>759</v>
      </c>
      <c r="B769" s="11">
        <f>D768</f>
        <v>888.28125</v>
      </c>
      <c r="C769" s="11">
        <f>$B$6</f>
        <v>1.171875</v>
      </c>
      <c r="D769" s="11">
        <f>B769+C769</f>
        <v>889.453125</v>
      </c>
      <c r="E769" s="10">
        <f>MIN($B$7,ROUND(D769/$B$6,0))</f>
        <v>759</v>
      </c>
      <c r="F769" s="10" t="str">
        <f>DEC2BIN(INT(E769/64),5)&amp;DEC2BIN(MOD(E769,64),6)</f>
        <v>01011110111</v>
      </c>
      <c r="G769" s="10" t="str">
        <f>DEC2HEX(E769,3)</f>
        <v>2F7</v>
      </c>
      <c r="H769" s="10" t="str">
        <f>IF(ROUND(D769/$B$6,0)&gt;$B$7,"YES","NO")</f>
        <v>NO</v>
      </c>
    </row>
    <row r="770" spans="1:8">
      <c r="A770" s="8">
        <v>760</v>
      </c>
      <c r="B770" s="9">
        <f>D769</f>
        <v>889.453125</v>
      </c>
      <c r="C770" s="9">
        <f>$B$6</f>
        <v>1.171875</v>
      </c>
      <c r="D770" s="9">
        <f>B770+C770</f>
        <v>890.625</v>
      </c>
      <c r="E770" s="8">
        <f>MIN($B$7,ROUND(D770/$B$6,0))</f>
        <v>760</v>
      </c>
      <c r="F770" s="8" t="str">
        <f>DEC2BIN(INT(E770/64),5)&amp;DEC2BIN(MOD(E770,64),6)</f>
        <v>01011111000</v>
      </c>
      <c r="G770" s="8" t="str">
        <f>DEC2HEX(E770,3)</f>
        <v>2F8</v>
      </c>
      <c r="H770" s="8" t="str">
        <f>IF(ROUND(D770/$B$6,0)&gt;$B$7,"YES","NO")</f>
        <v>NO</v>
      </c>
    </row>
    <row r="771" spans="1:8">
      <c r="A771" s="10">
        <v>761</v>
      </c>
      <c r="B771" s="11">
        <f>D770</f>
        <v>890.625</v>
      </c>
      <c r="C771" s="11">
        <f>$B$6</f>
        <v>1.171875</v>
      </c>
      <c r="D771" s="11">
        <f>B771+C771</f>
        <v>891.796875</v>
      </c>
      <c r="E771" s="10">
        <f>MIN($B$7,ROUND(D771/$B$6,0))</f>
        <v>761</v>
      </c>
      <c r="F771" s="10" t="str">
        <f>DEC2BIN(INT(E771/64),5)&amp;DEC2BIN(MOD(E771,64),6)</f>
        <v>01011111001</v>
      </c>
      <c r="G771" s="10" t="str">
        <f>DEC2HEX(E771,3)</f>
        <v>2F9</v>
      </c>
      <c r="H771" s="10" t="str">
        <f>IF(ROUND(D771/$B$6,0)&gt;$B$7,"YES","NO")</f>
        <v>NO</v>
      </c>
    </row>
    <row r="772" spans="1:8">
      <c r="A772" s="8">
        <v>762</v>
      </c>
      <c r="B772" s="9">
        <f>D771</f>
        <v>891.796875</v>
      </c>
      <c r="C772" s="9">
        <f>$B$6</f>
        <v>1.171875</v>
      </c>
      <c r="D772" s="9">
        <f>B772+C772</f>
        <v>892.96875</v>
      </c>
      <c r="E772" s="8">
        <f>MIN($B$7,ROUND(D772/$B$6,0))</f>
        <v>762</v>
      </c>
      <c r="F772" s="8" t="str">
        <f>DEC2BIN(INT(E772/64),5)&amp;DEC2BIN(MOD(E772,64),6)</f>
        <v>01011111010</v>
      </c>
      <c r="G772" s="8" t="str">
        <f>DEC2HEX(E772,3)</f>
        <v>2FA</v>
      </c>
      <c r="H772" s="8" t="str">
        <f>IF(ROUND(D772/$B$6,0)&gt;$B$7,"YES","NO")</f>
        <v>NO</v>
      </c>
    </row>
    <row r="773" spans="1:8">
      <c r="A773" s="10">
        <v>763</v>
      </c>
      <c r="B773" s="11">
        <f>D772</f>
        <v>892.96875</v>
      </c>
      <c r="C773" s="11">
        <f>$B$6</f>
        <v>1.171875</v>
      </c>
      <c r="D773" s="11">
        <f>B773+C773</f>
        <v>894.140625</v>
      </c>
      <c r="E773" s="10">
        <f>MIN($B$7,ROUND(D773/$B$6,0))</f>
        <v>763</v>
      </c>
      <c r="F773" s="10" t="str">
        <f>DEC2BIN(INT(E773/64),5)&amp;DEC2BIN(MOD(E773,64),6)</f>
        <v>01011111011</v>
      </c>
      <c r="G773" s="10" t="str">
        <f>DEC2HEX(E773,3)</f>
        <v>2FB</v>
      </c>
      <c r="H773" s="10" t="str">
        <f>IF(ROUND(D773/$B$6,0)&gt;$B$7,"YES","NO")</f>
        <v>NO</v>
      </c>
    </row>
    <row r="774" spans="1:8">
      <c r="A774" s="8">
        <v>764</v>
      </c>
      <c r="B774" s="9">
        <f>D773</f>
        <v>894.140625</v>
      </c>
      <c r="C774" s="9">
        <f>$B$6</f>
        <v>1.171875</v>
      </c>
      <c r="D774" s="9">
        <f>B774+C774</f>
        <v>895.3125</v>
      </c>
      <c r="E774" s="8">
        <f>MIN($B$7,ROUND(D774/$B$6,0))</f>
        <v>764</v>
      </c>
      <c r="F774" s="8" t="str">
        <f>DEC2BIN(INT(E774/64),5)&amp;DEC2BIN(MOD(E774,64),6)</f>
        <v>01011111100</v>
      </c>
      <c r="G774" s="8" t="str">
        <f>DEC2HEX(E774,3)</f>
        <v>2FC</v>
      </c>
      <c r="H774" s="8" t="str">
        <f>IF(ROUND(D774/$B$6,0)&gt;$B$7,"YES","NO")</f>
        <v>NO</v>
      </c>
    </row>
    <row r="775" spans="1:8">
      <c r="A775" s="10">
        <v>765</v>
      </c>
      <c r="B775" s="11">
        <f>D774</f>
        <v>895.3125</v>
      </c>
      <c r="C775" s="11">
        <f>$B$6</f>
        <v>1.171875</v>
      </c>
      <c r="D775" s="11">
        <f>B775+C775</f>
        <v>896.484375</v>
      </c>
      <c r="E775" s="10">
        <f>MIN($B$7,ROUND(D775/$B$6,0))</f>
        <v>765</v>
      </c>
      <c r="F775" s="10" t="str">
        <f>DEC2BIN(INT(E775/64),5)&amp;DEC2BIN(MOD(E775,64),6)</f>
        <v>01011111101</v>
      </c>
      <c r="G775" s="10" t="str">
        <f>DEC2HEX(E775,3)</f>
        <v>2FD</v>
      </c>
      <c r="H775" s="10" t="str">
        <f>IF(ROUND(D775/$B$6,0)&gt;$B$7,"YES","NO")</f>
        <v>NO</v>
      </c>
    </row>
    <row r="776" spans="1:8">
      <c r="A776" s="8">
        <v>766</v>
      </c>
      <c r="B776" s="9">
        <f>D775</f>
        <v>896.484375</v>
      </c>
      <c r="C776" s="9">
        <f>$B$6</f>
        <v>1.171875</v>
      </c>
      <c r="D776" s="9">
        <f>B776+C776</f>
        <v>897.65625</v>
      </c>
      <c r="E776" s="8">
        <f>MIN($B$7,ROUND(D776/$B$6,0))</f>
        <v>766</v>
      </c>
      <c r="F776" s="8" t="str">
        <f>DEC2BIN(INT(E776/64),5)&amp;DEC2BIN(MOD(E776,64),6)</f>
        <v>01011111110</v>
      </c>
      <c r="G776" s="8" t="str">
        <f>DEC2HEX(E776,3)</f>
        <v>2FE</v>
      </c>
      <c r="H776" s="8" t="str">
        <f>IF(ROUND(D776/$B$6,0)&gt;$B$7,"YES","NO")</f>
        <v>NO</v>
      </c>
    </row>
    <row r="777" spans="1:8">
      <c r="A777" s="10">
        <v>767</v>
      </c>
      <c r="B777" s="11">
        <f>D776</f>
        <v>897.65625</v>
      </c>
      <c r="C777" s="11">
        <f>$B$6</f>
        <v>1.171875</v>
      </c>
      <c r="D777" s="11">
        <f>B777+C777</f>
        <v>898.828125</v>
      </c>
      <c r="E777" s="10">
        <f>MIN($B$7,ROUND(D777/$B$6,0))</f>
        <v>767</v>
      </c>
      <c r="F777" s="10" t="str">
        <f>DEC2BIN(INT(E777/64),5)&amp;DEC2BIN(MOD(E777,64),6)</f>
        <v>01011111111</v>
      </c>
      <c r="G777" s="10" t="str">
        <f>DEC2HEX(E777,3)</f>
        <v>2FF</v>
      </c>
      <c r="H777" s="10" t="str">
        <f>IF(ROUND(D777/$B$6,0)&gt;$B$7,"YES","NO")</f>
        <v>NO</v>
      </c>
    </row>
    <row r="778" spans="1:8">
      <c r="A778" s="8">
        <v>768</v>
      </c>
      <c r="B778" s="9">
        <f>D777</f>
        <v>898.828125</v>
      </c>
      <c r="C778" s="9">
        <f>$B$6</f>
        <v>1.171875</v>
      </c>
      <c r="D778" s="9">
        <f>B778+C778</f>
        <v>900</v>
      </c>
      <c r="E778" s="8">
        <f>MIN($B$7,ROUND(D778/$B$6,0))</f>
        <v>768</v>
      </c>
      <c r="F778" s="8" t="str">
        <f>DEC2BIN(INT(E778/64),5)&amp;DEC2BIN(MOD(E778,64),6)</f>
        <v>01100000000</v>
      </c>
      <c r="G778" s="8" t="str">
        <f>DEC2HEX(E778,3)</f>
        <v>300</v>
      </c>
      <c r="H778" s="8" t="str">
        <f>IF(ROUND(D778/$B$6,0)&gt;$B$7,"YES","NO")</f>
        <v>NO</v>
      </c>
    </row>
    <row r="779" spans="1:8">
      <c r="A779" s="10">
        <v>769</v>
      </c>
      <c r="B779" s="11">
        <f>D778</f>
        <v>900</v>
      </c>
      <c r="C779" s="11">
        <f>$B$6</f>
        <v>1.171875</v>
      </c>
      <c r="D779" s="11">
        <f>B779+C779</f>
        <v>901.171875</v>
      </c>
      <c r="E779" s="10">
        <f>MIN($B$7,ROUND(D779/$B$6,0))</f>
        <v>769</v>
      </c>
      <c r="F779" s="10" t="str">
        <f>DEC2BIN(INT(E779/64),5)&amp;DEC2BIN(MOD(E779,64),6)</f>
        <v>01100000001</v>
      </c>
      <c r="G779" s="10" t="str">
        <f>DEC2HEX(E779,3)</f>
        <v>301</v>
      </c>
      <c r="H779" s="10" t="str">
        <f>IF(ROUND(D779/$B$6,0)&gt;$B$7,"YES","NO")</f>
        <v>NO</v>
      </c>
    </row>
    <row r="780" spans="1:8">
      <c r="A780" s="8">
        <v>770</v>
      </c>
      <c r="B780" s="9">
        <f>D779</f>
        <v>901.171875</v>
      </c>
      <c r="C780" s="9">
        <f>$B$6</f>
        <v>1.171875</v>
      </c>
      <c r="D780" s="9">
        <f>B780+C780</f>
        <v>902.34375</v>
      </c>
      <c r="E780" s="8">
        <f>MIN($B$7,ROUND(D780/$B$6,0))</f>
        <v>770</v>
      </c>
      <c r="F780" s="8" t="str">
        <f>DEC2BIN(INT(E780/64),5)&amp;DEC2BIN(MOD(E780,64),6)</f>
        <v>01100000010</v>
      </c>
      <c r="G780" s="8" t="str">
        <f>DEC2HEX(E780,3)</f>
        <v>302</v>
      </c>
      <c r="H780" s="8" t="str">
        <f>IF(ROUND(D780/$B$6,0)&gt;$B$7,"YES","NO")</f>
        <v>NO</v>
      </c>
    </row>
    <row r="781" spans="1:8">
      <c r="A781" s="10">
        <v>771</v>
      </c>
      <c r="B781" s="11">
        <f>D780</f>
        <v>902.34375</v>
      </c>
      <c r="C781" s="11">
        <f>$B$6</f>
        <v>1.171875</v>
      </c>
      <c r="D781" s="11">
        <f>B781+C781</f>
        <v>903.515625</v>
      </c>
      <c r="E781" s="10">
        <f>MIN($B$7,ROUND(D781/$B$6,0))</f>
        <v>771</v>
      </c>
      <c r="F781" s="10" t="str">
        <f>DEC2BIN(INT(E781/64),5)&amp;DEC2BIN(MOD(E781,64),6)</f>
        <v>01100000011</v>
      </c>
      <c r="G781" s="10" t="str">
        <f>DEC2HEX(E781,3)</f>
        <v>303</v>
      </c>
      <c r="H781" s="10" t="str">
        <f>IF(ROUND(D781/$B$6,0)&gt;$B$7,"YES","NO")</f>
        <v>NO</v>
      </c>
    </row>
    <row r="782" spans="1:8">
      <c r="A782" s="8">
        <v>772</v>
      </c>
      <c r="B782" s="9">
        <f>D781</f>
        <v>903.515625</v>
      </c>
      <c r="C782" s="9">
        <f>$B$6</f>
        <v>1.171875</v>
      </c>
      <c r="D782" s="9">
        <f>B782+C782</f>
        <v>904.6875</v>
      </c>
      <c r="E782" s="8">
        <f>MIN($B$7,ROUND(D782/$B$6,0))</f>
        <v>772</v>
      </c>
      <c r="F782" s="8" t="str">
        <f>DEC2BIN(INT(E782/64),5)&amp;DEC2BIN(MOD(E782,64),6)</f>
        <v>01100000100</v>
      </c>
      <c r="G782" s="8" t="str">
        <f>DEC2HEX(E782,3)</f>
        <v>304</v>
      </c>
      <c r="H782" s="8" t="str">
        <f>IF(ROUND(D782/$B$6,0)&gt;$B$7,"YES","NO")</f>
        <v>NO</v>
      </c>
    </row>
    <row r="783" spans="1:8">
      <c r="A783" s="10">
        <v>773</v>
      </c>
      <c r="B783" s="11">
        <f>D782</f>
        <v>904.6875</v>
      </c>
      <c r="C783" s="11">
        <f>$B$6</f>
        <v>1.171875</v>
      </c>
      <c r="D783" s="11">
        <f>B783+C783</f>
        <v>905.859375</v>
      </c>
      <c r="E783" s="10">
        <f>MIN($B$7,ROUND(D783/$B$6,0))</f>
        <v>773</v>
      </c>
      <c r="F783" s="10" t="str">
        <f>DEC2BIN(INT(E783/64),5)&amp;DEC2BIN(MOD(E783,64),6)</f>
        <v>01100000101</v>
      </c>
      <c r="G783" s="10" t="str">
        <f>DEC2HEX(E783,3)</f>
        <v>305</v>
      </c>
      <c r="H783" s="10" t="str">
        <f>IF(ROUND(D783/$B$6,0)&gt;$B$7,"YES","NO")</f>
        <v>NO</v>
      </c>
    </row>
    <row r="784" spans="1:8">
      <c r="A784" s="8">
        <v>774</v>
      </c>
      <c r="B784" s="9">
        <f>D783</f>
        <v>905.859375</v>
      </c>
      <c r="C784" s="9">
        <f>$B$6</f>
        <v>1.171875</v>
      </c>
      <c r="D784" s="9">
        <f>B784+C784</f>
        <v>907.03125</v>
      </c>
      <c r="E784" s="8">
        <f>MIN($B$7,ROUND(D784/$B$6,0))</f>
        <v>774</v>
      </c>
      <c r="F784" s="8" t="str">
        <f>DEC2BIN(INT(E784/64),5)&amp;DEC2BIN(MOD(E784,64),6)</f>
        <v>01100000110</v>
      </c>
      <c r="G784" s="8" t="str">
        <f>DEC2HEX(E784,3)</f>
        <v>306</v>
      </c>
      <c r="H784" s="8" t="str">
        <f>IF(ROUND(D784/$B$6,0)&gt;$B$7,"YES","NO")</f>
        <v>NO</v>
      </c>
    </row>
    <row r="785" spans="1:8">
      <c r="A785" s="10">
        <v>775</v>
      </c>
      <c r="B785" s="11">
        <f>D784</f>
        <v>907.03125</v>
      </c>
      <c r="C785" s="11">
        <f>$B$6</f>
        <v>1.171875</v>
      </c>
      <c r="D785" s="11">
        <f>B785+C785</f>
        <v>908.203125</v>
      </c>
      <c r="E785" s="10">
        <f>MIN($B$7,ROUND(D785/$B$6,0))</f>
        <v>775</v>
      </c>
      <c r="F785" s="10" t="str">
        <f>DEC2BIN(INT(E785/64),5)&amp;DEC2BIN(MOD(E785,64),6)</f>
        <v>01100000111</v>
      </c>
      <c r="G785" s="10" t="str">
        <f>DEC2HEX(E785,3)</f>
        <v>307</v>
      </c>
      <c r="H785" s="10" t="str">
        <f>IF(ROUND(D785/$B$6,0)&gt;$B$7,"YES","NO")</f>
        <v>NO</v>
      </c>
    </row>
    <row r="786" spans="1:8">
      <c r="A786" s="8">
        <v>776</v>
      </c>
      <c r="B786" s="9">
        <f>D785</f>
        <v>908.203125</v>
      </c>
      <c r="C786" s="9">
        <f>$B$6</f>
        <v>1.171875</v>
      </c>
      <c r="D786" s="9">
        <f>B786+C786</f>
        <v>909.375</v>
      </c>
      <c r="E786" s="8">
        <f>MIN($B$7,ROUND(D786/$B$6,0))</f>
        <v>776</v>
      </c>
      <c r="F786" s="8" t="str">
        <f>DEC2BIN(INT(E786/64),5)&amp;DEC2BIN(MOD(E786,64),6)</f>
        <v>01100001000</v>
      </c>
      <c r="G786" s="8" t="str">
        <f>DEC2HEX(E786,3)</f>
        <v>308</v>
      </c>
      <c r="H786" s="8" t="str">
        <f>IF(ROUND(D786/$B$6,0)&gt;$B$7,"YES","NO")</f>
        <v>NO</v>
      </c>
    </row>
    <row r="787" spans="1:8">
      <c r="A787" s="10">
        <v>777</v>
      </c>
      <c r="B787" s="11">
        <f>D786</f>
        <v>909.375</v>
      </c>
      <c r="C787" s="11">
        <f>$B$6</f>
        <v>1.171875</v>
      </c>
      <c r="D787" s="11">
        <f>B787+C787</f>
        <v>910.546875</v>
      </c>
      <c r="E787" s="10">
        <f>MIN($B$7,ROUND(D787/$B$6,0))</f>
        <v>777</v>
      </c>
      <c r="F787" s="10" t="str">
        <f>DEC2BIN(INT(E787/64),5)&amp;DEC2BIN(MOD(E787,64),6)</f>
        <v>01100001001</v>
      </c>
      <c r="G787" s="10" t="str">
        <f>DEC2HEX(E787,3)</f>
        <v>309</v>
      </c>
      <c r="H787" s="10" t="str">
        <f>IF(ROUND(D787/$B$6,0)&gt;$B$7,"YES","NO")</f>
        <v>NO</v>
      </c>
    </row>
    <row r="788" spans="1:8">
      <c r="A788" s="8">
        <v>778</v>
      </c>
      <c r="B788" s="9">
        <f>D787</f>
        <v>910.546875</v>
      </c>
      <c r="C788" s="9">
        <f>$B$6</f>
        <v>1.171875</v>
      </c>
      <c r="D788" s="9">
        <f>B788+C788</f>
        <v>911.71875</v>
      </c>
      <c r="E788" s="8">
        <f>MIN($B$7,ROUND(D788/$B$6,0))</f>
        <v>778</v>
      </c>
      <c r="F788" s="8" t="str">
        <f>DEC2BIN(INT(E788/64),5)&amp;DEC2BIN(MOD(E788,64),6)</f>
        <v>01100001010</v>
      </c>
      <c r="G788" s="8" t="str">
        <f>DEC2HEX(E788,3)</f>
        <v>30A</v>
      </c>
      <c r="H788" s="8" t="str">
        <f>IF(ROUND(D788/$B$6,0)&gt;$B$7,"YES","NO")</f>
        <v>NO</v>
      </c>
    </row>
    <row r="789" spans="1:8">
      <c r="A789" s="10">
        <v>779</v>
      </c>
      <c r="B789" s="11">
        <f>D788</f>
        <v>911.71875</v>
      </c>
      <c r="C789" s="11">
        <f>$B$6</f>
        <v>1.171875</v>
      </c>
      <c r="D789" s="11">
        <f>B789+C789</f>
        <v>912.890625</v>
      </c>
      <c r="E789" s="10">
        <f>MIN($B$7,ROUND(D789/$B$6,0))</f>
        <v>779</v>
      </c>
      <c r="F789" s="10" t="str">
        <f>DEC2BIN(INT(E789/64),5)&amp;DEC2BIN(MOD(E789,64),6)</f>
        <v>01100001011</v>
      </c>
      <c r="G789" s="10" t="str">
        <f>DEC2HEX(E789,3)</f>
        <v>30B</v>
      </c>
      <c r="H789" s="10" t="str">
        <f>IF(ROUND(D789/$B$6,0)&gt;$B$7,"YES","NO")</f>
        <v>NO</v>
      </c>
    </row>
    <row r="790" spans="1:8">
      <c r="A790" s="8">
        <v>780</v>
      </c>
      <c r="B790" s="9">
        <f>D789</f>
        <v>912.890625</v>
      </c>
      <c r="C790" s="9">
        <f>$B$6</f>
        <v>1.171875</v>
      </c>
      <c r="D790" s="9">
        <f>B790+C790</f>
        <v>914.0625</v>
      </c>
      <c r="E790" s="8">
        <f>MIN($B$7,ROUND(D790/$B$6,0))</f>
        <v>780</v>
      </c>
      <c r="F790" s="8" t="str">
        <f>DEC2BIN(INT(E790/64),5)&amp;DEC2BIN(MOD(E790,64),6)</f>
        <v>01100001100</v>
      </c>
      <c r="G790" s="8" t="str">
        <f>DEC2HEX(E790,3)</f>
        <v>30C</v>
      </c>
      <c r="H790" s="8" t="str">
        <f>IF(ROUND(D790/$B$6,0)&gt;$B$7,"YES","NO")</f>
        <v>NO</v>
      </c>
    </row>
    <row r="791" spans="1:8">
      <c r="A791" s="10">
        <v>781</v>
      </c>
      <c r="B791" s="11">
        <f>D790</f>
        <v>914.0625</v>
      </c>
      <c r="C791" s="11">
        <f>$B$6</f>
        <v>1.171875</v>
      </c>
      <c r="D791" s="11">
        <f>B791+C791</f>
        <v>915.234375</v>
      </c>
      <c r="E791" s="10">
        <f>MIN($B$7,ROUND(D791/$B$6,0))</f>
        <v>781</v>
      </c>
      <c r="F791" s="10" t="str">
        <f>DEC2BIN(INT(E791/64),5)&amp;DEC2BIN(MOD(E791,64),6)</f>
        <v>01100001101</v>
      </c>
      <c r="G791" s="10" t="str">
        <f>DEC2HEX(E791,3)</f>
        <v>30D</v>
      </c>
      <c r="H791" s="10" t="str">
        <f>IF(ROUND(D791/$B$6,0)&gt;$B$7,"YES","NO")</f>
        <v>NO</v>
      </c>
    </row>
    <row r="792" spans="1:8">
      <c r="A792" s="8">
        <v>782</v>
      </c>
      <c r="B792" s="9">
        <f>D791</f>
        <v>915.234375</v>
      </c>
      <c r="C792" s="9">
        <f>$B$6</f>
        <v>1.171875</v>
      </c>
      <c r="D792" s="9">
        <f>B792+C792</f>
        <v>916.40625</v>
      </c>
      <c r="E792" s="8">
        <f>MIN($B$7,ROUND(D792/$B$6,0))</f>
        <v>782</v>
      </c>
      <c r="F792" s="8" t="str">
        <f>DEC2BIN(INT(E792/64),5)&amp;DEC2BIN(MOD(E792,64),6)</f>
        <v>01100001110</v>
      </c>
      <c r="G792" s="8" t="str">
        <f>DEC2HEX(E792,3)</f>
        <v>30E</v>
      </c>
      <c r="H792" s="8" t="str">
        <f>IF(ROUND(D792/$B$6,0)&gt;$B$7,"YES","NO")</f>
        <v>NO</v>
      </c>
    </row>
    <row r="793" spans="1:8">
      <c r="A793" s="10">
        <v>783</v>
      </c>
      <c r="B793" s="11">
        <f>D792</f>
        <v>916.40625</v>
      </c>
      <c r="C793" s="11">
        <f>$B$6</f>
        <v>1.171875</v>
      </c>
      <c r="D793" s="11">
        <f>B793+C793</f>
        <v>917.578125</v>
      </c>
      <c r="E793" s="10">
        <f>MIN($B$7,ROUND(D793/$B$6,0))</f>
        <v>783</v>
      </c>
      <c r="F793" s="10" t="str">
        <f>DEC2BIN(INT(E793/64),5)&amp;DEC2BIN(MOD(E793,64),6)</f>
        <v>01100001111</v>
      </c>
      <c r="G793" s="10" t="str">
        <f>DEC2HEX(E793,3)</f>
        <v>30F</v>
      </c>
      <c r="H793" s="10" t="str">
        <f>IF(ROUND(D793/$B$6,0)&gt;$B$7,"YES","NO")</f>
        <v>NO</v>
      </c>
    </row>
    <row r="794" spans="1:8">
      <c r="A794" s="8">
        <v>784</v>
      </c>
      <c r="B794" s="9">
        <f>D793</f>
        <v>917.578125</v>
      </c>
      <c r="C794" s="9">
        <f>$B$6</f>
        <v>1.171875</v>
      </c>
      <c r="D794" s="9">
        <f>B794+C794</f>
        <v>918.75</v>
      </c>
      <c r="E794" s="8">
        <f>MIN($B$7,ROUND(D794/$B$6,0))</f>
        <v>784</v>
      </c>
      <c r="F794" s="8" t="str">
        <f>DEC2BIN(INT(E794/64),5)&amp;DEC2BIN(MOD(E794,64),6)</f>
        <v>01100010000</v>
      </c>
      <c r="G794" s="8" t="str">
        <f>DEC2HEX(E794,3)</f>
        <v>310</v>
      </c>
      <c r="H794" s="8" t="str">
        <f>IF(ROUND(D794/$B$6,0)&gt;$B$7,"YES","NO")</f>
        <v>NO</v>
      </c>
    </row>
    <row r="795" spans="1:8">
      <c r="A795" s="10">
        <v>785</v>
      </c>
      <c r="B795" s="11">
        <f>D794</f>
        <v>918.75</v>
      </c>
      <c r="C795" s="11">
        <f>$B$6</f>
        <v>1.171875</v>
      </c>
      <c r="D795" s="11">
        <f>B795+C795</f>
        <v>919.921875</v>
      </c>
      <c r="E795" s="10">
        <f>MIN($B$7,ROUND(D795/$B$6,0))</f>
        <v>785</v>
      </c>
      <c r="F795" s="10" t="str">
        <f>DEC2BIN(INT(E795/64),5)&amp;DEC2BIN(MOD(E795,64),6)</f>
        <v>01100010001</v>
      </c>
      <c r="G795" s="10" t="str">
        <f>DEC2HEX(E795,3)</f>
        <v>311</v>
      </c>
      <c r="H795" s="10" t="str">
        <f>IF(ROUND(D795/$B$6,0)&gt;$B$7,"YES","NO")</f>
        <v>NO</v>
      </c>
    </row>
    <row r="796" spans="1:8">
      <c r="A796" s="8">
        <v>786</v>
      </c>
      <c r="B796" s="9">
        <f>D795</f>
        <v>919.921875</v>
      </c>
      <c r="C796" s="9">
        <f>$B$6</f>
        <v>1.171875</v>
      </c>
      <c r="D796" s="9">
        <f>B796+C796</f>
        <v>921.09375</v>
      </c>
      <c r="E796" s="8">
        <f>MIN($B$7,ROUND(D796/$B$6,0))</f>
        <v>786</v>
      </c>
      <c r="F796" s="8" t="str">
        <f>DEC2BIN(INT(E796/64),5)&amp;DEC2BIN(MOD(E796,64),6)</f>
        <v>01100010010</v>
      </c>
      <c r="G796" s="8" t="str">
        <f>DEC2HEX(E796,3)</f>
        <v>312</v>
      </c>
      <c r="H796" s="8" t="str">
        <f>IF(ROUND(D796/$B$6,0)&gt;$B$7,"YES","NO")</f>
        <v>NO</v>
      </c>
    </row>
    <row r="797" spans="1:8">
      <c r="A797" s="10">
        <v>787</v>
      </c>
      <c r="B797" s="11">
        <f>D796</f>
        <v>921.09375</v>
      </c>
      <c r="C797" s="11">
        <f>$B$6</f>
        <v>1.171875</v>
      </c>
      <c r="D797" s="11">
        <f>B797+C797</f>
        <v>922.265625</v>
      </c>
      <c r="E797" s="10">
        <f>MIN($B$7,ROUND(D797/$B$6,0))</f>
        <v>787</v>
      </c>
      <c r="F797" s="10" t="str">
        <f>DEC2BIN(INT(E797/64),5)&amp;DEC2BIN(MOD(E797,64),6)</f>
        <v>01100010011</v>
      </c>
      <c r="G797" s="10" t="str">
        <f>DEC2HEX(E797,3)</f>
        <v>313</v>
      </c>
      <c r="H797" s="10" t="str">
        <f>IF(ROUND(D797/$B$6,0)&gt;$B$7,"YES","NO")</f>
        <v>NO</v>
      </c>
    </row>
    <row r="798" spans="1:8">
      <c r="A798" s="8">
        <v>788</v>
      </c>
      <c r="B798" s="9">
        <f>D797</f>
        <v>922.265625</v>
      </c>
      <c r="C798" s="9">
        <f>$B$6</f>
        <v>1.171875</v>
      </c>
      <c r="D798" s="9">
        <f>B798+C798</f>
        <v>923.4375</v>
      </c>
      <c r="E798" s="8">
        <f>MIN($B$7,ROUND(D798/$B$6,0))</f>
        <v>788</v>
      </c>
      <c r="F798" s="8" t="str">
        <f>DEC2BIN(INT(E798/64),5)&amp;DEC2BIN(MOD(E798,64),6)</f>
        <v>01100010100</v>
      </c>
      <c r="G798" s="8" t="str">
        <f>DEC2HEX(E798,3)</f>
        <v>314</v>
      </c>
      <c r="H798" s="8" t="str">
        <f>IF(ROUND(D798/$B$6,0)&gt;$B$7,"YES","NO")</f>
        <v>NO</v>
      </c>
    </row>
    <row r="799" spans="1:8">
      <c r="A799" s="10">
        <v>789</v>
      </c>
      <c r="B799" s="11">
        <f>D798</f>
        <v>923.4375</v>
      </c>
      <c r="C799" s="11">
        <f>$B$6</f>
        <v>1.171875</v>
      </c>
      <c r="D799" s="11">
        <f>B799+C799</f>
        <v>924.609375</v>
      </c>
      <c r="E799" s="10">
        <f>MIN($B$7,ROUND(D799/$B$6,0))</f>
        <v>789</v>
      </c>
      <c r="F799" s="10" t="str">
        <f>DEC2BIN(INT(E799/64),5)&amp;DEC2BIN(MOD(E799,64),6)</f>
        <v>01100010101</v>
      </c>
      <c r="G799" s="10" t="str">
        <f>DEC2HEX(E799,3)</f>
        <v>315</v>
      </c>
      <c r="H799" s="10" t="str">
        <f>IF(ROUND(D799/$B$6,0)&gt;$B$7,"YES","NO")</f>
        <v>NO</v>
      </c>
    </row>
    <row r="800" spans="1:8">
      <c r="A800" s="8">
        <v>790</v>
      </c>
      <c r="B800" s="9">
        <f>D799</f>
        <v>924.609375</v>
      </c>
      <c r="C800" s="9">
        <f>$B$6</f>
        <v>1.171875</v>
      </c>
      <c r="D800" s="9">
        <f>B800+C800</f>
        <v>925.78125</v>
      </c>
      <c r="E800" s="8">
        <f>MIN($B$7,ROUND(D800/$B$6,0))</f>
        <v>790</v>
      </c>
      <c r="F800" s="8" t="str">
        <f>DEC2BIN(INT(E800/64),5)&amp;DEC2BIN(MOD(E800,64),6)</f>
        <v>01100010110</v>
      </c>
      <c r="G800" s="8" t="str">
        <f>DEC2HEX(E800,3)</f>
        <v>316</v>
      </c>
      <c r="H800" s="8" t="str">
        <f>IF(ROUND(D800/$B$6,0)&gt;$B$7,"YES","NO")</f>
        <v>NO</v>
      </c>
    </row>
    <row r="801" spans="1:8">
      <c r="A801" s="10">
        <v>791</v>
      </c>
      <c r="B801" s="11">
        <f>D800</f>
        <v>925.78125</v>
      </c>
      <c r="C801" s="11">
        <f>$B$6</f>
        <v>1.171875</v>
      </c>
      <c r="D801" s="11">
        <f>B801+C801</f>
        <v>926.953125</v>
      </c>
      <c r="E801" s="10">
        <f>MIN($B$7,ROUND(D801/$B$6,0))</f>
        <v>791</v>
      </c>
      <c r="F801" s="10" t="str">
        <f>DEC2BIN(INT(E801/64),5)&amp;DEC2BIN(MOD(E801,64),6)</f>
        <v>01100010111</v>
      </c>
      <c r="G801" s="10" t="str">
        <f>DEC2HEX(E801,3)</f>
        <v>317</v>
      </c>
      <c r="H801" s="10" t="str">
        <f>IF(ROUND(D801/$B$6,0)&gt;$B$7,"YES","NO")</f>
        <v>NO</v>
      </c>
    </row>
    <row r="802" spans="1:8">
      <c r="A802" s="8">
        <v>792</v>
      </c>
      <c r="B802" s="9">
        <f>D801</f>
        <v>926.953125</v>
      </c>
      <c r="C802" s="9">
        <f>$B$6</f>
        <v>1.171875</v>
      </c>
      <c r="D802" s="9">
        <f>B802+C802</f>
        <v>928.125</v>
      </c>
      <c r="E802" s="8">
        <f>MIN($B$7,ROUND(D802/$B$6,0))</f>
        <v>792</v>
      </c>
      <c r="F802" s="8" t="str">
        <f>DEC2BIN(INT(E802/64),5)&amp;DEC2BIN(MOD(E802,64),6)</f>
        <v>01100011000</v>
      </c>
      <c r="G802" s="8" t="str">
        <f>DEC2HEX(E802,3)</f>
        <v>318</v>
      </c>
      <c r="H802" s="8" t="str">
        <f>IF(ROUND(D802/$B$6,0)&gt;$B$7,"YES","NO")</f>
        <v>NO</v>
      </c>
    </row>
    <row r="803" spans="1:8">
      <c r="A803" s="10">
        <v>793</v>
      </c>
      <c r="B803" s="11">
        <f>D802</f>
        <v>928.125</v>
      </c>
      <c r="C803" s="11">
        <f>$B$6</f>
        <v>1.171875</v>
      </c>
      <c r="D803" s="11">
        <f>B803+C803</f>
        <v>929.296875</v>
      </c>
      <c r="E803" s="10">
        <f>MIN($B$7,ROUND(D803/$B$6,0))</f>
        <v>793</v>
      </c>
      <c r="F803" s="10" t="str">
        <f>DEC2BIN(INT(E803/64),5)&amp;DEC2BIN(MOD(E803,64),6)</f>
        <v>01100011001</v>
      </c>
      <c r="G803" s="10" t="str">
        <f>DEC2HEX(E803,3)</f>
        <v>319</v>
      </c>
      <c r="H803" s="10" t="str">
        <f>IF(ROUND(D803/$B$6,0)&gt;$B$7,"YES","NO")</f>
        <v>NO</v>
      </c>
    </row>
    <row r="804" spans="1:8">
      <c r="A804" s="8">
        <v>794</v>
      </c>
      <c r="B804" s="9">
        <f>D803</f>
        <v>929.296875</v>
      </c>
      <c r="C804" s="9">
        <f>$B$6</f>
        <v>1.171875</v>
      </c>
      <c r="D804" s="9">
        <f>B804+C804</f>
        <v>930.46875</v>
      </c>
      <c r="E804" s="8">
        <f>MIN($B$7,ROUND(D804/$B$6,0))</f>
        <v>794</v>
      </c>
      <c r="F804" s="8" t="str">
        <f>DEC2BIN(INT(E804/64),5)&amp;DEC2BIN(MOD(E804,64),6)</f>
        <v>01100011010</v>
      </c>
      <c r="G804" s="8" t="str">
        <f>DEC2HEX(E804,3)</f>
        <v>31A</v>
      </c>
      <c r="H804" s="8" t="str">
        <f>IF(ROUND(D804/$B$6,0)&gt;$B$7,"YES","NO")</f>
        <v>NO</v>
      </c>
    </row>
    <row r="805" spans="1:8">
      <c r="A805" s="10">
        <v>795</v>
      </c>
      <c r="B805" s="11">
        <f>D804</f>
        <v>930.46875</v>
      </c>
      <c r="C805" s="11">
        <f>$B$6</f>
        <v>1.171875</v>
      </c>
      <c r="D805" s="11">
        <f>B805+C805</f>
        <v>931.640625</v>
      </c>
      <c r="E805" s="10">
        <f>MIN($B$7,ROUND(D805/$B$6,0))</f>
        <v>795</v>
      </c>
      <c r="F805" s="10" t="str">
        <f>DEC2BIN(INT(E805/64),5)&amp;DEC2BIN(MOD(E805,64),6)</f>
        <v>01100011011</v>
      </c>
      <c r="G805" s="10" t="str">
        <f>DEC2HEX(E805,3)</f>
        <v>31B</v>
      </c>
      <c r="H805" s="10" t="str">
        <f>IF(ROUND(D805/$B$6,0)&gt;$B$7,"YES","NO")</f>
        <v>NO</v>
      </c>
    </row>
    <row r="806" spans="1:8">
      <c r="A806" s="8">
        <v>796</v>
      </c>
      <c r="B806" s="9">
        <f>D805</f>
        <v>931.640625</v>
      </c>
      <c r="C806" s="9">
        <f>$B$6</f>
        <v>1.171875</v>
      </c>
      <c r="D806" s="9">
        <f>B806+C806</f>
        <v>932.8125</v>
      </c>
      <c r="E806" s="8">
        <f>MIN($B$7,ROUND(D806/$B$6,0))</f>
        <v>796</v>
      </c>
      <c r="F806" s="8" t="str">
        <f>DEC2BIN(INT(E806/64),5)&amp;DEC2BIN(MOD(E806,64),6)</f>
        <v>01100011100</v>
      </c>
      <c r="G806" s="8" t="str">
        <f>DEC2HEX(E806,3)</f>
        <v>31C</v>
      </c>
      <c r="H806" s="8" t="str">
        <f>IF(ROUND(D806/$B$6,0)&gt;$B$7,"YES","NO")</f>
        <v>NO</v>
      </c>
    </row>
    <row r="807" spans="1:8">
      <c r="A807" s="10">
        <v>797</v>
      </c>
      <c r="B807" s="11">
        <f>D806</f>
        <v>932.8125</v>
      </c>
      <c r="C807" s="11">
        <f>$B$6</f>
        <v>1.171875</v>
      </c>
      <c r="D807" s="11">
        <f>B807+C807</f>
        <v>933.984375</v>
      </c>
      <c r="E807" s="10">
        <f>MIN($B$7,ROUND(D807/$B$6,0))</f>
        <v>797</v>
      </c>
      <c r="F807" s="10" t="str">
        <f>DEC2BIN(INT(E807/64),5)&amp;DEC2BIN(MOD(E807,64),6)</f>
        <v>01100011101</v>
      </c>
      <c r="G807" s="10" t="str">
        <f>DEC2HEX(E807,3)</f>
        <v>31D</v>
      </c>
      <c r="H807" s="10" t="str">
        <f>IF(ROUND(D807/$B$6,0)&gt;$B$7,"YES","NO")</f>
        <v>NO</v>
      </c>
    </row>
    <row r="808" spans="1:8">
      <c r="A808" s="8">
        <v>798</v>
      </c>
      <c r="B808" s="9">
        <f>D807</f>
        <v>933.984375</v>
      </c>
      <c r="C808" s="9">
        <f>$B$6</f>
        <v>1.171875</v>
      </c>
      <c r="D808" s="9">
        <f>B808+C808</f>
        <v>935.15625</v>
      </c>
      <c r="E808" s="8">
        <f>MIN($B$7,ROUND(D808/$B$6,0))</f>
        <v>798</v>
      </c>
      <c r="F808" s="8" t="str">
        <f>DEC2BIN(INT(E808/64),5)&amp;DEC2BIN(MOD(E808,64),6)</f>
        <v>01100011110</v>
      </c>
      <c r="G808" s="8" t="str">
        <f>DEC2HEX(E808,3)</f>
        <v>31E</v>
      </c>
      <c r="H808" s="8" t="str">
        <f>IF(ROUND(D808/$B$6,0)&gt;$B$7,"YES","NO")</f>
        <v>NO</v>
      </c>
    </row>
    <row r="809" spans="1:8">
      <c r="A809" s="10">
        <v>799</v>
      </c>
      <c r="B809" s="11">
        <f>D808</f>
        <v>935.15625</v>
      </c>
      <c r="C809" s="11">
        <f>$B$6</f>
        <v>1.171875</v>
      </c>
      <c r="D809" s="11">
        <f>B809+C809</f>
        <v>936.328125</v>
      </c>
      <c r="E809" s="10">
        <f>MIN($B$7,ROUND(D809/$B$6,0))</f>
        <v>799</v>
      </c>
      <c r="F809" s="10" t="str">
        <f>DEC2BIN(INT(E809/64),5)&amp;DEC2BIN(MOD(E809,64),6)</f>
        <v>01100011111</v>
      </c>
      <c r="G809" s="10" t="str">
        <f>DEC2HEX(E809,3)</f>
        <v>31F</v>
      </c>
      <c r="H809" s="10" t="str">
        <f>IF(ROUND(D809/$B$6,0)&gt;$B$7,"YES","NO")</f>
        <v>NO</v>
      </c>
    </row>
    <row r="810" spans="1:8">
      <c r="A810" s="8">
        <v>800</v>
      </c>
      <c r="B810" s="9">
        <f>D809</f>
        <v>936.328125</v>
      </c>
      <c r="C810" s="9">
        <f>$B$6</f>
        <v>1.171875</v>
      </c>
      <c r="D810" s="9">
        <f>B810+C810</f>
        <v>937.5</v>
      </c>
      <c r="E810" s="8">
        <f>MIN($B$7,ROUND(D810/$B$6,0))</f>
        <v>800</v>
      </c>
      <c r="F810" s="8" t="str">
        <f>DEC2BIN(INT(E810/64),5)&amp;DEC2BIN(MOD(E810,64),6)</f>
        <v>01100100000</v>
      </c>
      <c r="G810" s="8" t="str">
        <f>DEC2HEX(E810,3)</f>
        <v>320</v>
      </c>
      <c r="H810" s="8" t="str">
        <f>IF(ROUND(D810/$B$6,0)&gt;$B$7,"YES","NO")</f>
        <v>NO</v>
      </c>
    </row>
    <row r="811" spans="1:8">
      <c r="A811" s="10">
        <v>801</v>
      </c>
      <c r="B811" s="11">
        <f>D810</f>
        <v>937.5</v>
      </c>
      <c r="C811" s="11">
        <f>$B$6</f>
        <v>1.171875</v>
      </c>
      <c r="D811" s="11">
        <f>B811+C811</f>
        <v>938.671875</v>
      </c>
      <c r="E811" s="10">
        <f>MIN($B$7,ROUND(D811/$B$6,0))</f>
        <v>801</v>
      </c>
      <c r="F811" s="10" t="str">
        <f>DEC2BIN(INT(E811/64),5)&amp;DEC2BIN(MOD(E811,64),6)</f>
        <v>01100100001</v>
      </c>
      <c r="G811" s="10" t="str">
        <f>DEC2HEX(E811,3)</f>
        <v>321</v>
      </c>
      <c r="H811" s="10" t="str">
        <f>IF(ROUND(D811/$B$6,0)&gt;$B$7,"YES","NO")</f>
        <v>NO</v>
      </c>
    </row>
    <row r="812" spans="1:8">
      <c r="A812" s="8">
        <v>802</v>
      </c>
      <c r="B812" s="9">
        <f>D811</f>
        <v>938.671875</v>
      </c>
      <c r="C812" s="9">
        <f>$B$6</f>
        <v>1.171875</v>
      </c>
      <c r="D812" s="9">
        <f>B812+C812</f>
        <v>939.84375</v>
      </c>
      <c r="E812" s="8">
        <f>MIN($B$7,ROUND(D812/$B$6,0))</f>
        <v>802</v>
      </c>
      <c r="F812" s="8" t="str">
        <f>DEC2BIN(INT(E812/64),5)&amp;DEC2BIN(MOD(E812,64),6)</f>
        <v>01100100010</v>
      </c>
      <c r="G812" s="8" t="str">
        <f>DEC2HEX(E812,3)</f>
        <v>322</v>
      </c>
      <c r="H812" s="8" t="str">
        <f>IF(ROUND(D812/$B$6,0)&gt;$B$7,"YES","NO")</f>
        <v>NO</v>
      </c>
    </row>
    <row r="813" spans="1:8">
      <c r="A813" s="10">
        <v>803</v>
      </c>
      <c r="B813" s="11">
        <f>D812</f>
        <v>939.84375</v>
      </c>
      <c r="C813" s="11">
        <f>$B$6</f>
        <v>1.171875</v>
      </c>
      <c r="D813" s="11">
        <f>B813+C813</f>
        <v>941.015625</v>
      </c>
      <c r="E813" s="10">
        <f>MIN($B$7,ROUND(D813/$B$6,0))</f>
        <v>803</v>
      </c>
      <c r="F813" s="10" t="str">
        <f>DEC2BIN(INT(E813/64),5)&amp;DEC2BIN(MOD(E813,64),6)</f>
        <v>01100100011</v>
      </c>
      <c r="G813" s="10" t="str">
        <f>DEC2HEX(E813,3)</f>
        <v>323</v>
      </c>
      <c r="H813" s="10" t="str">
        <f>IF(ROUND(D813/$B$6,0)&gt;$B$7,"YES","NO")</f>
        <v>NO</v>
      </c>
    </row>
    <row r="814" spans="1:8">
      <c r="A814" s="8">
        <v>804</v>
      </c>
      <c r="B814" s="9">
        <f>D813</f>
        <v>941.015625</v>
      </c>
      <c r="C814" s="9">
        <f>$B$6</f>
        <v>1.171875</v>
      </c>
      <c r="D814" s="9">
        <f>B814+C814</f>
        <v>942.1875</v>
      </c>
      <c r="E814" s="8">
        <f>MIN($B$7,ROUND(D814/$B$6,0))</f>
        <v>804</v>
      </c>
      <c r="F814" s="8" t="str">
        <f>DEC2BIN(INT(E814/64),5)&amp;DEC2BIN(MOD(E814,64),6)</f>
        <v>01100100100</v>
      </c>
      <c r="G814" s="8" t="str">
        <f>DEC2HEX(E814,3)</f>
        <v>324</v>
      </c>
      <c r="H814" s="8" t="str">
        <f>IF(ROUND(D814/$B$6,0)&gt;$B$7,"YES","NO")</f>
        <v>NO</v>
      </c>
    </row>
    <row r="815" spans="1:8">
      <c r="A815" s="10">
        <v>805</v>
      </c>
      <c r="B815" s="11">
        <f>D814</f>
        <v>942.1875</v>
      </c>
      <c r="C815" s="11">
        <f>$B$6</f>
        <v>1.171875</v>
      </c>
      <c r="D815" s="11">
        <f>B815+C815</f>
        <v>943.359375</v>
      </c>
      <c r="E815" s="10">
        <f>MIN($B$7,ROUND(D815/$B$6,0))</f>
        <v>805</v>
      </c>
      <c r="F815" s="10" t="str">
        <f>DEC2BIN(INT(E815/64),5)&amp;DEC2BIN(MOD(E815,64),6)</f>
        <v>01100100101</v>
      </c>
      <c r="G815" s="10" t="str">
        <f>DEC2HEX(E815,3)</f>
        <v>325</v>
      </c>
      <c r="H815" s="10" t="str">
        <f>IF(ROUND(D815/$B$6,0)&gt;$B$7,"YES","NO")</f>
        <v>NO</v>
      </c>
    </row>
    <row r="816" spans="1:8">
      <c r="A816" s="8">
        <v>806</v>
      </c>
      <c r="B816" s="9">
        <f>D815</f>
        <v>943.359375</v>
      </c>
      <c r="C816" s="9">
        <f>$B$6</f>
        <v>1.171875</v>
      </c>
      <c r="D816" s="9">
        <f>B816+C816</f>
        <v>944.53125</v>
      </c>
      <c r="E816" s="8">
        <f>MIN($B$7,ROUND(D816/$B$6,0))</f>
        <v>806</v>
      </c>
      <c r="F816" s="8" t="str">
        <f>DEC2BIN(INT(E816/64),5)&amp;DEC2BIN(MOD(E816,64),6)</f>
        <v>01100100110</v>
      </c>
      <c r="G816" s="8" t="str">
        <f>DEC2HEX(E816,3)</f>
        <v>326</v>
      </c>
      <c r="H816" s="8" t="str">
        <f>IF(ROUND(D816/$B$6,0)&gt;$B$7,"YES","NO")</f>
        <v>NO</v>
      </c>
    </row>
    <row r="817" spans="1:8">
      <c r="A817" s="10">
        <v>807</v>
      </c>
      <c r="B817" s="11">
        <f>D816</f>
        <v>944.53125</v>
      </c>
      <c r="C817" s="11">
        <f>$B$6</f>
        <v>1.171875</v>
      </c>
      <c r="D817" s="11">
        <f>B817+C817</f>
        <v>945.703125</v>
      </c>
      <c r="E817" s="10">
        <f>MIN($B$7,ROUND(D817/$B$6,0))</f>
        <v>807</v>
      </c>
      <c r="F817" s="10" t="str">
        <f>DEC2BIN(INT(E817/64),5)&amp;DEC2BIN(MOD(E817,64),6)</f>
        <v>01100100111</v>
      </c>
      <c r="G817" s="10" t="str">
        <f>DEC2HEX(E817,3)</f>
        <v>327</v>
      </c>
      <c r="H817" s="10" t="str">
        <f>IF(ROUND(D817/$B$6,0)&gt;$B$7,"YES","NO")</f>
        <v>NO</v>
      </c>
    </row>
    <row r="818" spans="1:8">
      <c r="A818" s="8">
        <v>808</v>
      </c>
      <c r="B818" s="9">
        <f>D817</f>
        <v>945.703125</v>
      </c>
      <c r="C818" s="9">
        <f>$B$6</f>
        <v>1.171875</v>
      </c>
      <c r="D818" s="9">
        <f>B818+C818</f>
        <v>946.875</v>
      </c>
      <c r="E818" s="8">
        <f>MIN($B$7,ROUND(D818/$B$6,0))</f>
        <v>808</v>
      </c>
      <c r="F818" s="8" t="str">
        <f>DEC2BIN(INT(E818/64),5)&amp;DEC2BIN(MOD(E818,64),6)</f>
        <v>01100101000</v>
      </c>
      <c r="G818" s="8" t="str">
        <f>DEC2HEX(E818,3)</f>
        <v>328</v>
      </c>
      <c r="H818" s="8" t="str">
        <f>IF(ROUND(D818/$B$6,0)&gt;$B$7,"YES","NO")</f>
        <v>NO</v>
      </c>
    </row>
    <row r="819" spans="1:8">
      <c r="A819" s="10">
        <v>809</v>
      </c>
      <c r="B819" s="11">
        <f>D818</f>
        <v>946.875</v>
      </c>
      <c r="C819" s="11">
        <f>$B$6</f>
        <v>1.171875</v>
      </c>
      <c r="D819" s="11">
        <f>B819+C819</f>
        <v>948.046875</v>
      </c>
      <c r="E819" s="10">
        <f>MIN($B$7,ROUND(D819/$B$6,0))</f>
        <v>809</v>
      </c>
      <c r="F819" s="10" t="str">
        <f>DEC2BIN(INT(E819/64),5)&amp;DEC2BIN(MOD(E819,64),6)</f>
        <v>01100101001</v>
      </c>
      <c r="G819" s="10" t="str">
        <f>DEC2HEX(E819,3)</f>
        <v>329</v>
      </c>
      <c r="H819" s="10" t="str">
        <f>IF(ROUND(D819/$B$6,0)&gt;$B$7,"YES","NO")</f>
        <v>NO</v>
      </c>
    </row>
    <row r="820" spans="1:8">
      <c r="A820" s="8">
        <v>810</v>
      </c>
      <c r="B820" s="9">
        <f>D819</f>
        <v>948.046875</v>
      </c>
      <c r="C820" s="9">
        <f>$B$6</f>
        <v>1.171875</v>
      </c>
      <c r="D820" s="9">
        <f>B820+C820</f>
        <v>949.21875</v>
      </c>
      <c r="E820" s="8">
        <f>MIN($B$7,ROUND(D820/$B$6,0))</f>
        <v>810</v>
      </c>
      <c r="F820" s="8" t="str">
        <f>DEC2BIN(INT(E820/64),5)&amp;DEC2BIN(MOD(E820,64),6)</f>
        <v>01100101010</v>
      </c>
      <c r="G820" s="8" t="str">
        <f>DEC2HEX(E820,3)</f>
        <v>32A</v>
      </c>
      <c r="H820" s="8" t="str">
        <f>IF(ROUND(D820/$B$6,0)&gt;$B$7,"YES","NO")</f>
        <v>NO</v>
      </c>
    </row>
    <row r="821" spans="1:8">
      <c r="A821" s="10">
        <v>811</v>
      </c>
      <c r="B821" s="11">
        <f>D820</f>
        <v>949.21875</v>
      </c>
      <c r="C821" s="11">
        <f>$B$6</f>
        <v>1.171875</v>
      </c>
      <c r="D821" s="11">
        <f>B821+C821</f>
        <v>950.390625</v>
      </c>
      <c r="E821" s="10">
        <f>MIN($B$7,ROUND(D821/$B$6,0))</f>
        <v>811</v>
      </c>
      <c r="F821" s="10" t="str">
        <f>DEC2BIN(INT(E821/64),5)&amp;DEC2BIN(MOD(E821,64),6)</f>
        <v>01100101011</v>
      </c>
      <c r="G821" s="10" t="str">
        <f>DEC2HEX(E821,3)</f>
        <v>32B</v>
      </c>
      <c r="H821" s="10" t="str">
        <f>IF(ROUND(D821/$B$6,0)&gt;$B$7,"YES","NO")</f>
        <v>NO</v>
      </c>
    </row>
    <row r="822" spans="1:8">
      <c r="A822" s="8">
        <v>812</v>
      </c>
      <c r="B822" s="9">
        <f>D821</f>
        <v>950.390625</v>
      </c>
      <c r="C822" s="9">
        <f>$B$6</f>
        <v>1.171875</v>
      </c>
      <c r="D822" s="9">
        <f>B822+C822</f>
        <v>951.5625</v>
      </c>
      <c r="E822" s="8">
        <f>MIN($B$7,ROUND(D822/$B$6,0))</f>
        <v>812</v>
      </c>
      <c r="F822" s="8" t="str">
        <f>DEC2BIN(INT(E822/64),5)&amp;DEC2BIN(MOD(E822,64),6)</f>
        <v>01100101100</v>
      </c>
      <c r="G822" s="8" t="str">
        <f>DEC2HEX(E822,3)</f>
        <v>32C</v>
      </c>
      <c r="H822" s="8" t="str">
        <f>IF(ROUND(D822/$B$6,0)&gt;$B$7,"YES","NO")</f>
        <v>NO</v>
      </c>
    </row>
    <row r="823" spans="1:8">
      <c r="A823" s="10">
        <v>813</v>
      </c>
      <c r="B823" s="11">
        <f>D822</f>
        <v>951.5625</v>
      </c>
      <c r="C823" s="11">
        <f>$B$6</f>
        <v>1.171875</v>
      </c>
      <c r="D823" s="11">
        <f>B823+C823</f>
        <v>952.734375</v>
      </c>
      <c r="E823" s="10">
        <f>MIN($B$7,ROUND(D823/$B$6,0))</f>
        <v>813</v>
      </c>
      <c r="F823" s="10" t="str">
        <f>DEC2BIN(INT(E823/64),5)&amp;DEC2BIN(MOD(E823,64),6)</f>
        <v>01100101101</v>
      </c>
      <c r="G823" s="10" t="str">
        <f>DEC2HEX(E823,3)</f>
        <v>32D</v>
      </c>
      <c r="H823" s="10" t="str">
        <f>IF(ROUND(D823/$B$6,0)&gt;$B$7,"YES","NO")</f>
        <v>NO</v>
      </c>
    </row>
    <row r="824" spans="1:8">
      <c r="A824" s="8">
        <v>814</v>
      </c>
      <c r="B824" s="9">
        <f>D823</f>
        <v>952.734375</v>
      </c>
      <c r="C824" s="9">
        <f>$B$6</f>
        <v>1.171875</v>
      </c>
      <c r="D824" s="9">
        <f>B824+C824</f>
        <v>953.90625</v>
      </c>
      <c r="E824" s="8">
        <f>MIN($B$7,ROUND(D824/$B$6,0))</f>
        <v>814</v>
      </c>
      <c r="F824" s="8" t="str">
        <f>DEC2BIN(INT(E824/64),5)&amp;DEC2BIN(MOD(E824,64),6)</f>
        <v>01100101110</v>
      </c>
      <c r="G824" s="8" t="str">
        <f>DEC2HEX(E824,3)</f>
        <v>32E</v>
      </c>
      <c r="H824" s="8" t="str">
        <f>IF(ROUND(D824/$B$6,0)&gt;$B$7,"YES","NO")</f>
        <v>NO</v>
      </c>
    </row>
    <row r="825" spans="1:8">
      <c r="A825" s="10">
        <v>815</v>
      </c>
      <c r="B825" s="11">
        <f>D824</f>
        <v>953.90625</v>
      </c>
      <c r="C825" s="11">
        <f>$B$6</f>
        <v>1.171875</v>
      </c>
      <c r="D825" s="11">
        <f>B825+C825</f>
        <v>955.078125</v>
      </c>
      <c r="E825" s="10">
        <f>MIN($B$7,ROUND(D825/$B$6,0))</f>
        <v>815</v>
      </c>
      <c r="F825" s="10" t="str">
        <f>DEC2BIN(INT(E825/64),5)&amp;DEC2BIN(MOD(E825,64),6)</f>
        <v>01100101111</v>
      </c>
      <c r="G825" s="10" t="str">
        <f>DEC2HEX(E825,3)</f>
        <v>32F</v>
      </c>
      <c r="H825" s="10" t="str">
        <f>IF(ROUND(D825/$B$6,0)&gt;$B$7,"YES","NO")</f>
        <v>NO</v>
      </c>
    </row>
    <row r="826" spans="1:8">
      <c r="A826" s="8">
        <v>816</v>
      </c>
      <c r="B826" s="9">
        <f>D825</f>
        <v>955.078125</v>
      </c>
      <c r="C826" s="9">
        <f>$B$6</f>
        <v>1.171875</v>
      </c>
      <c r="D826" s="9">
        <f>B826+C826</f>
        <v>956.25</v>
      </c>
      <c r="E826" s="8">
        <f>MIN($B$7,ROUND(D826/$B$6,0))</f>
        <v>816</v>
      </c>
      <c r="F826" s="8" t="str">
        <f>DEC2BIN(INT(E826/64),5)&amp;DEC2BIN(MOD(E826,64),6)</f>
        <v>01100110000</v>
      </c>
      <c r="G826" s="8" t="str">
        <f>DEC2HEX(E826,3)</f>
        <v>330</v>
      </c>
      <c r="H826" s="8" t="str">
        <f>IF(ROUND(D826/$B$6,0)&gt;$B$7,"YES","NO")</f>
        <v>NO</v>
      </c>
    </row>
    <row r="827" spans="1:8">
      <c r="A827" s="10">
        <v>817</v>
      </c>
      <c r="B827" s="11">
        <f>D826</f>
        <v>956.25</v>
      </c>
      <c r="C827" s="11">
        <f>$B$6</f>
        <v>1.171875</v>
      </c>
      <c r="D827" s="11">
        <f>B827+C827</f>
        <v>957.421875</v>
      </c>
      <c r="E827" s="10">
        <f>MIN($B$7,ROUND(D827/$B$6,0))</f>
        <v>817</v>
      </c>
      <c r="F827" s="10" t="str">
        <f>DEC2BIN(INT(E827/64),5)&amp;DEC2BIN(MOD(E827,64),6)</f>
        <v>01100110001</v>
      </c>
      <c r="G827" s="10" t="str">
        <f>DEC2HEX(E827,3)</f>
        <v>331</v>
      </c>
      <c r="H827" s="10" t="str">
        <f>IF(ROUND(D827/$B$6,0)&gt;$B$7,"YES","NO")</f>
        <v>NO</v>
      </c>
    </row>
    <row r="828" spans="1:8">
      <c r="A828" s="8">
        <v>818</v>
      </c>
      <c r="B828" s="9">
        <f>D827</f>
        <v>957.421875</v>
      </c>
      <c r="C828" s="9">
        <f>$B$6</f>
        <v>1.171875</v>
      </c>
      <c r="D828" s="9">
        <f>B828+C828</f>
        <v>958.59375</v>
      </c>
      <c r="E828" s="8">
        <f>MIN($B$7,ROUND(D828/$B$6,0))</f>
        <v>818</v>
      </c>
      <c r="F828" s="8" t="str">
        <f>DEC2BIN(INT(E828/64),5)&amp;DEC2BIN(MOD(E828,64),6)</f>
        <v>01100110010</v>
      </c>
      <c r="G828" s="8" t="str">
        <f>DEC2HEX(E828,3)</f>
        <v>332</v>
      </c>
      <c r="H828" s="8" t="str">
        <f>IF(ROUND(D828/$B$6,0)&gt;$B$7,"YES","NO")</f>
        <v>NO</v>
      </c>
    </row>
    <row r="829" spans="1:8">
      <c r="A829" s="10">
        <v>819</v>
      </c>
      <c r="B829" s="11">
        <f>D828</f>
        <v>958.59375</v>
      </c>
      <c r="C829" s="11">
        <f>$B$6</f>
        <v>1.171875</v>
      </c>
      <c r="D829" s="11">
        <f>B829+C829</f>
        <v>959.765625</v>
      </c>
      <c r="E829" s="10">
        <f>MIN($B$7,ROUND(D829/$B$6,0))</f>
        <v>819</v>
      </c>
      <c r="F829" s="10" t="str">
        <f>DEC2BIN(INT(E829/64),5)&amp;DEC2BIN(MOD(E829,64),6)</f>
        <v>01100110011</v>
      </c>
      <c r="G829" s="10" t="str">
        <f>DEC2HEX(E829,3)</f>
        <v>333</v>
      </c>
      <c r="H829" s="10" t="str">
        <f>IF(ROUND(D829/$B$6,0)&gt;$B$7,"YES","NO")</f>
        <v>NO</v>
      </c>
    </row>
    <row r="830" spans="1:8">
      <c r="A830" s="8">
        <v>820</v>
      </c>
      <c r="B830" s="9">
        <f>D829</f>
        <v>959.765625</v>
      </c>
      <c r="C830" s="9">
        <f>$B$6</f>
        <v>1.171875</v>
      </c>
      <c r="D830" s="9">
        <f>B830+C830</f>
        <v>960.9375</v>
      </c>
      <c r="E830" s="8">
        <f>MIN($B$7,ROUND(D830/$B$6,0))</f>
        <v>820</v>
      </c>
      <c r="F830" s="8" t="str">
        <f>DEC2BIN(INT(E830/64),5)&amp;DEC2BIN(MOD(E830,64),6)</f>
        <v>01100110100</v>
      </c>
      <c r="G830" s="8" t="str">
        <f>DEC2HEX(E830,3)</f>
        <v>334</v>
      </c>
      <c r="H830" s="8" t="str">
        <f>IF(ROUND(D830/$B$6,0)&gt;$B$7,"YES","NO")</f>
        <v>NO</v>
      </c>
    </row>
    <row r="831" spans="1:8">
      <c r="A831" s="10">
        <v>821</v>
      </c>
      <c r="B831" s="11">
        <f>D830</f>
        <v>960.9375</v>
      </c>
      <c r="C831" s="11">
        <f>$B$6</f>
        <v>1.171875</v>
      </c>
      <c r="D831" s="11">
        <f>B831+C831</f>
        <v>962.109375</v>
      </c>
      <c r="E831" s="10">
        <f>MIN($B$7,ROUND(D831/$B$6,0))</f>
        <v>821</v>
      </c>
      <c r="F831" s="10" t="str">
        <f>DEC2BIN(INT(E831/64),5)&amp;DEC2BIN(MOD(E831,64),6)</f>
        <v>01100110101</v>
      </c>
      <c r="G831" s="10" t="str">
        <f>DEC2HEX(E831,3)</f>
        <v>335</v>
      </c>
      <c r="H831" s="10" t="str">
        <f>IF(ROUND(D831/$B$6,0)&gt;$B$7,"YES","NO")</f>
        <v>NO</v>
      </c>
    </row>
    <row r="832" spans="1:8">
      <c r="A832" s="8">
        <v>822</v>
      </c>
      <c r="B832" s="9">
        <f>D831</f>
        <v>962.109375</v>
      </c>
      <c r="C832" s="9">
        <f>$B$6</f>
        <v>1.171875</v>
      </c>
      <c r="D832" s="9">
        <f>B832+C832</f>
        <v>963.28125</v>
      </c>
      <c r="E832" s="8">
        <f>MIN($B$7,ROUND(D832/$B$6,0))</f>
        <v>822</v>
      </c>
      <c r="F832" s="8" t="str">
        <f>DEC2BIN(INT(E832/64),5)&amp;DEC2BIN(MOD(E832,64),6)</f>
        <v>01100110110</v>
      </c>
      <c r="G832" s="8" t="str">
        <f>DEC2HEX(E832,3)</f>
        <v>336</v>
      </c>
      <c r="H832" s="8" t="str">
        <f>IF(ROUND(D832/$B$6,0)&gt;$B$7,"YES","NO")</f>
        <v>NO</v>
      </c>
    </row>
    <row r="833" spans="1:8">
      <c r="A833" s="10">
        <v>823</v>
      </c>
      <c r="B833" s="11">
        <f>D832</f>
        <v>963.28125</v>
      </c>
      <c r="C833" s="11">
        <f>$B$6</f>
        <v>1.171875</v>
      </c>
      <c r="D833" s="11">
        <f>B833+C833</f>
        <v>964.453125</v>
      </c>
      <c r="E833" s="10">
        <f>MIN($B$7,ROUND(D833/$B$6,0))</f>
        <v>823</v>
      </c>
      <c r="F833" s="10" t="str">
        <f>DEC2BIN(INT(E833/64),5)&amp;DEC2BIN(MOD(E833,64),6)</f>
        <v>01100110111</v>
      </c>
      <c r="G833" s="10" t="str">
        <f>DEC2HEX(E833,3)</f>
        <v>337</v>
      </c>
      <c r="H833" s="10" t="str">
        <f>IF(ROUND(D833/$B$6,0)&gt;$B$7,"YES","NO")</f>
        <v>NO</v>
      </c>
    </row>
    <row r="834" spans="1:8">
      <c r="A834" s="8">
        <v>824</v>
      </c>
      <c r="B834" s="9">
        <f>D833</f>
        <v>964.453125</v>
      </c>
      <c r="C834" s="9">
        <f>$B$6</f>
        <v>1.171875</v>
      </c>
      <c r="D834" s="9">
        <f>B834+C834</f>
        <v>965.625</v>
      </c>
      <c r="E834" s="8">
        <f>MIN($B$7,ROUND(D834/$B$6,0))</f>
        <v>824</v>
      </c>
      <c r="F834" s="8" t="str">
        <f>DEC2BIN(INT(E834/64),5)&amp;DEC2BIN(MOD(E834,64),6)</f>
        <v>01100111000</v>
      </c>
      <c r="G834" s="8" t="str">
        <f>DEC2HEX(E834,3)</f>
        <v>338</v>
      </c>
      <c r="H834" s="8" t="str">
        <f>IF(ROUND(D834/$B$6,0)&gt;$B$7,"YES","NO")</f>
        <v>NO</v>
      </c>
    </row>
    <row r="835" spans="1:8">
      <c r="A835" s="10">
        <v>825</v>
      </c>
      <c r="B835" s="11">
        <f>D834</f>
        <v>965.625</v>
      </c>
      <c r="C835" s="11">
        <f>$B$6</f>
        <v>1.171875</v>
      </c>
      <c r="D835" s="11">
        <f>B835+C835</f>
        <v>966.796875</v>
      </c>
      <c r="E835" s="10">
        <f>MIN($B$7,ROUND(D835/$B$6,0))</f>
        <v>825</v>
      </c>
      <c r="F835" s="10" t="str">
        <f>DEC2BIN(INT(E835/64),5)&amp;DEC2BIN(MOD(E835,64),6)</f>
        <v>01100111001</v>
      </c>
      <c r="G835" s="10" t="str">
        <f>DEC2HEX(E835,3)</f>
        <v>339</v>
      </c>
      <c r="H835" s="10" t="str">
        <f>IF(ROUND(D835/$B$6,0)&gt;$B$7,"YES","NO")</f>
        <v>NO</v>
      </c>
    </row>
    <row r="836" spans="1:8">
      <c r="A836" s="8">
        <v>826</v>
      </c>
      <c r="B836" s="9">
        <f>D835</f>
        <v>966.796875</v>
      </c>
      <c r="C836" s="9">
        <f>$B$6</f>
        <v>1.171875</v>
      </c>
      <c r="D836" s="9">
        <f>B836+C836</f>
        <v>967.96875</v>
      </c>
      <c r="E836" s="8">
        <f>MIN($B$7,ROUND(D836/$B$6,0))</f>
        <v>826</v>
      </c>
      <c r="F836" s="8" t="str">
        <f>DEC2BIN(INT(E836/64),5)&amp;DEC2BIN(MOD(E836,64),6)</f>
        <v>01100111010</v>
      </c>
      <c r="G836" s="8" t="str">
        <f>DEC2HEX(E836,3)</f>
        <v>33A</v>
      </c>
      <c r="H836" s="8" t="str">
        <f>IF(ROUND(D836/$B$6,0)&gt;$B$7,"YES","NO")</f>
        <v>NO</v>
      </c>
    </row>
    <row r="837" spans="1:8">
      <c r="A837" s="10">
        <v>827</v>
      </c>
      <c r="B837" s="11">
        <f>D836</f>
        <v>967.96875</v>
      </c>
      <c r="C837" s="11">
        <f>$B$6</f>
        <v>1.171875</v>
      </c>
      <c r="D837" s="11">
        <f>B837+C837</f>
        <v>969.140625</v>
      </c>
      <c r="E837" s="10">
        <f>MIN($B$7,ROUND(D837/$B$6,0))</f>
        <v>827</v>
      </c>
      <c r="F837" s="10" t="str">
        <f>DEC2BIN(INT(E837/64),5)&amp;DEC2BIN(MOD(E837,64),6)</f>
        <v>01100111011</v>
      </c>
      <c r="G837" s="10" t="str">
        <f>DEC2HEX(E837,3)</f>
        <v>33B</v>
      </c>
      <c r="H837" s="10" t="str">
        <f>IF(ROUND(D837/$B$6,0)&gt;$B$7,"YES","NO")</f>
        <v>NO</v>
      </c>
    </row>
    <row r="838" spans="1:8">
      <c r="A838" s="8">
        <v>828</v>
      </c>
      <c r="B838" s="9">
        <f>D837</f>
        <v>969.140625</v>
      </c>
      <c r="C838" s="9">
        <f>$B$6</f>
        <v>1.171875</v>
      </c>
      <c r="D838" s="9">
        <f>B838+C838</f>
        <v>970.3125</v>
      </c>
      <c r="E838" s="8">
        <f>MIN($B$7,ROUND(D838/$B$6,0))</f>
        <v>828</v>
      </c>
      <c r="F838" s="8" t="str">
        <f>DEC2BIN(INT(E838/64),5)&amp;DEC2BIN(MOD(E838,64),6)</f>
        <v>01100111100</v>
      </c>
      <c r="G838" s="8" t="str">
        <f>DEC2HEX(E838,3)</f>
        <v>33C</v>
      </c>
      <c r="H838" s="8" t="str">
        <f>IF(ROUND(D838/$B$6,0)&gt;$B$7,"YES","NO")</f>
        <v>NO</v>
      </c>
    </row>
    <row r="839" spans="1:8">
      <c r="A839" s="10">
        <v>829</v>
      </c>
      <c r="B839" s="11">
        <f>D838</f>
        <v>970.3125</v>
      </c>
      <c r="C839" s="11">
        <f>$B$6</f>
        <v>1.171875</v>
      </c>
      <c r="D839" s="11">
        <f>B839+C839</f>
        <v>971.484375</v>
      </c>
      <c r="E839" s="10">
        <f>MIN($B$7,ROUND(D839/$B$6,0))</f>
        <v>829</v>
      </c>
      <c r="F839" s="10" t="str">
        <f>DEC2BIN(INT(E839/64),5)&amp;DEC2BIN(MOD(E839,64),6)</f>
        <v>01100111101</v>
      </c>
      <c r="G839" s="10" t="str">
        <f>DEC2HEX(E839,3)</f>
        <v>33D</v>
      </c>
      <c r="H839" s="10" t="str">
        <f>IF(ROUND(D839/$B$6,0)&gt;$B$7,"YES","NO")</f>
        <v>NO</v>
      </c>
    </row>
    <row r="840" spans="1:8">
      <c r="A840" s="8">
        <v>830</v>
      </c>
      <c r="B840" s="9">
        <f>D839</f>
        <v>971.484375</v>
      </c>
      <c r="C840" s="9">
        <f>$B$6</f>
        <v>1.171875</v>
      </c>
      <c r="D840" s="9">
        <f>B840+C840</f>
        <v>972.65625</v>
      </c>
      <c r="E840" s="8">
        <f>MIN($B$7,ROUND(D840/$B$6,0))</f>
        <v>830</v>
      </c>
      <c r="F840" s="8" t="str">
        <f>DEC2BIN(INT(E840/64),5)&amp;DEC2BIN(MOD(E840,64),6)</f>
        <v>01100111110</v>
      </c>
      <c r="G840" s="8" t="str">
        <f>DEC2HEX(E840,3)</f>
        <v>33E</v>
      </c>
      <c r="H840" s="8" t="str">
        <f>IF(ROUND(D840/$B$6,0)&gt;$B$7,"YES","NO")</f>
        <v>NO</v>
      </c>
    </row>
    <row r="841" spans="1:8">
      <c r="A841" s="10">
        <v>831</v>
      </c>
      <c r="B841" s="11">
        <f>D840</f>
        <v>972.65625</v>
      </c>
      <c r="C841" s="11">
        <f>$B$6</f>
        <v>1.171875</v>
      </c>
      <c r="D841" s="11">
        <f>B841+C841</f>
        <v>973.828125</v>
      </c>
      <c r="E841" s="10">
        <f>MIN($B$7,ROUND(D841/$B$6,0))</f>
        <v>831</v>
      </c>
      <c r="F841" s="10" t="str">
        <f>DEC2BIN(INT(E841/64),5)&amp;DEC2BIN(MOD(E841,64),6)</f>
        <v>01100111111</v>
      </c>
      <c r="G841" s="10" t="str">
        <f>DEC2HEX(E841,3)</f>
        <v>33F</v>
      </c>
      <c r="H841" s="10" t="str">
        <f>IF(ROUND(D841/$B$6,0)&gt;$B$7,"YES","NO")</f>
        <v>NO</v>
      </c>
    </row>
    <row r="842" spans="1:8">
      <c r="A842" s="8">
        <v>832</v>
      </c>
      <c r="B842" s="9">
        <f>D841</f>
        <v>973.828125</v>
      </c>
      <c r="C842" s="9">
        <f>$B$6</f>
        <v>1.171875</v>
      </c>
      <c r="D842" s="9">
        <f>B842+C842</f>
        <v>975</v>
      </c>
      <c r="E842" s="8">
        <f>MIN($B$7,ROUND(D842/$B$6,0))</f>
        <v>832</v>
      </c>
      <c r="F842" s="8" t="str">
        <f>DEC2BIN(INT(E842/64),5)&amp;DEC2BIN(MOD(E842,64),6)</f>
        <v>01101000000</v>
      </c>
      <c r="G842" s="8" t="str">
        <f>DEC2HEX(E842,3)</f>
        <v>340</v>
      </c>
      <c r="H842" s="8" t="str">
        <f>IF(ROUND(D842/$B$6,0)&gt;$B$7,"YES","NO")</f>
        <v>NO</v>
      </c>
    </row>
    <row r="843" spans="1:8">
      <c r="A843" s="10">
        <v>833</v>
      </c>
      <c r="B843" s="11">
        <f>D842</f>
        <v>975</v>
      </c>
      <c r="C843" s="11">
        <f>$B$6</f>
        <v>1.171875</v>
      </c>
      <c r="D843" s="11">
        <f>B843+C843</f>
        <v>976.171875</v>
      </c>
      <c r="E843" s="10">
        <f>MIN($B$7,ROUND(D843/$B$6,0))</f>
        <v>833</v>
      </c>
      <c r="F843" s="10" t="str">
        <f>DEC2BIN(INT(E843/64),5)&amp;DEC2BIN(MOD(E843,64),6)</f>
        <v>01101000001</v>
      </c>
      <c r="G843" s="10" t="str">
        <f>DEC2HEX(E843,3)</f>
        <v>341</v>
      </c>
      <c r="H843" s="10" t="str">
        <f>IF(ROUND(D843/$B$6,0)&gt;$B$7,"YES","NO")</f>
        <v>NO</v>
      </c>
    </row>
    <row r="844" spans="1:8">
      <c r="A844" s="8">
        <v>834</v>
      </c>
      <c r="B844" s="9">
        <f>D843</f>
        <v>976.171875</v>
      </c>
      <c r="C844" s="9">
        <f>$B$6</f>
        <v>1.171875</v>
      </c>
      <c r="D844" s="9">
        <f>B844+C844</f>
        <v>977.34375</v>
      </c>
      <c r="E844" s="8">
        <f>MIN($B$7,ROUND(D844/$B$6,0))</f>
        <v>834</v>
      </c>
      <c r="F844" s="8" t="str">
        <f>DEC2BIN(INT(E844/64),5)&amp;DEC2BIN(MOD(E844,64),6)</f>
        <v>01101000010</v>
      </c>
      <c r="G844" s="8" t="str">
        <f>DEC2HEX(E844,3)</f>
        <v>342</v>
      </c>
      <c r="H844" s="8" t="str">
        <f>IF(ROUND(D844/$B$6,0)&gt;$B$7,"YES","NO")</f>
        <v>NO</v>
      </c>
    </row>
    <row r="845" spans="1:8">
      <c r="A845" s="10">
        <v>835</v>
      </c>
      <c r="B845" s="11">
        <f>D844</f>
        <v>977.34375</v>
      </c>
      <c r="C845" s="11">
        <f>$B$6</f>
        <v>1.171875</v>
      </c>
      <c r="D845" s="11">
        <f>B845+C845</f>
        <v>978.515625</v>
      </c>
      <c r="E845" s="10">
        <f>MIN($B$7,ROUND(D845/$B$6,0))</f>
        <v>835</v>
      </c>
      <c r="F845" s="10" t="str">
        <f>DEC2BIN(INT(E845/64),5)&amp;DEC2BIN(MOD(E845,64),6)</f>
        <v>01101000011</v>
      </c>
      <c r="G845" s="10" t="str">
        <f>DEC2HEX(E845,3)</f>
        <v>343</v>
      </c>
      <c r="H845" s="10" t="str">
        <f>IF(ROUND(D845/$B$6,0)&gt;$B$7,"YES","NO")</f>
        <v>NO</v>
      </c>
    </row>
    <row r="846" spans="1:8">
      <c r="A846" s="8">
        <v>836</v>
      </c>
      <c r="B846" s="9">
        <f>D845</f>
        <v>978.515625</v>
      </c>
      <c r="C846" s="9">
        <f>$B$6</f>
        <v>1.171875</v>
      </c>
      <c r="D846" s="9">
        <f>B846+C846</f>
        <v>979.6875</v>
      </c>
      <c r="E846" s="8">
        <f>MIN($B$7,ROUND(D846/$B$6,0))</f>
        <v>836</v>
      </c>
      <c r="F846" s="8" t="str">
        <f>DEC2BIN(INT(E846/64),5)&amp;DEC2BIN(MOD(E846,64),6)</f>
        <v>01101000100</v>
      </c>
      <c r="G846" s="8" t="str">
        <f>DEC2HEX(E846,3)</f>
        <v>344</v>
      </c>
      <c r="H846" s="8" t="str">
        <f>IF(ROUND(D846/$B$6,0)&gt;$B$7,"YES","NO")</f>
        <v>NO</v>
      </c>
    </row>
    <row r="847" spans="1:8">
      <c r="A847" s="10">
        <v>837</v>
      </c>
      <c r="B847" s="11">
        <f>D846</f>
        <v>979.6875</v>
      </c>
      <c r="C847" s="11">
        <f>$B$6</f>
        <v>1.171875</v>
      </c>
      <c r="D847" s="11">
        <f>B847+C847</f>
        <v>980.859375</v>
      </c>
      <c r="E847" s="10">
        <f>MIN($B$7,ROUND(D847/$B$6,0))</f>
        <v>837</v>
      </c>
      <c r="F847" s="10" t="str">
        <f>DEC2BIN(INT(E847/64),5)&amp;DEC2BIN(MOD(E847,64),6)</f>
        <v>01101000101</v>
      </c>
      <c r="G847" s="10" t="str">
        <f>DEC2HEX(E847,3)</f>
        <v>345</v>
      </c>
      <c r="H847" s="10" t="str">
        <f>IF(ROUND(D847/$B$6,0)&gt;$B$7,"YES","NO")</f>
        <v>NO</v>
      </c>
    </row>
    <row r="848" spans="1:8">
      <c r="A848" s="8">
        <v>838</v>
      </c>
      <c r="B848" s="9">
        <f>D847</f>
        <v>980.859375</v>
      </c>
      <c r="C848" s="9">
        <f>$B$6</f>
        <v>1.171875</v>
      </c>
      <c r="D848" s="9">
        <f>B848+C848</f>
        <v>982.03125</v>
      </c>
      <c r="E848" s="8">
        <f>MIN($B$7,ROUND(D848/$B$6,0))</f>
        <v>838</v>
      </c>
      <c r="F848" s="8" t="str">
        <f>DEC2BIN(INT(E848/64),5)&amp;DEC2BIN(MOD(E848,64),6)</f>
        <v>01101000110</v>
      </c>
      <c r="G848" s="8" t="str">
        <f>DEC2HEX(E848,3)</f>
        <v>346</v>
      </c>
      <c r="H848" s="8" t="str">
        <f>IF(ROUND(D848/$B$6,0)&gt;$B$7,"YES","NO")</f>
        <v>NO</v>
      </c>
    </row>
    <row r="849" spans="1:8">
      <c r="A849" s="10">
        <v>839</v>
      </c>
      <c r="B849" s="11">
        <f>D848</f>
        <v>982.03125</v>
      </c>
      <c r="C849" s="11">
        <f>$B$6</f>
        <v>1.171875</v>
      </c>
      <c r="D849" s="11">
        <f>B849+C849</f>
        <v>983.203125</v>
      </c>
      <c r="E849" s="10">
        <f>MIN($B$7,ROUND(D849/$B$6,0))</f>
        <v>839</v>
      </c>
      <c r="F849" s="10" t="str">
        <f>DEC2BIN(INT(E849/64),5)&amp;DEC2BIN(MOD(E849,64),6)</f>
        <v>01101000111</v>
      </c>
      <c r="G849" s="10" t="str">
        <f>DEC2HEX(E849,3)</f>
        <v>347</v>
      </c>
      <c r="H849" s="10" t="str">
        <f>IF(ROUND(D849/$B$6,0)&gt;$B$7,"YES","NO")</f>
        <v>NO</v>
      </c>
    </row>
    <row r="850" spans="1:8">
      <c r="A850" s="8">
        <v>840</v>
      </c>
      <c r="B850" s="9">
        <f>D849</f>
        <v>983.203125</v>
      </c>
      <c r="C850" s="9">
        <f>$B$6</f>
        <v>1.171875</v>
      </c>
      <c r="D850" s="9">
        <f>B850+C850</f>
        <v>984.375</v>
      </c>
      <c r="E850" s="8">
        <f>MIN($B$7,ROUND(D850/$B$6,0))</f>
        <v>840</v>
      </c>
      <c r="F850" s="8" t="str">
        <f>DEC2BIN(INT(E850/64),5)&amp;DEC2BIN(MOD(E850,64),6)</f>
        <v>01101001000</v>
      </c>
      <c r="G850" s="8" t="str">
        <f>DEC2HEX(E850,3)</f>
        <v>348</v>
      </c>
      <c r="H850" s="8" t="str">
        <f>IF(ROUND(D850/$B$6,0)&gt;$B$7,"YES","NO")</f>
        <v>NO</v>
      </c>
    </row>
    <row r="851" spans="1:8">
      <c r="A851" s="10">
        <v>841</v>
      </c>
      <c r="B851" s="11">
        <f>D850</f>
        <v>984.375</v>
      </c>
      <c r="C851" s="11">
        <f>$B$6</f>
        <v>1.171875</v>
      </c>
      <c r="D851" s="11">
        <f>B851+C851</f>
        <v>985.546875</v>
      </c>
      <c r="E851" s="10">
        <f>MIN($B$7,ROUND(D851/$B$6,0))</f>
        <v>841</v>
      </c>
      <c r="F851" s="10" t="str">
        <f>DEC2BIN(INT(E851/64),5)&amp;DEC2BIN(MOD(E851,64),6)</f>
        <v>01101001001</v>
      </c>
      <c r="G851" s="10" t="str">
        <f>DEC2HEX(E851,3)</f>
        <v>349</v>
      </c>
      <c r="H851" s="10" t="str">
        <f>IF(ROUND(D851/$B$6,0)&gt;$B$7,"YES","NO")</f>
        <v>NO</v>
      </c>
    </row>
    <row r="852" spans="1:8">
      <c r="A852" s="8">
        <v>842</v>
      </c>
      <c r="B852" s="9">
        <f>D851</f>
        <v>985.546875</v>
      </c>
      <c r="C852" s="9">
        <f>$B$6</f>
        <v>1.171875</v>
      </c>
      <c r="D852" s="9">
        <f>B852+C852</f>
        <v>986.71875</v>
      </c>
      <c r="E852" s="8">
        <f>MIN($B$7,ROUND(D852/$B$6,0))</f>
        <v>842</v>
      </c>
      <c r="F852" s="8" t="str">
        <f>DEC2BIN(INT(E852/64),5)&amp;DEC2BIN(MOD(E852,64),6)</f>
        <v>01101001010</v>
      </c>
      <c r="G852" s="8" t="str">
        <f>DEC2HEX(E852,3)</f>
        <v>34A</v>
      </c>
      <c r="H852" s="8" t="str">
        <f>IF(ROUND(D852/$B$6,0)&gt;$B$7,"YES","NO")</f>
        <v>NO</v>
      </c>
    </row>
    <row r="853" spans="1:8">
      <c r="A853" s="10">
        <v>843</v>
      </c>
      <c r="B853" s="11">
        <f>D852</f>
        <v>986.71875</v>
      </c>
      <c r="C853" s="11">
        <f>$B$6</f>
        <v>1.171875</v>
      </c>
      <c r="D853" s="11">
        <f>B853+C853</f>
        <v>987.890625</v>
      </c>
      <c r="E853" s="10">
        <f>MIN($B$7,ROUND(D853/$B$6,0))</f>
        <v>843</v>
      </c>
      <c r="F853" s="10" t="str">
        <f>DEC2BIN(INT(E853/64),5)&amp;DEC2BIN(MOD(E853,64),6)</f>
        <v>01101001011</v>
      </c>
      <c r="G853" s="10" t="str">
        <f>DEC2HEX(E853,3)</f>
        <v>34B</v>
      </c>
      <c r="H853" s="10" t="str">
        <f>IF(ROUND(D853/$B$6,0)&gt;$B$7,"YES","NO")</f>
        <v>NO</v>
      </c>
    </row>
    <row r="854" spans="1:8">
      <c r="A854" s="8">
        <v>844</v>
      </c>
      <c r="B854" s="9">
        <f>D853</f>
        <v>987.890625</v>
      </c>
      <c r="C854" s="9">
        <f>$B$6</f>
        <v>1.171875</v>
      </c>
      <c r="D854" s="9">
        <f>B854+C854</f>
        <v>989.0625</v>
      </c>
      <c r="E854" s="8">
        <f>MIN($B$7,ROUND(D854/$B$6,0))</f>
        <v>844</v>
      </c>
      <c r="F854" s="8" t="str">
        <f>DEC2BIN(INT(E854/64),5)&amp;DEC2BIN(MOD(E854,64),6)</f>
        <v>01101001100</v>
      </c>
      <c r="G854" s="8" t="str">
        <f>DEC2HEX(E854,3)</f>
        <v>34C</v>
      </c>
      <c r="H854" s="8" t="str">
        <f>IF(ROUND(D854/$B$6,0)&gt;$B$7,"YES","NO")</f>
        <v>NO</v>
      </c>
    </row>
    <row r="855" spans="1:8">
      <c r="A855" s="10">
        <v>845</v>
      </c>
      <c r="B855" s="11">
        <f>D854</f>
        <v>989.0625</v>
      </c>
      <c r="C855" s="11">
        <f>$B$6</f>
        <v>1.171875</v>
      </c>
      <c r="D855" s="11">
        <f>B855+C855</f>
        <v>990.234375</v>
      </c>
      <c r="E855" s="10">
        <f>MIN($B$7,ROUND(D855/$B$6,0))</f>
        <v>845</v>
      </c>
      <c r="F855" s="10" t="str">
        <f>DEC2BIN(INT(E855/64),5)&amp;DEC2BIN(MOD(E855,64),6)</f>
        <v>01101001101</v>
      </c>
      <c r="G855" s="10" t="str">
        <f>DEC2HEX(E855,3)</f>
        <v>34D</v>
      </c>
      <c r="H855" s="10" t="str">
        <f>IF(ROUND(D855/$B$6,0)&gt;$B$7,"YES","NO")</f>
        <v>NO</v>
      </c>
    </row>
    <row r="856" spans="1:8">
      <c r="A856" s="8">
        <v>846</v>
      </c>
      <c r="B856" s="9">
        <f>D855</f>
        <v>990.234375</v>
      </c>
      <c r="C856" s="9">
        <f>$B$6</f>
        <v>1.171875</v>
      </c>
      <c r="D856" s="9">
        <f>B856+C856</f>
        <v>991.40625</v>
      </c>
      <c r="E856" s="8">
        <f>MIN($B$7,ROUND(D856/$B$6,0))</f>
        <v>846</v>
      </c>
      <c r="F856" s="8" t="str">
        <f>DEC2BIN(INT(E856/64),5)&amp;DEC2BIN(MOD(E856,64),6)</f>
        <v>01101001110</v>
      </c>
      <c r="G856" s="8" t="str">
        <f>DEC2HEX(E856,3)</f>
        <v>34E</v>
      </c>
      <c r="H856" s="8" t="str">
        <f>IF(ROUND(D856/$B$6,0)&gt;$B$7,"YES","NO")</f>
        <v>NO</v>
      </c>
    </row>
    <row r="857" spans="1:8">
      <c r="A857" s="10">
        <v>847</v>
      </c>
      <c r="B857" s="11">
        <f>D856</f>
        <v>991.40625</v>
      </c>
      <c r="C857" s="11">
        <f>$B$6</f>
        <v>1.171875</v>
      </c>
      <c r="D857" s="11">
        <f>B857+C857</f>
        <v>992.578125</v>
      </c>
      <c r="E857" s="10">
        <f>MIN($B$7,ROUND(D857/$B$6,0))</f>
        <v>847</v>
      </c>
      <c r="F857" s="10" t="str">
        <f>DEC2BIN(INT(E857/64),5)&amp;DEC2BIN(MOD(E857,64),6)</f>
        <v>01101001111</v>
      </c>
      <c r="G857" s="10" t="str">
        <f>DEC2HEX(E857,3)</f>
        <v>34F</v>
      </c>
      <c r="H857" s="10" t="str">
        <f>IF(ROUND(D857/$B$6,0)&gt;$B$7,"YES","NO")</f>
        <v>NO</v>
      </c>
    </row>
    <row r="858" spans="1:8">
      <c r="A858" s="8">
        <v>848</v>
      </c>
      <c r="B858" s="9">
        <f>D857</f>
        <v>992.578125</v>
      </c>
      <c r="C858" s="9">
        <f>$B$6</f>
        <v>1.171875</v>
      </c>
      <c r="D858" s="9">
        <f>B858+C858</f>
        <v>993.75</v>
      </c>
      <c r="E858" s="8">
        <f>MIN($B$7,ROUND(D858/$B$6,0))</f>
        <v>848</v>
      </c>
      <c r="F858" s="8" t="str">
        <f>DEC2BIN(INT(E858/64),5)&amp;DEC2BIN(MOD(E858,64),6)</f>
        <v>01101010000</v>
      </c>
      <c r="G858" s="8" t="str">
        <f>DEC2HEX(E858,3)</f>
        <v>350</v>
      </c>
      <c r="H858" s="8" t="str">
        <f>IF(ROUND(D858/$B$6,0)&gt;$B$7,"YES","NO")</f>
        <v>NO</v>
      </c>
    </row>
    <row r="859" spans="1:8">
      <c r="A859" s="10">
        <v>849</v>
      </c>
      <c r="B859" s="11">
        <f>D858</f>
        <v>993.75</v>
      </c>
      <c r="C859" s="11">
        <f>$B$6</f>
        <v>1.171875</v>
      </c>
      <c r="D859" s="11">
        <f>B859+C859</f>
        <v>994.921875</v>
      </c>
      <c r="E859" s="10">
        <f>MIN($B$7,ROUND(D859/$B$6,0))</f>
        <v>849</v>
      </c>
      <c r="F859" s="10" t="str">
        <f>DEC2BIN(INT(E859/64),5)&amp;DEC2BIN(MOD(E859,64),6)</f>
        <v>01101010001</v>
      </c>
      <c r="G859" s="10" t="str">
        <f>DEC2HEX(E859,3)</f>
        <v>351</v>
      </c>
      <c r="H859" s="10" t="str">
        <f>IF(ROUND(D859/$B$6,0)&gt;$B$7,"YES","NO")</f>
        <v>NO</v>
      </c>
    </row>
    <row r="860" spans="1:8">
      <c r="A860" s="8">
        <v>850</v>
      </c>
      <c r="B860" s="9">
        <f>D859</f>
        <v>994.921875</v>
      </c>
      <c r="C860" s="9">
        <f>$B$6</f>
        <v>1.171875</v>
      </c>
      <c r="D860" s="9">
        <f>B860+C860</f>
        <v>996.09375</v>
      </c>
      <c r="E860" s="8">
        <f>MIN($B$7,ROUND(D860/$B$6,0))</f>
        <v>850</v>
      </c>
      <c r="F860" s="8" t="str">
        <f>DEC2BIN(INT(E860/64),5)&amp;DEC2BIN(MOD(E860,64),6)</f>
        <v>01101010010</v>
      </c>
      <c r="G860" s="8" t="str">
        <f>DEC2HEX(E860,3)</f>
        <v>352</v>
      </c>
      <c r="H860" s="8" t="str">
        <f>IF(ROUND(D860/$B$6,0)&gt;$B$7,"YES","NO")</f>
        <v>NO</v>
      </c>
    </row>
    <row r="861" spans="1:8">
      <c r="A861" s="10">
        <v>851</v>
      </c>
      <c r="B861" s="11">
        <f>D860</f>
        <v>996.09375</v>
      </c>
      <c r="C861" s="11">
        <f>$B$6</f>
        <v>1.171875</v>
      </c>
      <c r="D861" s="11">
        <f>B861+C861</f>
        <v>997.265625</v>
      </c>
      <c r="E861" s="10">
        <f>MIN($B$7,ROUND(D861/$B$6,0))</f>
        <v>851</v>
      </c>
      <c r="F861" s="10" t="str">
        <f>DEC2BIN(INT(E861/64),5)&amp;DEC2BIN(MOD(E861,64),6)</f>
        <v>01101010011</v>
      </c>
      <c r="G861" s="10" t="str">
        <f>DEC2HEX(E861,3)</f>
        <v>353</v>
      </c>
      <c r="H861" s="10" t="str">
        <f>IF(ROUND(D861/$B$6,0)&gt;$B$7,"YES","NO")</f>
        <v>NO</v>
      </c>
    </row>
    <row r="862" spans="1:8">
      <c r="A862" s="8">
        <v>852</v>
      </c>
      <c r="B862" s="9">
        <f>D861</f>
        <v>997.265625</v>
      </c>
      <c r="C862" s="9">
        <f>$B$6</f>
        <v>1.171875</v>
      </c>
      <c r="D862" s="9">
        <f>B862+C862</f>
        <v>998.4375</v>
      </c>
      <c r="E862" s="8">
        <f>MIN($B$7,ROUND(D862/$B$6,0))</f>
        <v>852</v>
      </c>
      <c r="F862" s="8" t="str">
        <f>DEC2BIN(INT(E862/64),5)&amp;DEC2BIN(MOD(E862,64),6)</f>
        <v>01101010100</v>
      </c>
      <c r="G862" s="8" t="str">
        <f>DEC2HEX(E862,3)</f>
        <v>354</v>
      </c>
      <c r="H862" s="8" t="str">
        <f>IF(ROUND(D862/$B$6,0)&gt;$B$7,"YES","NO")</f>
        <v>NO</v>
      </c>
    </row>
    <row r="863" spans="1:8">
      <c r="A863" s="10">
        <v>853</v>
      </c>
      <c r="B863" s="11">
        <f>D862</f>
        <v>998.4375</v>
      </c>
      <c r="C863" s="11">
        <f>$B$6</f>
        <v>1.171875</v>
      </c>
      <c r="D863" s="11">
        <f>B863+C863</f>
        <v>999.609375</v>
      </c>
      <c r="E863" s="10">
        <f>MIN($B$7,ROUND(D863/$B$6,0))</f>
        <v>853</v>
      </c>
      <c r="F863" s="10" t="str">
        <f>DEC2BIN(INT(E863/64),5)&amp;DEC2BIN(MOD(E863,64),6)</f>
        <v>01101010101</v>
      </c>
      <c r="G863" s="10" t="str">
        <f>DEC2HEX(E863,3)</f>
        <v>355</v>
      </c>
      <c r="H863" s="10" t="str">
        <f>IF(ROUND(D863/$B$6,0)&gt;$B$7,"YES","NO")</f>
        <v>NO</v>
      </c>
    </row>
    <row r="864" spans="1:8">
      <c r="A864" s="8">
        <v>854</v>
      </c>
      <c r="B864" s="9">
        <f>D863</f>
        <v>999.609375</v>
      </c>
      <c r="C864" s="9">
        <f>$B$6</f>
        <v>1.171875</v>
      </c>
      <c r="D864" s="9">
        <f>B864+C864</f>
        <v>1000.78125</v>
      </c>
      <c r="E864" s="8">
        <f>MIN($B$7,ROUND(D864/$B$6,0))</f>
        <v>854</v>
      </c>
      <c r="F864" s="8" t="str">
        <f>DEC2BIN(INT(E864/64),5)&amp;DEC2BIN(MOD(E864,64),6)</f>
        <v>01101010110</v>
      </c>
      <c r="G864" s="8" t="str">
        <f>DEC2HEX(E864,3)</f>
        <v>356</v>
      </c>
      <c r="H864" s="8" t="str">
        <f>IF(ROUND(D864/$B$6,0)&gt;$B$7,"YES","NO")</f>
        <v>NO</v>
      </c>
    </row>
    <row r="865" spans="1:8">
      <c r="A865" s="10">
        <v>855</v>
      </c>
      <c r="B865" s="11">
        <f>D864</f>
        <v>1000.78125</v>
      </c>
      <c r="C865" s="11">
        <f>$B$6</f>
        <v>1.171875</v>
      </c>
      <c r="D865" s="11">
        <f>B865+C865</f>
        <v>1001.953125</v>
      </c>
      <c r="E865" s="10">
        <f>MIN($B$7,ROUND(D865/$B$6,0))</f>
        <v>855</v>
      </c>
      <c r="F865" s="10" t="str">
        <f>DEC2BIN(INT(E865/64),5)&amp;DEC2BIN(MOD(E865,64),6)</f>
        <v>01101010111</v>
      </c>
      <c r="G865" s="10" t="str">
        <f>DEC2HEX(E865,3)</f>
        <v>357</v>
      </c>
      <c r="H865" s="10" t="str">
        <f>IF(ROUND(D865/$B$6,0)&gt;$B$7,"YES","NO")</f>
        <v>NO</v>
      </c>
    </row>
    <row r="866" spans="1:8">
      <c r="A866" s="8">
        <v>856</v>
      </c>
      <c r="B866" s="9">
        <f>D865</f>
        <v>1001.953125</v>
      </c>
      <c r="C866" s="9">
        <f>$B$6</f>
        <v>1.171875</v>
      </c>
      <c r="D866" s="9">
        <f>B866+C866</f>
        <v>1003.125</v>
      </c>
      <c r="E866" s="8">
        <f>MIN($B$7,ROUND(D866/$B$6,0))</f>
        <v>856</v>
      </c>
      <c r="F866" s="8" t="str">
        <f>DEC2BIN(INT(E866/64),5)&amp;DEC2BIN(MOD(E866,64),6)</f>
        <v>01101011000</v>
      </c>
      <c r="G866" s="8" t="str">
        <f>DEC2HEX(E866,3)</f>
        <v>358</v>
      </c>
      <c r="H866" s="8" t="str">
        <f>IF(ROUND(D866/$B$6,0)&gt;$B$7,"YES","NO")</f>
        <v>NO</v>
      </c>
    </row>
    <row r="867" spans="1:8">
      <c r="A867" s="10">
        <v>857</v>
      </c>
      <c r="B867" s="11">
        <f>D866</f>
        <v>1003.125</v>
      </c>
      <c r="C867" s="11">
        <f>$B$6</f>
        <v>1.171875</v>
      </c>
      <c r="D867" s="11">
        <f>B867+C867</f>
        <v>1004.296875</v>
      </c>
      <c r="E867" s="10">
        <f>MIN($B$7,ROUND(D867/$B$6,0))</f>
        <v>857</v>
      </c>
      <c r="F867" s="10" t="str">
        <f>DEC2BIN(INT(E867/64),5)&amp;DEC2BIN(MOD(E867,64),6)</f>
        <v>01101011001</v>
      </c>
      <c r="G867" s="10" t="str">
        <f>DEC2HEX(E867,3)</f>
        <v>359</v>
      </c>
      <c r="H867" s="10" t="str">
        <f>IF(ROUND(D867/$B$6,0)&gt;$B$7,"YES","NO")</f>
        <v>NO</v>
      </c>
    </row>
    <row r="868" spans="1:8">
      <c r="A868" s="8">
        <v>858</v>
      </c>
      <c r="B868" s="9">
        <f>D867</f>
        <v>1004.296875</v>
      </c>
      <c r="C868" s="9">
        <f>$B$6</f>
        <v>1.171875</v>
      </c>
      <c r="D868" s="9">
        <f>B868+C868</f>
        <v>1005.46875</v>
      </c>
      <c r="E868" s="8">
        <f>MIN($B$7,ROUND(D868/$B$6,0))</f>
        <v>858</v>
      </c>
      <c r="F868" s="8" t="str">
        <f>DEC2BIN(INT(E868/64),5)&amp;DEC2BIN(MOD(E868,64),6)</f>
        <v>01101011010</v>
      </c>
      <c r="G868" s="8" t="str">
        <f>DEC2HEX(E868,3)</f>
        <v>35A</v>
      </c>
      <c r="H868" s="8" t="str">
        <f>IF(ROUND(D868/$B$6,0)&gt;$B$7,"YES","NO")</f>
        <v>NO</v>
      </c>
    </row>
    <row r="869" spans="1:8">
      <c r="A869" s="10">
        <v>859</v>
      </c>
      <c r="B869" s="11">
        <f>D868</f>
        <v>1005.46875</v>
      </c>
      <c r="C869" s="11">
        <f>$B$6</f>
        <v>1.171875</v>
      </c>
      <c r="D869" s="11">
        <f>B869+C869</f>
        <v>1006.640625</v>
      </c>
      <c r="E869" s="10">
        <f>MIN($B$7,ROUND(D869/$B$6,0))</f>
        <v>859</v>
      </c>
      <c r="F869" s="10" t="str">
        <f>DEC2BIN(INT(E869/64),5)&amp;DEC2BIN(MOD(E869,64),6)</f>
        <v>01101011011</v>
      </c>
      <c r="G869" s="10" t="str">
        <f>DEC2HEX(E869,3)</f>
        <v>35B</v>
      </c>
      <c r="H869" s="10" t="str">
        <f>IF(ROUND(D869/$B$6,0)&gt;$B$7,"YES","NO")</f>
        <v>NO</v>
      </c>
    </row>
    <row r="870" spans="1:8">
      <c r="A870" s="8">
        <v>860</v>
      </c>
      <c r="B870" s="9">
        <f>D869</f>
        <v>1006.640625</v>
      </c>
      <c r="C870" s="9">
        <f>$B$6</f>
        <v>1.171875</v>
      </c>
      <c r="D870" s="9">
        <f>B870+C870</f>
        <v>1007.8125</v>
      </c>
      <c r="E870" s="8">
        <f>MIN($B$7,ROUND(D870/$B$6,0))</f>
        <v>860</v>
      </c>
      <c r="F870" s="8" t="str">
        <f>DEC2BIN(INT(E870/64),5)&amp;DEC2BIN(MOD(E870,64),6)</f>
        <v>01101011100</v>
      </c>
      <c r="G870" s="8" t="str">
        <f>DEC2HEX(E870,3)</f>
        <v>35C</v>
      </c>
      <c r="H870" s="8" t="str">
        <f>IF(ROUND(D870/$B$6,0)&gt;$B$7,"YES","NO")</f>
        <v>NO</v>
      </c>
    </row>
    <row r="871" spans="1:8">
      <c r="A871" s="10">
        <v>861</v>
      </c>
      <c r="B871" s="11">
        <f>D870</f>
        <v>1007.8125</v>
      </c>
      <c r="C871" s="11">
        <f>$B$6</f>
        <v>1.171875</v>
      </c>
      <c r="D871" s="11">
        <f>B871+C871</f>
        <v>1008.984375</v>
      </c>
      <c r="E871" s="10">
        <f>MIN($B$7,ROUND(D871/$B$6,0))</f>
        <v>861</v>
      </c>
      <c r="F871" s="10" t="str">
        <f>DEC2BIN(INT(E871/64),5)&amp;DEC2BIN(MOD(E871,64),6)</f>
        <v>01101011101</v>
      </c>
      <c r="G871" s="10" t="str">
        <f>DEC2HEX(E871,3)</f>
        <v>35D</v>
      </c>
      <c r="H871" s="10" t="str">
        <f>IF(ROUND(D871/$B$6,0)&gt;$B$7,"YES","NO")</f>
        <v>NO</v>
      </c>
    </row>
    <row r="872" spans="1:8">
      <c r="A872" s="8">
        <v>862</v>
      </c>
      <c r="B872" s="9">
        <f>D871</f>
        <v>1008.984375</v>
      </c>
      <c r="C872" s="9">
        <f>$B$6</f>
        <v>1.171875</v>
      </c>
      <c r="D872" s="9">
        <f>B872+C872</f>
        <v>1010.15625</v>
      </c>
      <c r="E872" s="8">
        <f>MIN($B$7,ROUND(D872/$B$6,0))</f>
        <v>862</v>
      </c>
      <c r="F872" s="8" t="str">
        <f>DEC2BIN(INT(E872/64),5)&amp;DEC2BIN(MOD(E872,64),6)</f>
        <v>01101011110</v>
      </c>
      <c r="G872" s="8" t="str">
        <f>DEC2HEX(E872,3)</f>
        <v>35E</v>
      </c>
      <c r="H872" s="8" t="str">
        <f>IF(ROUND(D872/$B$6,0)&gt;$B$7,"YES","NO")</f>
        <v>NO</v>
      </c>
    </row>
    <row r="873" spans="1:8">
      <c r="A873" s="10">
        <v>863</v>
      </c>
      <c r="B873" s="11">
        <f>D872</f>
        <v>1010.15625</v>
      </c>
      <c r="C873" s="11">
        <f>$B$6</f>
        <v>1.171875</v>
      </c>
      <c r="D873" s="11">
        <f>B873+C873</f>
        <v>1011.328125</v>
      </c>
      <c r="E873" s="10">
        <f>MIN($B$7,ROUND(D873/$B$6,0))</f>
        <v>863</v>
      </c>
      <c r="F873" s="10" t="str">
        <f>DEC2BIN(INT(E873/64),5)&amp;DEC2BIN(MOD(E873,64),6)</f>
        <v>01101011111</v>
      </c>
      <c r="G873" s="10" t="str">
        <f>DEC2HEX(E873,3)</f>
        <v>35F</v>
      </c>
      <c r="H873" s="10" t="str">
        <f>IF(ROUND(D873/$B$6,0)&gt;$B$7,"YES","NO")</f>
        <v>NO</v>
      </c>
    </row>
    <row r="874" spans="1:8">
      <c r="A874" s="8">
        <v>864</v>
      </c>
      <c r="B874" s="9">
        <f>D873</f>
        <v>1011.328125</v>
      </c>
      <c r="C874" s="9">
        <f>$B$6</f>
        <v>1.171875</v>
      </c>
      <c r="D874" s="9">
        <f>B874+C874</f>
        <v>1012.5</v>
      </c>
      <c r="E874" s="8">
        <f>MIN($B$7,ROUND(D874/$B$6,0))</f>
        <v>864</v>
      </c>
      <c r="F874" s="8" t="str">
        <f>DEC2BIN(INT(E874/64),5)&amp;DEC2BIN(MOD(E874,64),6)</f>
        <v>01101100000</v>
      </c>
      <c r="G874" s="8" t="str">
        <f>DEC2HEX(E874,3)</f>
        <v>360</v>
      </c>
      <c r="H874" s="8" t="str">
        <f>IF(ROUND(D874/$B$6,0)&gt;$B$7,"YES","NO")</f>
        <v>NO</v>
      </c>
    </row>
    <row r="875" spans="1:8">
      <c r="A875" s="10">
        <v>865</v>
      </c>
      <c r="B875" s="11">
        <f>D874</f>
        <v>1012.5</v>
      </c>
      <c r="C875" s="11">
        <f>$B$6</f>
        <v>1.171875</v>
      </c>
      <c r="D875" s="11">
        <f>B875+C875</f>
        <v>1013.671875</v>
      </c>
      <c r="E875" s="10">
        <f>MIN($B$7,ROUND(D875/$B$6,0))</f>
        <v>865</v>
      </c>
      <c r="F875" s="10" t="str">
        <f>DEC2BIN(INT(E875/64),5)&amp;DEC2BIN(MOD(E875,64),6)</f>
        <v>01101100001</v>
      </c>
      <c r="G875" s="10" t="str">
        <f>DEC2HEX(E875,3)</f>
        <v>361</v>
      </c>
      <c r="H875" s="10" t="str">
        <f>IF(ROUND(D875/$B$6,0)&gt;$B$7,"YES","NO")</f>
        <v>NO</v>
      </c>
    </row>
    <row r="876" spans="1:8">
      <c r="A876" s="8">
        <v>866</v>
      </c>
      <c r="B876" s="9">
        <f>D875</f>
        <v>1013.671875</v>
      </c>
      <c r="C876" s="9">
        <f>$B$6</f>
        <v>1.171875</v>
      </c>
      <c r="D876" s="9">
        <f>B876+C876</f>
        <v>1014.84375</v>
      </c>
      <c r="E876" s="8">
        <f>MIN($B$7,ROUND(D876/$B$6,0))</f>
        <v>866</v>
      </c>
      <c r="F876" s="8" t="str">
        <f>DEC2BIN(INT(E876/64),5)&amp;DEC2BIN(MOD(E876,64),6)</f>
        <v>01101100010</v>
      </c>
      <c r="G876" s="8" t="str">
        <f>DEC2HEX(E876,3)</f>
        <v>362</v>
      </c>
      <c r="H876" s="8" t="str">
        <f>IF(ROUND(D876/$B$6,0)&gt;$B$7,"YES","NO")</f>
        <v>NO</v>
      </c>
    </row>
    <row r="877" spans="1:8">
      <c r="A877" s="10">
        <v>867</v>
      </c>
      <c r="B877" s="11">
        <f>D876</f>
        <v>1014.84375</v>
      </c>
      <c r="C877" s="11">
        <f>$B$6</f>
        <v>1.171875</v>
      </c>
      <c r="D877" s="11">
        <f>B877+C877</f>
        <v>1016.015625</v>
      </c>
      <c r="E877" s="10">
        <f>MIN($B$7,ROUND(D877/$B$6,0))</f>
        <v>867</v>
      </c>
      <c r="F877" s="10" t="str">
        <f>DEC2BIN(INT(E877/64),5)&amp;DEC2BIN(MOD(E877,64),6)</f>
        <v>01101100011</v>
      </c>
      <c r="G877" s="10" t="str">
        <f>DEC2HEX(E877,3)</f>
        <v>363</v>
      </c>
      <c r="H877" s="10" t="str">
        <f>IF(ROUND(D877/$B$6,0)&gt;$B$7,"YES","NO")</f>
        <v>NO</v>
      </c>
    </row>
    <row r="878" spans="1:8">
      <c r="A878" s="8">
        <v>868</v>
      </c>
      <c r="B878" s="9">
        <f>D877</f>
        <v>1016.015625</v>
      </c>
      <c r="C878" s="9">
        <f>$B$6</f>
        <v>1.171875</v>
      </c>
      <c r="D878" s="9">
        <f>B878+C878</f>
        <v>1017.1875</v>
      </c>
      <c r="E878" s="8">
        <f>MIN($B$7,ROUND(D878/$B$6,0))</f>
        <v>868</v>
      </c>
      <c r="F878" s="8" t="str">
        <f>DEC2BIN(INT(E878/64),5)&amp;DEC2BIN(MOD(E878,64),6)</f>
        <v>01101100100</v>
      </c>
      <c r="G878" s="8" t="str">
        <f>DEC2HEX(E878,3)</f>
        <v>364</v>
      </c>
      <c r="H878" s="8" t="str">
        <f>IF(ROUND(D878/$B$6,0)&gt;$B$7,"YES","NO")</f>
        <v>NO</v>
      </c>
    </row>
    <row r="879" spans="1:8">
      <c r="A879" s="10">
        <v>869</v>
      </c>
      <c r="B879" s="11">
        <f>D878</f>
        <v>1017.1875</v>
      </c>
      <c r="C879" s="11">
        <f>$B$6</f>
        <v>1.171875</v>
      </c>
      <c r="D879" s="11">
        <f>B879+C879</f>
        <v>1018.359375</v>
      </c>
      <c r="E879" s="10">
        <f>MIN($B$7,ROUND(D879/$B$6,0))</f>
        <v>869</v>
      </c>
      <c r="F879" s="10" t="str">
        <f>DEC2BIN(INT(E879/64),5)&amp;DEC2BIN(MOD(E879,64),6)</f>
        <v>01101100101</v>
      </c>
      <c r="G879" s="10" t="str">
        <f>DEC2HEX(E879,3)</f>
        <v>365</v>
      </c>
      <c r="H879" s="10" t="str">
        <f>IF(ROUND(D879/$B$6,0)&gt;$B$7,"YES","NO")</f>
        <v>NO</v>
      </c>
    </row>
    <row r="880" spans="1:8">
      <c r="A880" s="8">
        <v>870</v>
      </c>
      <c r="B880" s="9">
        <f>D879</f>
        <v>1018.359375</v>
      </c>
      <c r="C880" s="9">
        <f>$B$6</f>
        <v>1.171875</v>
      </c>
      <c r="D880" s="9">
        <f>B880+C880</f>
        <v>1019.53125</v>
      </c>
      <c r="E880" s="8">
        <f>MIN($B$7,ROUND(D880/$B$6,0))</f>
        <v>870</v>
      </c>
      <c r="F880" s="8" t="str">
        <f>DEC2BIN(INT(E880/64),5)&amp;DEC2BIN(MOD(E880,64),6)</f>
        <v>01101100110</v>
      </c>
      <c r="G880" s="8" t="str">
        <f>DEC2HEX(E880,3)</f>
        <v>366</v>
      </c>
      <c r="H880" s="8" t="str">
        <f>IF(ROUND(D880/$B$6,0)&gt;$B$7,"YES","NO")</f>
        <v>NO</v>
      </c>
    </row>
    <row r="881" spans="1:8">
      <c r="A881" s="10">
        <v>871</v>
      </c>
      <c r="B881" s="11">
        <f>D880</f>
        <v>1019.53125</v>
      </c>
      <c r="C881" s="11">
        <f>$B$6</f>
        <v>1.171875</v>
      </c>
      <c r="D881" s="11">
        <f>B881+C881</f>
        <v>1020.703125</v>
      </c>
      <c r="E881" s="10">
        <f>MIN($B$7,ROUND(D881/$B$6,0))</f>
        <v>871</v>
      </c>
      <c r="F881" s="10" t="str">
        <f>DEC2BIN(INT(E881/64),5)&amp;DEC2BIN(MOD(E881,64),6)</f>
        <v>01101100111</v>
      </c>
      <c r="G881" s="10" t="str">
        <f>DEC2HEX(E881,3)</f>
        <v>367</v>
      </c>
      <c r="H881" s="10" t="str">
        <f>IF(ROUND(D881/$B$6,0)&gt;$B$7,"YES","NO")</f>
        <v>NO</v>
      </c>
    </row>
    <row r="882" spans="1:8">
      <c r="A882" s="8">
        <v>872</v>
      </c>
      <c r="B882" s="9">
        <f>D881</f>
        <v>1020.703125</v>
      </c>
      <c r="C882" s="9">
        <f>$B$6</f>
        <v>1.171875</v>
      </c>
      <c r="D882" s="9">
        <f>B882+C882</f>
        <v>1021.875</v>
      </c>
      <c r="E882" s="8">
        <f>MIN($B$7,ROUND(D882/$B$6,0))</f>
        <v>872</v>
      </c>
      <c r="F882" s="8" t="str">
        <f>DEC2BIN(INT(E882/64),5)&amp;DEC2BIN(MOD(E882,64),6)</f>
        <v>01101101000</v>
      </c>
      <c r="G882" s="8" t="str">
        <f>DEC2HEX(E882,3)</f>
        <v>368</v>
      </c>
      <c r="H882" s="8" t="str">
        <f>IF(ROUND(D882/$B$6,0)&gt;$B$7,"YES","NO")</f>
        <v>NO</v>
      </c>
    </row>
    <row r="883" spans="1:8">
      <c r="A883" s="10">
        <v>873</v>
      </c>
      <c r="B883" s="11">
        <f>D882</f>
        <v>1021.875</v>
      </c>
      <c r="C883" s="11">
        <f>$B$6</f>
        <v>1.171875</v>
      </c>
      <c r="D883" s="11">
        <f>B883+C883</f>
        <v>1023.046875</v>
      </c>
      <c r="E883" s="10">
        <f>MIN($B$7,ROUND(D883/$B$6,0))</f>
        <v>873</v>
      </c>
      <c r="F883" s="10" t="str">
        <f>DEC2BIN(INT(E883/64),5)&amp;DEC2BIN(MOD(E883,64),6)</f>
        <v>01101101001</v>
      </c>
      <c r="G883" s="10" t="str">
        <f>DEC2HEX(E883,3)</f>
        <v>369</v>
      </c>
      <c r="H883" s="10" t="str">
        <f>IF(ROUND(D883/$B$6,0)&gt;$B$7,"YES","NO")</f>
        <v>NO</v>
      </c>
    </row>
    <row r="884" spans="1:8">
      <c r="A884" s="8">
        <v>874</v>
      </c>
      <c r="B884" s="9">
        <f>D883</f>
        <v>1023.046875</v>
      </c>
      <c r="C884" s="9">
        <f>$B$6</f>
        <v>1.171875</v>
      </c>
      <c r="D884" s="9">
        <f>B884+C884</f>
        <v>1024.21875</v>
      </c>
      <c r="E884" s="8">
        <f>MIN($B$7,ROUND(D884/$B$6,0))</f>
        <v>874</v>
      </c>
      <c r="F884" s="8" t="str">
        <f>DEC2BIN(INT(E884/64),5)&amp;DEC2BIN(MOD(E884,64),6)</f>
        <v>01101101010</v>
      </c>
      <c r="G884" s="8" t="str">
        <f>DEC2HEX(E884,3)</f>
        <v>36A</v>
      </c>
      <c r="H884" s="8" t="str">
        <f>IF(ROUND(D884/$B$6,0)&gt;$B$7,"YES","NO")</f>
        <v>NO</v>
      </c>
    </row>
    <row r="885" spans="1:8">
      <c r="A885" s="10">
        <v>875</v>
      </c>
      <c r="B885" s="11">
        <f>D884</f>
        <v>1024.21875</v>
      </c>
      <c r="C885" s="11">
        <f>$B$6</f>
        <v>1.171875</v>
      </c>
      <c r="D885" s="11">
        <f>B885+C885</f>
        <v>1025.390625</v>
      </c>
      <c r="E885" s="10">
        <f>MIN($B$7,ROUND(D885/$B$6,0))</f>
        <v>875</v>
      </c>
      <c r="F885" s="10" t="str">
        <f>DEC2BIN(INT(E885/64),5)&amp;DEC2BIN(MOD(E885,64),6)</f>
        <v>01101101011</v>
      </c>
      <c r="G885" s="10" t="str">
        <f>DEC2HEX(E885,3)</f>
        <v>36B</v>
      </c>
      <c r="H885" s="10" t="str">
        <f>IF(ROUND(D885/$B$6,0)&gt;$B$7,"YES","NO")</f>
        <v>NO</v>
      </c>
    </row>
    <row r="886" spans="1:8">
      <c r="A886" s="8">
        <v>876</v>
      </c>
      <c r="B886" s="9">
        <f>D885</f>
        <v>1025.390625</v>
      </c>
      <c r="C886" s="9">
        <f>$B$6</f>
        <v>1.171875</v>
      </c>
      <c r="D886" s="9">
        <f>B886+C886</f>
        <v>1026.5625</v>
      </c>
      <c r="E886" s="8">
        <f>MIN($B$7,ROUND(D886/$B$6,0))</f>
        <v>876</v>
      </c>
      <c r="F886" s="8" t="str">
        <f>DEC2BIN(INT(E886/64),5)&amp;DEC2BIN(MOD(E886,64),6)</f>
        <v>01101101100</v>
      </c>
      <c r="G886" s="8" t="str">
        <f>DEC2HEX(E886,3)</f>
        <v>36C</v>
      </c>
      <c r="H886" s="8" t="str">
        <f>IF(ROUND(D886/$B$6,0)&gt;$B$7,"YES","NO")</f>
        <v>NO</v>
      </c>
    </row>
    <row r="887" spans="1:8">
      <c r="A887" s="10">
        <v>877</v>
      </c>
      <c r="B887" s="11">
        <f>D886</f>
        <v>1026.5625</v>
      </c>
      <c r="C887" s="11">
        <f>$B$6</f>
        <v>1.171875</v>
      </c>
      <c r="D887" s="11">
        <f>B887+C887</f>
        <v>1027.734375</v>
      </c>
      <c r="E887" s="10">
        <f>MIN($B$7,ROUND(D887/$B$6,0))</f>
        <v>877</v>
      </c>
      <c r="F887" s="10" t="str">
        <f>DEC2BIN(INT(E887/64),5)&amp;DEC2BIN(MOD(E887,64),6)</f>
        <v>01101101101</v>
      </c>
      <c r="G887" s="10" t="str">
        <f>DEC2HEX(E887,3)</f>
        <v>36D</v>
      </c>
      <c r="H887" s="10" t="str">
        <f>IF(ROUND(D887/$B$6,0)&gt;$B$7,"YES","NO")</f>
        <v>NO</v>
      </c>
    </row>
    <row r="888" spans="1:8">
      <c r="A888" s="8">
        <v>878</v>
      </c>
      <c r="B888" s="9">
        <f>D887</f>
        <v>1027.734375</v>
      </c>
      <c r="C888" s="9">
        <f>$B$6</f>
        <v>1.171875</v>
      </c>
      <c r="D888" s="9">
        <f>B888+C888</f>
        <v>1028.90625</v>
      </c>
      <c r="E888" s="8">
        <f>MIN($B$7,ROUND(D888/$B$6,0))</f>
        <v>878</v>
      </c>
      <c r="F888" s="8" t="str">
        <f>DEC2BIN(INT(E888/64),5)&amp;DEC2BIN(MOD(E888,64),6)</f>
        <v>01101101110</v>
      </c>
      <c r="G888" s="8" t="str">
        <f>DEC2HEX(E888,3)</f>
        <v>36E</v>
      </c>
      <c r="H888" s="8" t="str">
        <f>IF(ROUND(D888/$B$6,0)&gt;$B$7,"YES","NO")</f>
        <v>NO</v>
      </c>
    </row>
    <row r="889" spans="1:8">
      <c r="A889" s="10">
        <v>879</v>
      </c>
      <c r="B889" s="11">
        <f>D888</f>
        <v>1028.90625</v>
      </c>
      <c r="C889" s="11">
        <f>$B$6</f>
        <v>1.171875</v>
      </c>
      <c r="D889" s="11">
        <f>B889+C889</f>
        <v>1030.078125</v>
      </c>
      <c r="E889" s="10">
        <f>MIN($B$7,ROUND(D889/$B$6,0))</f>
        <v>879</v>
      </c>
      <c r="F889" s="10" t="str">
        <f>DEC2BIN(INT(E889/64),5)&amp;DEC2BIN(MOD(E889,64),6)</f>
        <v>01101101111</v>
      </c>
      <c r="G889" s="10" t="str">
        <f>DEC2HEX(E889,3)</f>
        <v>36F</v>
      </c>
      <c r="H889" s="10" t="str">
        <f>IF(ROUND(D889/$B$6,0)&gt;$B$7,"YES","NO")</f>
        <v>NO</v>
      </c>
    </row>
    <row r="890" spans="1:8">
      <c r="A890" s="8">
        <v>880</v>
      </c>
      <c r="B890" s="9">
        <f>D889</f>
        <v>1030.078125</v>
      </c>
      <c r="C890" s="9">
        <f>$B$6</f>
        <v>1.171875</v>
      </c>
      <c r="D890" s="9">
        <f>B890+C890</f>
        <v>1031.25</v>
      </c>
      <c r="E890" s="8">
        <f>MIN($B$7,ROUND(D890/$B$6,0))</f>
        <v>880</v>
      </c>
      <c r="F890" s="8" t="str">
        <f>DEC2BIN(INT(E890/64),5)&amp;DEC2BIN(MOD(E890,64),6)</f>
        <v>01101110000</v>
      </c>
      <c r="G890" s="8" t="str">
        <f>DEC2HEX(E890,3)</f>
        <v>370</v>
      </c>
      <c r="H890" s="8" t="str">
        <f>IF(ROUND(D890/$B$6,0)&gt;$B$7,"YES","NO")</f>
        <v>NO</v>
      </c>
    </row>
    <row r="891" spans="1:8">
      <c r="A891" s="10">
        <v>881</v>
      </c>
      <c r="B891" s="11">
        <f>D890</f>
        <v>1031.25</v>
      </c>
      <c r="C891" s="11">
        <f>$B$6</f>
        <v>1.171875</v>
      </c>
      <c r="D891" s="11">
        <f>B891+C891</f>
        <v>1032.421875</v>
      </c>
      <c r="E891" s="10">
        <f>MIN($B$7,ROUND(D891/$B$6,0))</f>
        <v>881</v>
      </c>
      <c r="F891" s="10" t="str">
        <f>DEC2BIN(INT(E891/64),5)&amp;DEC2BIN(MOD(E891,64),6)</f>
        <v>01101110001</v>
      </c>
      <c r="G891" s="10" t="str">
        <f>DEC2HEX(E891,3)</f>
        <v>371</v>
      </c>
      <c r="H891" s="10" t="str">
        <f>IF(ROUND(D891/$B$6,0)&gt;$B$7,"YES","NO")</f>
        <v>NO</v>
      </c>
    </row>
    <row r="892" spans="1:8">
      <c r="A892" s="8">
        <v>882</v>
      </c>
      <c r="B892" s="9">
        <f>D891</f>
        <v>1032.421875</v>
      </c>
      <c r="C892" s="9">
        <f>$B$6</f>
        <v>1.171875</v>
      </c>
      <c r="D892" s="9">
        <f>B892+C892</f>
        <v>1033.59375</v>
      </c>
      <c r="E892" s="8">
        <f>MIN($B$7,ROUND(D892/$B$6,0))</f>
        <v>882</v>
      </c>
      <c r="F892" s="8" t="str">
        <f>DEC2BIN(INT(E892/64),5)&amp;DEC2BIN(MOD(E892,64),6)</f>
        <v>01101110010</v>
      </c>
      <c r="G892" s="8" t="str">
        <f>DEC2HEX(E892,3)</f>
        <v>372</v>
      </c>
      <c r="H892" s="8" t="str">
        <f>IF(ROUND(D892/$B$6,0)&gt;$B$7,"YES","NO")</f>
        <v>NO</v>
      </c>
    </row>
    <row r="893" spans="1:8">
      <c r="A893" s="10">
        <v>883</v>
      </c>
      <c r="B893" s="11">
        <f>D892</f>
        <v>1033.59375</v>
      </c>
      <c r="C893" s="11">
        <f>$B$6</f>
        <v>1.171875</v>
      </c>
      <c r="D893" s="11">
        <f>B893+C893</f>
        <v>1034.765625</v>
      </c>
      <c r="E893" s="10">
        <f>MIN($B$7,ROUND(D893/$B$6,0))</f>
        <v>883</v>
      </c>
      <c r="F893" s="10" t="str">
        <f>DEC2BIN(INT(E893/64),5)&amp;DEC2BIN(MOD(E893,64),6)</f>
        <v>01101110011</v>
      </c>
      <c r="G893" s="10" t="str">
        <f>DEC2HEX(E893,3)</f>
        <v>373</v>
      </c>
      <c r="H893" s="10" t="str">
        <f>IF(ROUND(D893/$B$6,0)&gt;$B$7,"YES","NO")</f>
        <v>NO</v>
      </c>
    </row>
    <row r="894" spans="1:8">
      <c r="A894" s="8">
        <v>884</v>
      </c>
      <c r="B894" s="9">
        <f>D893</f>
        <v>1034.765625</v>
      </c>
      <c r="C894" s="9">
        <f>$B$6</f>
        <v>1.171875</v>
      </c>
      <c r="D894" s="9">
        <f>B894+C894</f>
        <v>1035.9375</v>
      </c>
      <c r="E894" s="8">
        <f>MIN($B$7,ROUND(D894/$B$6,0))</f>
        <v>884</v>
      </c>
      <c r="F894" s="8" t="str">
        <f>DEC2BIN(INT(E894/64),5)&amp;DEC2BIN(MOD(E894,64),6)</f>
        <v>01101110100</v>
      </c>
      <c r="G894" s="8" t="str">
        <f>DEC2HEX(E894,3)</f>
        <v>374</v>
      </c>
      <c r="H894" s="8" t="str">
        <f>IF(ROUND(D894/$B$6,0)&gt;$B$7,"YES","NO")</f>
        <v>NO</v>
      </c>
    </row>
    <row r="895" spans="1:8">
      <c r="A895" s="10">
        <v>885</v>
      </c>
      <c r="B895" s="11">
        <f>D894</f>
        <v>1035.9375</v>
      </c>
      <c r="C895" s="11">
        <f>$B$6</f>
        <v>1.171875</v>
      </c>
      <c r="D895" s="11">
        <f>B895+C895</f>
        <v>1037.109375</v>
      </c>
      <c r="E895" s="10">
        <f>MIN($B$7,ROUND(D895/$B$6,0))</f>
        <v>885</v>
      </c>
      <c r="F895" s="10" t="str">
        <f>DEC2BIN(INT(E895/64),5)&amp;DEC2BIN(MOD(E895,64),6)</f>
        <v>01101110101</v>
      </c>
      <c r="G895" s="10" t="str">
        <f>DEC2HEX(E895,3)</f>
        <v>375</v>
      </c>
      <c r="H895" s="10" t="str">
        <f>IF(ROUND(D895/$B$6,0)&gt;$B$7,"YES","NO")</f>
        <v>NO</v>
      </c>
    </row>
    <row r="896" spans="1:8">
      <c r="A896" s="8">
        <v>886</v>
      </c>
      <c r="B896" s="9">
        <f>D895</f>
        <v>1037.109375</v>
      </c>
      <c r="C896" s="9">
        <f>$B$6</f>
        <v>1.171875</v>
      </c>
      <c r="D896" s="9">
        <f>B896+C896</f>
        <v>1038.28125</v>
      </c>
      <c r="E896" s="8">
        <f>MIN($B$7,ROUND(D896/$B$6,0))</f>
        <v>886</v>
      </c>
      <c r="F896" s="8" t="str">
        <f>DEC2BIN(INT(E896/64),5)&amp;DEC2BIN(MOD(E896,64),6)</f>
        <v>01101110110</v>
      </c>
      <c r="G896" s="8" t="str">
        <f>DEC2HEX(E896,3)</f>
        <v>376</v>
      </c>
      <c r="H896" s="8" t="str">
        <f>IF(ROUND(D896/$B$6,0)&gt;$B$7,"YES","NO")</f>
        <v>NO</v>
      </c>
    </row>
    <row r="897" spans="1:8">
      <c r="A897" s="10">
        <v>887</v>
      </c>
      <c r="B897" s="11">
        <f>D896</f>
        <v>1038.28125</v>
      </c>
      <c r="C897" s="11">
        <f>$B$6</f>
        <v>1.171875</v>
      </c>
      <c r="D897" s="11">
        <f>B897+C897</f>
        <v>1039.453125</v>
      </c>
      <c r="E897" s="10">
        <f>MIN($B$7,ROUND(D897/$B$6,0))</f>
        <v>887</v>
      </c>
      <c r="F897" s="10" t="str">
        <f>DEC2BIN(INT(E897/64),5)&amp;DEC2BIN(MOD(E897,64),6)</f>
        <v>01101110111</v>
      </c>
      <c r="G897" s="10" t="str">
        <f>DEC2HEX(E897,3)</f>
        <v>377</v>
      </c>
      <c r="H897" s="10" t="str">
        <f>IF(ROUND(D897/$B$6,0)&gt;$B$7,"YES","NO")</f>
        <v>NO</v>
      </c>
    </row>
    <row r="898" spans="1:8">
      <c r="A898" s="8">
        <v>888</v>
      </c>
      <c r="B898" s="9">
        <f>D897</f>
        <v>1039.453125</v>
      </c>
      <c r="C898" s="9">
        <f>$B$6</f>
        <v>1.171875</v>
      </c>
      <c r="D898" s="9">
        <f>B898+C898</f>
        <v>1040.625</v>
      </c>
      <c r="E898" s="8">
        <f>MIN($B$7,ROUND(D898/$B$6,0))</f>
        <v>888</v>
      </c>
      <c r="F898" s="8" t="str">
        <f>DEC2BIN(INT(E898/64),5)&amp;DEC2BIN(MOD(E898,64),6)</f>
        <v>01101111000</v>
      </c>
      <c r="G898" s="8" t="str">
        <f>DEC2HEX(E898,3)</f>
        <v>378</v>
      </c>
      <c r="H898" s="8" t="str">
        <f>IF(ROUND(D898/$B$6,0)&gt;$B$7,"YES","NO")</f>
        <v>NO</v>
      </c>
    </row>
    <row r="899" spans="1:8">
      <c r="A899" s="10">
        <v>889</v>
      </c>
      <c r="B899" s="11">
        <f>D898</f>
        <v>1040.625</v>
      </c>
      <c r="C899" s="11">
        <f>$B$6</f>
        <v>1.171875</v>
      </c>
      <c r="D899" s="11">
        <f>B899+C899</f>
        <v>1041.796875</v>
      </c>
      <c r="E899" s="10">
        <f>MIN($B$7,ROUND(D899/$B$6,0))</f>
        <v>889</v>
      </c>
      <c r="F899" s="10" t="str">
        <f>DEC2BIN(INT(E899/64),5)&amp;DEC2BIN(MOD(E899,64),6)</f>
        <v>01101111001</v>
      </c>
      <c r="G899" s="10" t="str">
        <f>DEC2HEX(E899,3)</f>
        <v>379</v>
      </c>
      <c r="H899" s="10" t="str">
        <f>IF(ROUND(D899/$B$6,0)&gt;$B$7,"YES","NO")</f>
        <v>NO</v>
      </c>
    </row>
    <row r="900" spans="1:8">
      <c r="A900" s="8">
        <v>890</v>
      </c>
      <c r="B900" s="9">
        <f>D899</f>
        <v>1041.796875</v>
      </c>
      <c r="C900" s="9">
        <f>$B$6</f>
        <v>1.171875</v>
      </c>
      <c r="D900" s="9">
        <f>B900+C900</f>
        <v>1042.96875</v>
      </c>
      <c r="E900" s="8">
        <f>MIN($B$7,ROUND(D900/$B$6,0))</f>
        <v>890</v>
      </c>
      <c r="F900" s="8" t="str">
        <f>DEC2BIN(INT(E900/64),5)&amp;DEC2BIN(MOD(E900,64),6)</f>
        <v>01101111010</v>
      </c>
      <c r="G900" s="8" t="str">
        <f>DEC2HEX(E900,3)</f>
        <v>37A</v>
      </c>
      <c r="H900" s="8" t="str">
        <f>IF(ROUND(D900/$B$6,0)&gt;$B$7,"YES","NO")</f>
        <v>NO</v>
      </c>
    </row>
    <row r="901" spans="1:8">
      <c r="A901" s="10">
        <v>891</v>
      </c>
      <c r="B901" s="11">
        <f>D900</f>
        <v>1042.96875</v>
      </c>
      <c r="C901" s="11">
        <f>$B$6</f>
        <v>1.171875</v>
      </c>
      <c r="D901" s="11">
        <f>B901+C901</f>
        <v>1044.140625</v>
      </c>
      <c r="E901" s="10">
        <f>MIN($B$7,ROUND(D901/$B$6,0))</f>
        <v>891</v>
      </c>
      <c r="F901" s="10" t="str">
        <f>DEC2BIN(INT(E901/64),5)&amp;DEC2BIN(MOD(E901,64),6)</f>
        <v>01101111011</v>
      </c>
      <c r="G901" s="10" t="str">
        <f>DEC2HEX(E901,3)</f>
        <v>37B</v>
      </c>
      <c r="H901" s="10" t="str">
        <f>IF(ROUND(D901/$B$6,0)&gt;$B$7,"YES","NO")</f>
        <v>NO</v>
      </c>
    </row>
    <row r="902" spans="1:8">
      <c r="A902" s="8">
        <v>892</v>
      </c>
      <c r="B902" s="9">
        <f>D901</f>
        <v>1044.140625</v>
      </c>
      <c r="C902" s="9">
        <f>$B$6</f>
        <v>1.171875</v>
      </c>
      <c r="D902" s="9">
        <f>B902+C902</f>
        <v>1045.3125</v>
      </c>
      <c r="E902" s="8">
        <f>MIN($B$7,ROUND(D902/$B$6,0))</f>
        <v>892</v>
      </c>
      <c r="F902" s="8" t="str">
        <f>DEC2BIN(INT(E902/64),5)&amp;DEC2BIN(MOD(E902,64),6)</f>
        <v>01101111100</v>
      </c>
      <c r="G902" s="8" t="str">
        <f>DEC2HEX(E902,3)</f>
        <v>37C</v>
      </c>
      <c r="H902" s="8" t="str">
        <f>IF(ROUND(D902/$B$6,0)&gt;$B$7,"YES","NO")</f>
        <v>NO</v>
      </c>
    </row>
    <row r="903" spans="1:8">
      <c r="A903" s="10">
        <v>893</v>
      </c>
      <c r="B903" s="11">
        <f>D902</f>
        <v>1045.3125</v>
      </c>
      <c r="C903" s="11">
        <f>$B$6</f>
        <v>1.171875</v>
      </c>
      <c r="D903" s="11">
        <f>B903+C903</f>
        <v>1046.484375</v>
      </c>
      <c r="E903" s="10">
        <f>MIN($B$7,ROUND(D903/$B$6,0))</f>
        <v>893</v>
      </c>
      <c r="F903" s="10" t="str">
        <f>DEC2BIN(INT(E903/64),5)&amp;DEC2BIN(MOD(E903,64),6)</f>
        <v>01101111101</v>
      </c>
      <c r="G903" s="10" t="str">
        <f>DEC2HEX(E903,3)</f>
        <v>37D</v>
      </c>
      <c r="H903" s="10" t="str">
        <f>IF(ROUND(D903/$B$6,0)&gt;$B$7,"YES","NO")</f>
        <v>NO</v>
      </c>
    </row>
    <row r="904" spans="1:8">
      <c r="A904" s="8">
        <v>894</v>
      </c>
      <c r="B904" s="9">
        <f>D903</f>
        <v>1046.484375</v>
      </c>
      <c r="C904" s="9">
        <f>$B$6</f>
        <v>1.171875</v>
      </c>
      <c r="D904" s="9">
        <f>B904+C904</f>
        <v>1047.65625</v>
      </c>
      <c r="E904" s="8">
        <f>MIN($B$7,ROUND(D904/$B$6,0))</f>
        <v>894</v>
      </c>
      <c r="F904" s="8" t="str">
        <f>DEC2BIN(INT(E904/64),5)&amp;DEC2BIN(MOD(E904,64),6)</f>
        <v>01101111110</v>
      </c>
      <c r="G904" s="8" t="str">
        <f>DEC2HEX(E904,3)</f>
        <v>37E</v>
      </c>
      <c r="H904" s="8" t="str">
        <f>IF(ROUND(D904/$B$6,0)&gt;$B$7,"YES","NO")</f>
        <v>NO</v>
      </c>
    </row>
    <row r="905" spans="1:8">
      <c r="A905" s="10">
        <v>895</v>
      </c>
      <c r="B905" s="11">
        <f>D904</f>
        <v>1047.65625</v>
      </c>
      <c r="C905" s="11">
        <f>$B$6</f>
        <v>1.171875</v>
      </c>
      <c r="D905" s="11">
        <f>B905+C905</f>
        <v>1048.828125</v>
      </c>
      <c r="E905" s="10">
        <f>MIN($B$7,ROUND(D905/$B$6,0))</f>
        <v>895</v>
      </c>
      <c r="F905" s="10" t="str">
        <f>DEC2BIN(INT(E905/64),5)&amp;DEC2BIN(MOD(E905,64),6)</f>
        <v>01101111111</v>
      </c>
      <c r="G905" s="10" t="str">
        <f>DEC2HEX(E905,3)</f>
        <v>37F</v>
      </c>
      <c r="H905" s="10" t="str">
        <f>IF(ROUND(D905/$B$6,0)&gt;$B$7,"YES","NO")</f>
        <v>NO</v>
      </c>
    </row>
    <row r="906" spans="1:8">
      <c r="A906" s="8">
        <v>896</v>
      </c>
      <c r="B906" s="9">
        <f>D905</f>
        <v>1048.828125</v>
      </c>
      <c r="C906" s="9">
        <f>$B$6</f>
        <v>1.171875</v>
      </c>
      <c r="D906" s="9">
        <f>B906+C906</f>
        <v>1050</v>
      </c>
      <c r="E906" s="8">
        <f>MIN($B$7,ROUND(D906/$B$6,0))</f>
        <v>896</v>
      </c>
      <c r="F906" s="8" t="str">
        <f>DEC2BIN(INT(E906/64),5)&amp;DEC2BIN(MOD(E906,64),6)</f>
        <v>01110000000</v>
      </c>
      <c r="G906" s="8" t="str">
        <f>DEC2HEX(E906,3)</f>
        <v>380</v>
      </c>
      <c r="H906" s="8" t="str">
        <f>IF(ROUND(D906/$B$6,0)&gt;$B$7,"YES","NO")</f>
        <v>NO</v>
      </c>
    </row>
    <row r="907" spans="1:8">
      <c r="A907" s="10">
        <v>897</v>
      </c>
      <c r="B907" s="11">
        <f>D906</f>
        <v>1050</v>
      </c>
      <c r="C907" s="11">
        <f>$B$6</f>
        <v>1.171875</v>
      </c>
      <c r="D907" s="11">
        <f>B907+C907</f>
        <v>1051.171875</v>
      </c>
      <c r="E907" s="10">
        <f>MIN($B$7,ROUND(D907/$B$6,0))</f>
        <v>897</v>
      </c>
      <c r="F907" s="10" t="str">
        <f>DEC2BIN(INT(E907/64),5)&amp;DEC2BIN(MOD(E907,64),6)</f>
        <v>01110000001</v>
      </c>
      <c r="G907" s="10" t="str">
        <f>DEC2HEX(E907,3)</f>
        <v>381</v>
      </c>
      <c r="H907" s="10" t="str">
        <f>IF(ROUND(D907/$B$6,0)&gt;$B$7,"YES","NO")</f>
        <v>NO</v>
      </c>
    </row>
    <row r="908" spans="1:8">
      <c r="A908" s="8">
        <v>898</v>
      </c>
      <c r="B908" s="9">
        <f>D907</f>
        <v>1051.171875</v>
      </c>
      <c r="C908" s="9">
        <f>$B$6</f>
        <v>1.171875</v>
      </c>
      <c r="D908" s="9">
        <f>B908+C908</f>
        <v>1052.34375</v>
      </c>
      <c r="E908" s="8">
        <f>MIN($B$7,ROUND(D908/$B$6,0))</f>
        <v>898</v>
      </c>
      <c r="F908" s="8" t="str">
        <f>DEC2BIN(INT(E908/64),5)&amp;DEC2BIN(MOD(E908,64),6)</f>
        <v>01110000010</v>
      </c>
      <c r="G908" s="8" t="str">
        <f>DEC2HEX(E908,3)</f>
        <v>382</v>
      </c>
      <c r="H908" s="8" t="str">
        <f>IF(ROUND(D908/$B$6,0)&gt;$B$7,"YES","NO")</f>
        <v>NO</v>
      </c>
    </row>
    <row r="909" spans="1:8">
      <c r="A909" s="10">
        <v>899</v>
      </c>
      <c r="B909" s="11">
        <f>D908</f>
        <v>1052.34375</v>
      </c>
      <c r="C909" s="11">
        <f>$B$6</f>
        <v>1.171875</v>
      </c>
      <c r="D909" s="11">
        <f>B909+C909</f>
        <v>1053.515625</v>
      </c>
      <c r="E909" s="10">
        <f>MIN($B$7,ROUND(D909/$B$6,0))</f>
        <v>899</v>
      </c>
      <c r="F909" s="10" t="str">
        <f>DEC2BIN(INT(E909/64),5)&amp;DEC2BIN(MOD(E909,64),6)</f>
        <v>01110000011</v>
      </c>
      <c r="G909" s="10" t="str">
        <f>DEC2HEX(E909,3)</f>
        <v>383</v>
      </c>
      <c r="H909" s="10" t="str">
        <f>IF(ROUND(D909/$B$6,0)&gt;$B$7,"YES","NO")</f>
        <v>NO</v>
      </c>
    </row>
    <row r="910" spans="1:8">
      <c r="A910" s="8">
        <v>900</v>
      </c>
      <c r="B910" s="9">
        <f>D909</f>
        <v>1053.515625</v>
      </c>
      <c r="C910" s="9">
        <f>$B$6</f>
        <v>1.171875</v>
      </c>
      <c r="D910" s="9">
        <f>B910+C910</f>
        <v>1054.6875</v>
      </c>
      <c r="E910" s="8">
        <f>MIN($B$7,ROUND(D910/$B$6,0))</f>
        <v>900</v>
      </c>
      <c r="F910" s="8" t="str">
        <f>DEC2BIN(INT(E910/64),5)&amp;DEC2BIN(MOD(E910,64),6)</f>
        <v>01110000100</v>
      </c>
      <c r="G910" s="8" t="str">
        <f>DEC2HEX(E910,3)</f>
        <v>384</v>
      </c>
      <c r="H910" s="8" t="str">
        <f>IF(ROUND(D910/$B$6,0)&gt;$B$7,"YES","NO")</f>
        <v>NO</v>
      </c>
    </row>
    <row r="911" spans="1:8">
      <c r="A911" s="10">
        <v>901</v>
      </c>
      <c r="B911" s="11">
        <f>D910</f>
        <v>1054.6875</v>
      </c>
      <c r="C911" s="11">
        <f>$B$6</f>
        <v>1.171875</v>
      </c>
      <c r="D911" s="11">
        <f>B911+C911</f>
        <v>1055.859375</v>
      </c>
      <c r="E911" s="10">
        <f>MIN($B$7,ROUND(D911/$B$6,0))</f>
        <v>901</v>
      </c>
      <c r="F911" s="10" t="str">
        <f>DEC2BIN(INT(E911/64),5)&amp;DEC2BIN(MOD(E911,64),6)</f>
        <v>01110000101</v>
      </c>
      <c r="G911" s="10" t="str">
        <f>DEC2HEX(E911,3)</f>
        <v>385</v>
      </c>
      <c r="H911" s="10" t="str">
        <f>IF(ROUND(D911/$B$6,0)&gt;$B$7,"YES","NO")</f>
        <v>NO</v>
      </c>
    </row>
    <row r="912" spans="1:8">
      <c r="A912" s="8">
        <v>902</v>
      </c>
      <c r="B912" s="9">
        <f>D911</f>
        <v>1055.859375</v>
      </c>
      <c r="C912" s="9">
        <f>$B$6</f>
        <v>1.171875</v>
      </c>
      <c r="D912" s="9">
        <f>B912+C912</f>
        <v>1057.03125</v>
      </c>
      <c r="E912" s="8">
        <f>MIN($B$7,ROUND(D912/$B$6,0))</f>
        <v>902</v>
      </c>
      <c r="F912" s="8" t="str">
        <f>DEC2BIN(INT(E912/64),5)&amp;DEC2BIN(MOD(E912,64),6)</f>
        <v>01110000110</v>
      </c>
      <c r="G912" s="8" t="str">
        <f>DEC2HEX(E912,3)</f>
        <v>386</v>
      </c>
      <c r="H912" s="8" t="str">
        <f>IF(ROUND(D912/$B$6,0)&gt;$B$7,"YES","NO")</f>
        <v>NO</v>
      </c>
    </row>
    <row r="913" spans="1:8">
      <c r="A913" s="10">
        <v>903</v>
      </c>
      <c r="B913" s="11">
        <f>D912</f>
        <v>1057.03125</v>
      </c>
      <c r="C913" s="11">
        <f>$B$6</f>
        <v>1.171875</v>
      </c>
      <c r="D913" s="11">
        <f>B913+C913</f>
        <v>1058.203125</v>
      </c>
      <c r="E913" s="10">
        <f>MIN($B$7,ROUND(D913/$B$6,0))</f>
        <v>903</v>
      </c>
      <c r="F913" s="10" t="str">
        <f>DEC2BIN(INT(E913/64),5)&amp;DEC2BIN(MOD(E913,64),6)</f>
        <v>01110000111</v>
      </c>
      <c r="G913" s="10" t="str">
        <f>DEC2HEX(E913,3)</f>
        <v>387</v>
      </c>
      <c r="H913" s="10" t="str">
        <f>IF(ROUND(D913/$B$6,0)&gt;$B$7,"YES","NO")</f>
        <v>NO</v>
      </c>
    </row>
    <row r="914" spans="1:8">
      <c r="A914" s="8">
        <v>904</v>
      </c>
      <c r="B914" s="9">
        <f>D913</f>
        <v>1058.203125</v>
      </c>
      <c r="C914" s="9">
        <f>$B$6</f>
        <v>1.171875</v>
      </c>
      <c r="D914" s="9">
        <f>B914+C914</f>
        <v>1059.375</v>
      </c>
      <c r="E914" s="8">
        <f>MIN($B$7,ROUND(D914/$B$6,0))</f>
        <v>904</v>
      </c>
      <c r="F914" s="8" t="str">
        <f>DEC2BIN(INT(E914/64),5)&amp;DEC2BIN(MOD(E914,64),6)</f>
        <v>01110001000</v>
      </c>
      <c r="G914" s="8" t="str">
        <f>DEC2HEX(E914,3)</f>
        <v>388</v>
      </c>
      <c r="H914" s="8" t="str">
        <f>IF(ROUND(D914/$B$6,0)&gt;$B$7,"YES","NO")</f>
        <v>NO</v>
      </c>
    </row>
    <row r="915" spans="1:8">
      <c r="A915" s="10">
        <v>905</v>
      </c>
      <c r="B915" s="11">
        <f>D914</f>
        <v>1059.375</v>
      </c>
      <c r="C915" s="11">
        <f>$B$6</f>
        <v>1.171875</v>
      </c>
      <c r="D915" s="11">
        <f>B915+C915</f>
        <v>1060.546875</v>
      </c>
      <c r="E915" s="10">
        <f>MIN($B$7,ROUND(D915/$B$6,0))</f>
        <v>905</v>
      </c>
      <c r="F915" s="10" t="str">
        <f>DEC2BIN(INT(E915/64),5)&amp;DEC2BIN(MOD(E915,64),6)</f>
        <v>01110001001</v>
      </c>
      <c r="G915" s="10" t="str">
        <f>DEC2HEX(E915,3)</f>
        <v>389</v>
      </c>
      <c r="H915" s="10" t="str">
        <f>IF(ROUND(D915/$B$6,0)&gt;$B$7,"YES","NO")</f>
        <v>NO</v>
      </c>
    </row>
    <row r="916" spans="1:8">
      <c r="A916" s="8">
        <v>906</v>
      </c>
      <c r="B916" s="9">
        <f>D915</f>
        <v>1060.546875</v>
      </c>
      <c r="C916" s="9">
        <f>$B$6</f>
        <v>1.171875</v>
      </c>
      <c r="D916" s="9">
        <f>B916+C916</f>
        <v>1061.71875</v>
      </c>
      <c r="E916" s="8">
        <f>MIN($B$7,ROUND(D916/$B$6,0))</f>
        <v>906</v>
      </c>
      <c r="F916" s="8" t="str">
        <f>DEC2BIN(INT(E916/64),5)&amp;DEC2BIN(MOD(E916,64),6)</f>
        <v>01110001010</v>
      </c>
      <c r="G916" s="8" t="str">
        <f>DEC2HEX(E916,3)</f>
        <v>38A</v>
      </c>
      <c r="H916" s="8" t="str">
        <f>IF(ROUND(D916/$B$6,0)&gt;$B$7,"YES","NO")</f>
        <v>NO</v>
      </c>
    </row>
    <row r="917" spans="1:8">
      <c r="A917" s="10">
        <v>907</v>
      </c>
      <c r="B917" s="11">
        <f>D916</f>
        <v>1061.71875</v>
      </c>
      <c r="C917" s="11">
        <f>$B$6</f>
        <v>1.171875</v>
      </c>
      <c r="D917" s="11">
        <f>B917+C917</f>
        <v>1062.890625</v>
      </c>
      <c r="E917" s="10">
        <f>MIN($B$7,ROUND(D917/$B$6,0))</f>
        <v>907</v>
      </c>
      <c r="F917" s="10" t="str">
        <f>DEC2BIN(INT(E917/64),5)&amp;DEC2BIN(MOD(E917,64),6)</f>
        <v>01110001011</v>
      </c>
      <c r="G917" s="10" t="str">
        <f>DEC2HEX(E917,3)</f>
        <v>38B</v>
      </c>
      <c r="H917" s="10" t="str">
        <f>IF(ROUND(D917/$B$6,0)&gt;$B$7,"YES","NO")</f>
        <v>NO</v>
      </c>
    </row>
    <row r="918" spans="1:8">
      <c r="A918" s="8">
        <v>908</v>
      </c>
      <c r="B918" s="9">
        <f>D917</f>
        <v>1062.890625</v>
      </c>
      <c r="C918" s="9">
        <f>$B$6</f>
        <v>1.171875</v>
      </c>
      <c r="D918" s="9">
        <f>B918+C918</f>
        <v>1064.0625</v>
      </c>
      <c r="E918" s="8">
        <f>MIN($B$7,ROUND(D918/$B$6,0))</f>
        <v>908</v>
      </c>
      <c r="F918" s="8" t="str">
        <f>DEC2BIN(INT(E918/64),5)&amp;DEC2BIN(MOD(E918,64),6)</f>
        <v>01110001100</v>
      </c>
      <c r="G918" s="8" t="str">
        <f>DEC2HEX(E918,3)</f>
        <v>38C</v>
      </c>
      <c r="H918" s="8" t="str">
        <f>IF(ROUND(D918/$B$6,0)&gt;$B$7,"YES","NO")</f>
        <v>NO</v>
      </c>
    </row>
    <row r="919" spans="1:8">
      <c r="A919" s="10">
        <v>909</v>
      </c>
      <c r="B919" s="11">
        <f>D918</f>
        <v>1064.0625</v>
      </c>
      <c r="C919" s="11">
        <f>$B$6</f>
        <v>1.171875</v>
      </c>
      <c r="D919" s="11">
        <f>B919+C919</f>
        <v>1065.234375</v>
      </c>
      <c r="E919" s="10">
        <f>MIN($B$7,ROUND(D919/$B$6,0))</f>
        <v>909</v>
      </c>
      <c r="F919" s="10" t="str">
        <f>DEC2BIN(INT(E919/64),5)&amp;DEC2BIN(MOD(E919,64),6)</f>
        <v>01110001101</v>
      </c>
      <c r="G919" s="10" t="str">
        <f>DEC2HEX(E919,3)</f>
        <v>38D</v>
      </c>
      <c r="H919" s="10" t="str">
        <f>IF(ROUND(D919/$B$6,0)&gt;$B$7,"YES","NO")</f>
        <v>NO</v>
      </c>
    </row>
    <row r="920" spans="1:8">
      <c r="A920" s="8">
        <v>910</v>
      </c>
      <c r="B920" s="9">
        <f>D919</f>
        <v>1065.234375</v>
      </c>
      <c r="C920" s="9">
        <f>$B$6</f>
        <v>1.171875</v>
      </c>
      <c r="D920" s="9">
        <f>B920+C920</f>
        <v>1066.40625</v>
      </c>
      <c r="E920" s="8">
        <f>MIN($B$7,ROUND(D920/$B$6,0))</f>
        <v>910</v>
      </c>
      <c r="F920" s="8" t="str">
        <f>DEC2BIN(INT(E920/64),5)&amp;DEC2BIN(MOD(E920,64),6)</f>
        <v>01110001110</v>
      </c>
      <c r="G920" s="8" t="str">
        <f>DEC2HEX(E920,3)</f>
        <v>38E</v>
      </c>
      <c r="H920" s="8" t="str">
        <f>IF(ROUND(D920/$B$6,0)&gt;$B$7,"YES","NO")</f>
        <v>NO</v>
      </c>
    </row>
    <row r="921" spans="1:8">
      <c r="A921" s="10">
        <v>911</v>
      </c>
      <c r="B921" s="11">
        <f>D920</f>
        <v>1066.40625</v>
      </c>
      <c r="C921" s="11">
        <f>$B$6</f>
        <v>1.171875</v>
      </c>
      <c r="D921" s="11">
        <f>B921+C921</f>
        <v>1067.578125</v>
      </c>
      <c r="E921" s="10">
        <f>MIN($B$7,ROUND(D921/$B$6,0))</f>
        <v>911</v>
      </c>
      <c r="F921" s="10" t="str">
        <f>DEC2BIN(INT(E921/64),5)&amp;DEC2BIN(MOD(E921,64),6)</f>
        <v>01110001111</v>
      </c>
      <c r="G921" s="10" t="str">
        <f>DEC2HEX(E921,3)</f>
        <v>38F</v>
      </c>
      <c r="H921" s="10" t="str">
        <f>IF(ROUND(D921/$B$6,0)&gt;$B$7,"YES","NO")</f>
        <v>NO</v>
      </c>
    </row>
    <row r="922" spans="1:8">
      <c r="A922" s="8">
        <v>912</v>
      </c>
      <c r="B922" s="9">
        <f>D921</f>
        <v>1067.578125</v>
      </c>
      <c r="C922" s="9">
        <f>$B$6</f>
        <v>1.171875</v>
      </c>
      <c r="D922" s="9">
        <f>B922+C922</f>
        <v>1068.75</v>
      </c>
      <c r="E922" s="8">
        <f>MIN($B$7,ROUND(D922/$B$6,0))</f>
        <v>912</v>
      </c>
      <c r="F922" s="8" t="str">
        <f>DEC2BIN(INT(E922/64),5)&amp;DEC2BIN(MOD(E922,64),6)</f>
        <v>01110010000</v>
      </c>
      <c r="G922" s="8" t="str">
        <f>DEC2HEX(E922,3)</f>
        <v>390</v>
      </c>
      <c r="H922" s="8" t="str">
        <f>IF(ROUND(D922/$B$6,0)&gt;$B$7,"YES","NO")</f>
        <v>NO</v>
      </c>
    </row>
    <row r="923" spans="1:8">
      <c r="A923" s="10">
        <v>913</v>
      </c>
      <c r="B923" s="11">
        <f>D922</f>
        <v>1068.75</v>
      </c>
      <c r="C923" s="11">
        <f>$B$6</f>
        <v>1.171875</v>
      </c>
      <c r="D923" s="11">
        <f>B923+C923</f>
        <v>1069.921875</v>
      </c>
      <c r="E923" s="10">
        <f>MIN($B$7,ROUND(D923/$B$6,0))</f>
        <v>913</v>
      </c>
      <c r="F923" s="10" t="str">
        <f>DEC2BIN(INT(E923/64),5)&amp;DEC2BIN(MOD(E923,64),6)</f>
        <v>01110010001</v>
      </c>
      <c r="G923" s="10" t="str">
        <f>DEC2HEX(E923,3)</f>
        <v>391</v>
      </c>
      <c r="H923" s="10" t="str">
        <f>IF(ROUND(D923/$B$6,0)&gt;$B$7,"YES","NO")</f>
        <v>NO</v>
      </c>
    </row>
    <row r="924" spans="1:8">
      <c r="A924" s="8">
        <v>914</v>
      </c>
      <c r="B924" s="9">
        <f>D923</f>
        <v>1069.921875</v>
      </c>
      <c r="C924" s="9">
        <f>$B$6</f>
        <v>1.171875</v>
      </c>
      <c r="D924" s="9">
        <f>B924+C924</f>
        <v>1071.09375</v>
      </c>
      <c r="E924" s="8">
        <f>MIN($B$7,ROUND(D924/$B$6,0))</f>
        <v>914</v>
      </c>
      <c r="F924" s="8" t="str">
        <f>DEC2BIN(INT(E924/64),5)&amp;DEC2BIN(MOD(E924,64),6)</f>
        <v>01110010010</v>
      </c>
      <c r="G924" s="8" t="str">
        <f>DEC2HEX(E924,3)</f>
        <v>392</v>
      </c>
      <c r="H924" s="8" t="str">
        <f>IF(ROUND(D924/$B$6,0)&gt;$B$7,"YES","NO")</f>
        <v>NO</v>
      </c>
    </row>
    <row r="925" spans="1:8">
      <c r="A925" s="10">
        <v>915</v>
      </c>
      <c r="B925" s="11">
        <f>D924</f>
        <v>1071.09375</v>
      </c>
      <c r="C925" s="11">
        <f>$B$6</f>
        <v>1.171875</v>
      </c>
      <c r="D925" s="11">
        <f>B925+C925</f>
        <v>1072.265625</v>
      </c>
      <c r="E925" s="10">
        <f>MIN($B$7,ROUND(D925/$B$6,0))</f>
        <v>915</v>
      </c>
      <c r="F925" s="10" t="str">
        <f>DEC2BIN(INT(E925/64),5)&amp;DEC2BIN(MOD(E925,64),6)</f>
        <v>01110010011</v>
      </c>
      <c r="G925" s="10" t="str">
        <f>DEC2HEX(E925,3)</f>
        <v>393</v>
      </c>
      <c r="H925" s="10" t="str">
        <f>IF(ROUND(D925/$B$6,0)&gt;$B$7,"YES","NO")</f>
        <v>NO</v>
      </c>
    </row>
    <row r="926" spans="1:8">
      <c r="A926" s="8">
        <v>916</v>
      </c>
      <c r="B926" s="9">
        <f>D925</f>
        <v>1072.265625</v>
      </c>
      <c r="C926" s="9">
        <f>$B$6</f>
        <v>1.171875</v>
      </c>
      <c r="D926" s="9">
        <f>B926+C926</f>
        <v>1073.4375</v>
      </c>
      <c r="E926" s="8">
        <f>MIN($B$7,ROUND(D926/$B$6,0))</f>
        <v>916</v>
      </c>
      <c r="F926" s="8" t="str">
        <f>DEC2BIN(INT(E926/64),5)&amp;DEC2BIN(MOD(E926,64),6)</f>
        <v>01110010100</v>
      </c>
      <c r="G926" s="8" t="str">
        <f>DEC2HEX(E926,3)</f>
        <v>394</v>
      </c>
      <c r="H926" s="8" t="str">
        <f>IF(ROUND(D926/$B$6,0)&gt;$B$7,"YES","NO")</f>
        <v>NO</v>
      </c>
    </row>
    <row r="927" spans="1:8">
      <c r="A927" s="10">
        <v>917</v>
      </c>
      <c r="B927" s="11">
        <f>D926</f>
        <v>1073.4375</v>
      </c>
      <c r="C927" s="11">
        <f>$B$6</f>
        <v>1.171875</v>
      </c>
      <c r="D927" s="11">
        <f>B927+C927</f>
        <v>1074.609375</v>
      </c>
      <c r="E927" s="10">
        <f>MIN($B$7,ROUND(D927/$B$6,0))</f>
        <v>917</v>
      </c>
      <c r="F927" s="10" t="str">
        <f>DEC2BIN(INT(E927/64),5)&amp;DEC2BIN(MOD(E927,64),6)</f>
        <v>01110010101</v>
      </c>
      <c r="G927" s="10" t="str">
        <f>DEC2HEX(E927,3)</f>
        <v>395</v>
      </c>
      <c r="H927" s="10" t="str">
        <f>IF(ROUND(D927/$B$6,0)&gt;$B$7,"YES","NO")</f>
        <v>NO</v>
      </c>
    </row>
    <row r="928" spans="1:8">
      <c r="A928" s="8">
        <v>918</v>
      </c>
      <c r="B928" s="9">
        <f>D927</f>
        <v>1074.609375</v>
      </c>
      <c r="C928" s="9">
        <f>$B$6</f>
        <v>1.171875</v>
      </c>
      <c r="D928" s="9">
        <f>B928+C928</f>
        <v>1075.78125</v>
      </c>
      <c r="E928" s="8">
        <f>MIN($B$7,ROUND(D928/$B$6,0))</f>
        <v>918</v>
      </c>
      <c r="F928" s="8" t="str">
        <f>DEC2BIN(INT(E928/64),5)&amp;DEC2BIN(MOD(E928,64),6)</f>
        <v>01110010110</v>
      </c>
      <c r="G928" s="8" t="str">
        <f>DEC2HEX(E928,3)</f>
        <v>396</v>
      </c>
      <c r="H928" s="8" t="str">
        <f>IF(ROUND(D928/$B$6,0)&gt;$B$7,"YES","NO")</f>
        <v>NO</v>
      </c>
    </row>
    <row r="929" spans="1:8">
      <c r="A929" s="10">
        <v>919</v>
      </c>
      <c r="B929" s="11">
        <f>D928</f>
        <v>1075.78125</v>
      </c>
      <c r="C929" s="11">
        <f>$B$6</f>
        <v>1.171875</v>
      </c>
      <c r="D929" s="11">
        <f>B929+C929</f>
        <v>1076.953125</v>
      </c>
      <c r="E929" s="10">
        <f>MIN($B$7,ROUND(D929/$B$6,0))</f>
        <v>919</v>
      </c>
      <c r="F929" s="10" t="str">
        <f>DEC2BIN(INT(E929/64),5)&amp;DEC2BIN(MOD(E929,64),6)</f>
        <v>01110010111</v>
      </c>
      <c r="G929" s="10" t="str">
        <f>DEC2HEX(E929,3)</f>
        <v>397</v>
      </c>
      <c r="H929" s="10" t="str">
        <f>IF(ROUND(D929/$B$6,0)&gt;$B$7,"YES","NO")</f>
        <v>NO</v>
      </c>
    </row>
    <row r="930" spans="1:8">
      <c r="A930" s="8">
        <v>920</v>
      </c>
      <c r="B930" s="9">
        <f>D929</f>
        <v>1076.953125</v>
      </c>
      <c r="C930" s="9">
        <f>$B$6</f>
        <v>1.171875</v>
      </c>
      <c r="D930" s="9">
        <f>B930+C930</f>
        <v>1078.125</v>
      </c>
      <c r="E930" s="8">
        <f>MIN($B$7,ROUND(D930/$B$6,0))</f>
        <v>920</v>
      </c>
      <c r="F930" s="8" t="str">
        <f>DEC2BIN(INT(E930/64),5)&amp;DEC2BIN(MOD(E930,64),6)</f>
        <v>01110011000</v>
      </c>
      <c r="G930" s="8" t="str">
        <f>DEC2HEX(E930,3)</f>
        <v>398</v>
      </c>
      <c r="H930" s="8" t="str">
        <f>IF(ROUND(D930/$B$6,0)&gt;$B$7,"YES","NO")</f>
        <v>NO</v>
      </c>
    </row>
    <row r="931" spans="1:8">
      <c r="A931" s="10">
        <v>921</v>
      </c>
      <c r="B931" s="11">
        <f>D930</f>
        <v>1078.125</v>
      </c>
      <c r="C931" s="11">
        <f>$B$6</f>
        <v>1.171875</v>
      </c>
      <c r="D931" s="11">
        <f>B931+C931</f>
        <v>1079.296875</v>
      </c>
      <c r="E931" s="10">
        <f>MIN($B$7,ROUND(D931/$B$6,0))</f>
        <v>921</v>
      </c>
      <c r="F931" s="10" t="str">
        <f>DEC2BIN(INT(E931/64),5)&amp;DEC2BIN(MOD(E931,64),6)</f>
        <v>01110011001</v>
      </c>
      <c r="G931" s="10" t="str">
        <f>DEC2HEX(E931,3)</f>
        <v>399</v>
      </c>
      <c r="H931" s="10" t="str">
        <f>IF(ROUND(D931/$B$6,0)&gt;$B$7,"YES","NO")</f>
        <v>NO</v>
      </c>
    </row>
    <row r="932" spans="1:8">
      <c r="A932" s="8">
        <v>922</v>
      </c>
      <c r="B932" s="9">
        <f>D931</f>
        <v>1079.296875</v>
      </c>
      <c r="C932" s="9">
        <f>$B$6</f>
        <v>1.171875</v>
      </c>
      <c r="D932" s="9">
        <f>B932+C932</f>
        <v>1080.46875</v>
      </c>
      <c r="E932" s="8">
        <f>MIN($B$7,ROUND(D932/$B$6,0))</f>
        <v>922</v>
      </c>
      <c r="F932" s="8" t="str">
        <f>DEC2BIN(INT(E932/64),5)&amp;DEC2BIN(MOD(E932,64),6)</f>
        <v>01110011010</v>
      </c>
      <c r="G932" s="8" t="str">
        <f>DEC2HEX(E932,3)</f>
        <v>39A</v>
      </c>
      <c r="H932" s="8" t="str">
        <f>IF(ROUND(D932/$B$6,0)&gt;$B$7,"YES","NO")</f>
        <v>NO</v>
      </c>
    </row>
    <row r="933" spans="1:8">
      <c r="A933" s="10">
        <v>923</v>
      </c>
      <c r="B933" s="11">
        <f>D932</f>
        <v>1080.46875</v>
      </c>
      <c r="C933" s="11">
        <f>$B$6</f>
        <v>1.171875</v>
      </c>
      <c r="D933" s="11">
        <f>B933+C933</f>
        <v>1081.640625</v>
      </c>
      <c r="E933" s="10">
        <f>MIN($B$7,ROUND(D933/$B$6,0))</f>
        <v>923</v>
      </c>
      <c r="F933" s="10" t="str">
        <f>DEC2BIN(INT(E933/64),5)&amp;DEC2BIN(MOD(E933,64),6)</f>
        <v>01110011011</v>
      </c>
      <c r="G933" s="10" t="str">
        <f>DEC2HEX(E933,3)</f>
        <v>39B</v>
      </c>
      <c r="H933" s="10" t="str">
        <f>IF(ROUND(D933/$B$6,0)&gt;$B$7,"YES","NO")</f>
        <v>NO</v>
      </c>
    </row>
    <row r="934" spans="1:8">
      <c r="A934" s="8">
        <v>924</v>
      </c>
      <c r="B934" s="9">
        <f>D933</f>
        <v>1081.640625</v>
      </c>
      <c r="C934" s="9">
        <f>$B$6</f>
        <v>1.171875</v>
      </c>
      <c r="D934" s="9">
        <f>B934+C934</f>
        <v>1082.8125</v>
      </c>
      <c r="E934" s="8">
        <f>MIN($B$7,ROUND(D934/$B$6,0))</f>
        <v>924</v>
      </c>
      <c r="F934" s="8" t="str">
        <f>DEC2BIN(INT(E934/64),5)&amp;DEC2BIN(MOD(E934,64),6)</f>
        <v>01110011100</v>
      </c>
      <c r="G934" s="8" t="str">
        <f>DEC2HEX(E934,3)</f>
        <v>39C</v>
      </c>
      <c r="H934" s="8" t="str">
        <f>IF(ROUND(D934/$B$6,0)&gt;$B$7,"YES","NO")</f>
        <v>NO</v>
      </c>
    </row>
    <row r="935" spans="1:8">
      <c r="A935" s="10">
        <v>925</v>
      </c>
      <c r="B935" s="11">
        <f>D934</f>
        <v>1082.8125</v>
      </c>
      <c r="C935" s="11">
        <f>$B$6</f>
        <v>1.171875</v>
      </c>
      <c r="D935" s="11">
        <f>B935+C935</f>
        <v>1083.984375</v>
      </c>
      <c r="E935" s="10">
        <f>MIN($B$7,ROUND(D935/$B$6,0))</f>
        <v>925</v>
      </c>
      <c r="F935" s="10" t="str">
        <f>DEC2BIN(INT(E935/64),5)&amp;DEC2BIN(MOD(E935,64),6)</f>
        <v>01110011101</v>
      </c>
      <c r="G935" s="10" t="str">
        <f>DEC2HEX(E935,3)</f>
        <v>39D</v>
      </c>
      <c r="H935" s="10" t="str">
        <f>IF(ROUND(D935/$B$6,0)&gt;$B$7,"YES","NO")</f>
        <v>NO</v>
      </c>
    </row>
    <row r="936" spans="1:8">
      <c r="A936" s="8">
        <v>926</v>
      </c>
      <c r="B936" s="9">
        <f>D935</f>
        <v>1083.984375</v>
      </c>
      <c r="C936" s="9">
        <f>$B$6</f>
        <v>1.171875</v>
      </c>
      <c r="D936" s="9">
        <f>B936+C936</f>
        <v>1085.15625</v>
      </c>
      <c r="E936" s="8">
        <f>MIN($B$7,ROUND(D936/$B$6,0))</f>
        <v>926</v>
      </c>
      <c r="F936" s="8" t="str">
        <f>DEC2BIN(INT(E936/64),5)&amp;DEC2BIN(MOD(E936,64),6)</f>
        <v>01110011110</v>
      </c>
      <c r="G936" s="8" t="str">
        <f>DEC2HEX(E936,3)</f>
        <v>39E</v>
      </c>
      <c r="H936" s="8" t="str">
        <f>IF(ROUND(D936/$B$6,0)&gt;$B$7,"YES","NO")</f>
        <v>NO</v>
      </c>
    </row>
    <row r="937" spans="1:8">
      <c r="A937" s="10">
        <v>927</v>
      </c>
      <c r="B937" s="11">
        <f>D936</f>
        <v>1085.15625</v>
      </c>
      <c r="C937" s="11">
        <f>$B$6</f>
        <v>1.171875</v>
      </c>
      <c r="D937" s="11">
        <f>B937+C937</f>
        <v>1086.328125</v>
      </c>
      <c r="E937" s="10">
        <f>MIN($B$7,ROUND(D937/$B$6,0))</f>
        <v>927</v>
      </c>
      <c r="F937" s="10" t="str">
        <f>DEC2BIN(INT(E937/64),5)&amp;DEC2BIN(MOD(E937,64),6)</f>
        <v>01110011111</v>
      </c>
      <c r="G937" s="10" t="str">
        <f>DEC2HEX(E937,3)</f>
        <v>39F</v>
      </c>
      <c r="H937" s="10" t="str">
        <f>IF(ROUND(D937/$B$6,0)&gt;$B$7,"YES","NO")</f>
        <v>NO</v>
      </c>
    </row>
    <row r="938" spans="1:8">
      <c r="A938" s="8">
        <v>928</v>
      </c>
      <c r="B938" s="9">
        <f>D937</f>
        <v>1086.328125</v>
      </c>
      <c r="C938" s="9">
        <f>$B$6</f>
        <v>1.171875</v>
      </c>
      <c r="D938" s="9">
        <f>B938+C938</f>
        <v>1087.5</v>
      </c>
      <c r="E938" s="8">
        <f>MIN($B$7,ROUND(D938/$B$6,0))</f>
        <v>928</v>
      </c>
      <c r="F938" s="8" t="str">
        <f>DEC2BIN(INT(E938/64),5)&amp;DEC2BIN(MOD(E938,64),6)</f>
        <v>01110100000</v>
      </c>
      <c r="G938" s="8" t="str">
        <f>DEC2HEX(E938,3)</f>
        <v>3A0</v>
      </c>
      <c r="H938" s="8" t="str">
        <f>IF(ROUND(D938/$B$6,0)&gt;$B$7,"YES","NO")</f>
        <v>NO</v>
      </c>
    </row>
    <row r="939" spans="1:8">
      <c r="A939" s="10">
        <v>929</v>
      </c>
      <c r="B939" s="11">
        <f>D938</f>
        <v>1087.5</v>
      </c>
      <c r="C939" s="11">
        <f>$B$6</f>
        <v>1.171875</v>
      </c>
      <c r="D939" s="11">
        <f>B939+C939</f>
        <v>1088.671875</v>
      </c>
      <c r="E939" s="10">
        <f>MIN($B$7,ROUND(D939/$B$6,0))</f>
        <v>929</v>
      </c>
      <c r="F939" s="10" t="str">
        <f>DEC2BIN(INT(E939/64),5)&amp;DEC2BIN(MOD(E939,64),6)</f>
        <v>01110100001</v>
      </c>
      <c r="G939" s="10" t="str">
        <f>DEC2HEX(E939,3)</f>
        <v>3A1</v>
      </c>
      <c r="H939" s="10" t="str">
        <f>IF(ROUND(D939/$B$6,0)&gt;$B$7,"YES","NO")</f>
        <v>NO</v>
      </c>
    </row>
    <row r="940" spans="1:8">
      <c r="A940" s="8">
        <v>930</v>
      </c>
      <c r="B940" s="9">
        <f>D939</f>
        <v>1088.671875</v>
      </c>
      <c r="C940" s="9">
        <f>$B$6</f>
        <v>1.171875</v>
      </c>
      <c r="D940" s="9">
        <f>B940+C940</f>
        <v>1089.84375</v>
      </c>
      <c r="E940" s="8">
        <f>MIN($B$7,ROUND(D940/$B$6,0))</f>
        <v>930</v>
      </c>
      <c r="F940" s="8" t="str">
        <f>DEC2BIN(INT(E940/64),5)&amp;DEC2BIN(MOD(E940,64),6)</f>
        <v>01110100010</v>
      </c>
      <c r="G940" s="8" t="str">
        <f>DEC2HEX(E940,3)</f>
        <v>3A2</v>
      </c>
      <c r="H940" s="8" t="str">
        <f>IF(ROUND(D940/$B$6,0)&gt;$B$7,"YES","NO")</f>
        <v>NO</v>
      </c>
    </row>
    <row r="941" spans="1:8">
      <c r="A941" s="10">
        <v>931</v>
      </c>
      <c r="B941" s="11">
        <f>D940</f>
        <v>1089.84375</v>
      </c>
      <c r="C941" s="11">
        <f>$B$6</f>
        <v>1.171875</v>
      </c>
      <c r="D941" s="11">
        <f>B941+C941</f>
        <v>1091.015625</v>
      </c>
      <c r="E941" s="10">
        <f>MIN($B$7,ROUND(D941/$B$6,0))</f>
        <v>931</v>
      </c>
      <c r="F941" s="10" t="str">
        <f>DEC2BIN(INT(E941/64),5)&amp;DEC2BIN(MOD(E941,64),6)</f>
        <v>01110100011</v>
      </c>
      <c r="G941" s="10" t="str">
        <f>DEC2HEX(E941,3)</f>
        <v>3A3</v>
      </c>
      <c r="H941" s="10" t="str">
        <f>IF(ROUND(D941/$B$6,0)&gt;$B$7,"YES","NO")</f>
        <v>NO</v>
      </c>
    </row>
    <row r="942" spans="1:8">
      <c r="A942" s="8">
        <v>932</v>
      </c>
      <c r="B942" s="9">
        <f>D941</f>
        <v>1091.015625</v>
      </c>
      <c r="C942" s="9">
        <f>$B$6</f>
        <v>1.171875</v>
      </c>
      <c r="D942" s="9">
        <f>B942+C942</f>
        <v>1092.1875</v>
      </c>
      <c r="E942" s="8">
        <f>MIN($B$7,ROUND(D942/$B$6,0))</f>
        <v>932</v>
      </c>
      <c r="F942" s="8" t="str">
        <f>DEC2BIN(INT(E942/64),5)&amp;DEC2BIN(MOD(E942,64),6)</f>
        <v>01110100100</v>
      </c>
      <c r="G942" s="8" t="str">
        <f>DEC2HEX(E942,3)</f>
        <v>3A4</v>
      </c>
      <c r="H942" s="8" t="str">
        <f>IF(ROUND(D942/$B$6,0)&gt;$B$7,"YES","NO")</f>
        <v>NO</v>
      </c>
    </row>
    <row r="943" spans="1:8">
      <c r="A943" s="10">
        <v>933</v>
      </c>
      <c r="B943" s="11">
        <f>D942</f>
        <v>1092.1875</v>
      </c>
      <c r="C943" s="11">
        <f>$B$6</f>
        <v>1.171875</v>
      </c>
      <c r="D943" s="11">
        <f>B943+C943</f>
        <v>1093.359375</v>
      </c>
      <c r="E943" s="10">
        <f>MIN($B$7,ROUND(D943/$B$6,0))</f>
        <v>933</v>
      </c>
      <c r="F943" s="10" t="str">
        <f>DEC2BIN(INT(E943/64),5)&amp;DEC2BIN(MOD(E943,64),6)</f>
        <v>01110100101</v>
      </c>
      <c r="G943" s="10" t="str">
        <f>DEC2HEX(E943,3)</f>
        <v>3A5</v>
      </c>
      <c r="H943" s="10" t="str">
        <f>IF(ROUND(D943/$B$6,0)&gt;$B$7,"YES","NO")</f>
        <v>NO</v>
      </c>
    </row>
    <row r="944" spans="1:8">
      <c r="A944" s="8">
        <v>934</v>
      </c>
      <c r="B944" s="9">
        <f>D943</f>
        <v>1093.359375</v>
      </c>
      <c r="C944" s="9">
        <f>$B$6</f>
        <v>1.171875</v>
      </c>
      <c r="D944" s="9">
        <f>B944+C944</f>
        <v>1094.53125</v>
      </c>
      <c r="E944" s="8">
        <f>MIN($B$7,ROUND(D944/$B$6,0))</f>
        <v>934</v>
      </c>
      <c r="F944" s="8" t="str">
        <f>DEC2BIN(INT(E944/64),5)&amp;DEC2BIN(MOD(E944,64),6)</f>
        <v>01110100110</v>
      </c>
      <c r="G944" s="8" t="str">
        <f>DEC2HEX(E944,3)</f>
        <v>3A6</v>
      </c>
      <c r="H944" s="8" t="str">
        <f>IF(ROUND(D944/$B$6,0)&gt;$B$7,"YES","NO")</f>
        <v>NO</v>
      </c>
    </row>
    <row r="945" spans="1:8">
      <c r="A945" s="10">
        <v>935</v>
      </c>
      <c r="B945" s="11">
        <f>D944</f>
        <v>1094.53125</v>
      </c>
      <c r="C945" s="11">
        <f>$B$6</f>
        <v>1.171875</v>
      </c>
      <c r="D945" s="11">
        <f>B945+C945</f>
        <v>1095.703125</v>
      </c>
      <c r="E945" s="10">
        <f>MIN($B$7,ROUND(D945/$B$6,0))</f>
        <v>935</v>
      </c>
      <c r="F945" s="10" t="str">
        <f>DEC2BIN(INT(E945/64),5)&amp;DEC2BIN(MOD(E945,64),6)</f>
        <v>01110100111</v>
      </c>
      <c r="G945" s="10" t="str">
        <f>DEC2HEX(E945,3)</f>
        <v>3A7</v>
      </c>
      <c r="H945" s="10" t="str">
        <f>IF(ROUND(D945/$B$6,0)&gt;$B$7,"YES","NO")</f>
        <v>NO</v>
      </c>
    </row>
    <row r="946" spans="1:8">
      <c r="A946" s="8">
        <v>936</v>
      </c>
      <c r="B946" s="9">
        <f>D945</f>
        <v>1095.703125</v>
      </c>
      <c r="C946" s="9">
        <f>$B$6</f>
        <v>1.171875</v>
      </c>
      <c r="D946" s="9">
        <f>B946+C946</f>
        <v>1096.875</v>
      </c>
      <c r="E946" s="8">
        <f>MIN($B$7,ROUND(D946/$B$6,0))</f>
        <v>936</v>
      </c>
      <c r="F946" s="8" t="str">
        <f>DEC2BIN(INT(E946/64),5)&amp;DEC2BIN(MOD(E946,64),6)</f>
        <v>01110101000</v>
      </c>
      <c r="G946" s="8" t="str">
        <f>DEC2HEX(E946,3)</f>
        <v>3A8</v>
      </c>
      <c r="H946" s="8" t="str">
        <f>IF(ROUND(D946/$B$6,0)&gt;$B$7,"YES","NO")</f>
        <v>NO</v>
      </c>
    </row>
    <row r="947" spans="1:8">
      <c r="A947" s="10">
        <v>937</v>
      </c>
      <c r="B947" s="11">
        <f>D946</f>
        <v>1096.875</v>
      </c>
      <c r="C947" s="11">
        <f>$B$6</f>
        <v>1.171875</v>
      </c>
      <c r="D947" s="11">
        <f>B947+C947</f>
        <v>1098.046875</v>
      </c>
      <c r="E947" s="10">
        <f>MIN($B$7,ROUND(D947/$B$6,0))</f>
        <v>937</v>
      </c>
      <c r="F947" s="10" t="str">
        <f>DEC2BIN(INT(E947/64),5)&amp;DEC2BIN(MOD(E947,64),6)</f>
        <v>01110101001</v>
      </c>
      <c r="G947" s="10" t="str">
        <f>DEC2HEX(E947,3)</f>
        <v>3A9</v>
      </c>
      <c r="H947" s="10" t="str">
        <f>IF(ROUND(D947/$B$6,0)&gt;$B$7,"YES","NO")</f>
        <v>NO</v>
      </c>
    </row>
    <row r="948" spans="1:8">
      <c r="A948" s="8">
        <v>938</v>
      </c>
      <c r="B948" s="9">
        <f>D947</f>
        <v>1098.046875</v>
      </c>
      <c r="C948" s="9">
        <f>$B$6</f>
        <v>1.171875</v>
      </c>
      <c r="D948" s="9">
        <f>B948+C948</f>
        <v>1099.21875</v>
      </c>
      <c r="E948" s="8">
        <f>MIN($B$7,ROUND(D948/$B$6,0))</f>
        <v>938</v>
      </c>
      <c r="F948" s="8" t="str">
        <f>DEC2BIN(INT(E948/64),5)&amp;DEC2BIN(MOD(E948,64),6)</f>
        <v>01110101010</v>
      </c>
      <c r="G948" s="8" t="str">
        <f>DEC2HEX(E948,3)</f>
        <v>3AA</v>
      </c>
      <c r="H948" s="8" t="str">
        <f>IF(ROUND(D948/$B$6,0)&gt;$B$7,"YES","NO")</f>
        <v>NO</v>
      </c>
    </row>
    <row r="949" spans="1:8">
      <c r="A949" s="10">
        <v>939</v>
      </c>
      <c r="B949" s="11">
        <f>D948</f>
        <v>1099.21875</v>
      </c>
      <c r="C949" s="11">
        <f>$B$6</f>
        <v>1.171875</v>
      </c>
      <c r="D949" s="11">
        <f>B949+C949</f>
        <v>1100.390625</v>
      </c>
      <c r="E949" s="10">
        <f>MIN($B$7,ROUND(D949/$B$6,0))</f>
        <v>939</v>
      </c>
      <c r="F949" s="10" t="str">
        <f>DEC2BIN(INT(E949/64),5)&amp;DEC2BIN(MOD(E949,64),6)</f>
        <v>01110101011</v>
      </c>
      <c r="G949" s="10" t="str">
        <f>DEC2HEX(E949,3)</f>
        <v>3AB</v>
      </c>
      <c r="H949" s="10" t="str">
        <f>IF(ROUND(D949/$B$6,0)&gt;$B$7,"YES","NO")</f>
        <v>NO</v>
      </c>
    </row>
    <row r="950" spans="1:8">
      <c r="A950" s="8">
        <v>940</v>
      </c>
      <c r="B950" s="9">
        <f>D949</f>
        <v>1100.390625</v>
      </c>
      <c r="C950" s="9">
        <f>$B$6</f>
        <v>1.171875</v>
      </c>
      <c r="D950" s="9">
        <f>B950+C950</f>
        <v>1101.5625</v>
      </c>
      <c r="E950" s="8">
        <f>MIN($B$7,ROUND(D950/$B$6,0))</f>
        <v>940</v>
      </c>
      <c r="F950" s="8" t="str">
        <f>DEC2BIN(INT(E950/64),5)&amp;DEC2BIN(MOD(E950,64),6)</f>
        <v>01110101100</v>
      </c>
      <c r="G950" s="8" t="str">
        <f>DEC2HEX(E950,3)</f>
        <v>3AC</v>
      </c>
      <c r="H950" s="8" t="str">
        <f>IF(ROUND(D950/$B$6,0)&gt;$B$7,"YES","NO")</f>
        <v>NO</v>
      </c>
    </row>
    <row r="951" spans="1:8">
      <c r="A951" s="10">
        <v>941</v>
      </c>
      <c r="B951" s="11">
        <f>D950</f>
        <v>1101.5625</v>
      </c>
      <c r="C951" s="11">
        <f>$B$6</f>
        <v>1.171875</v>
      </c>
      <c r="D951" s="11">
        <f>B951+C951</f>
        <v>1102.734375</v>
      </c>
      <c r="E951" s="10">
        <f>MIN($B$7,ROUND(D951/$B$6,0))</f>
        <v>941</v>
      </c>
      <c r="F951" s="10" t="str">
        <f>DEC2BIN(INT(E951/64),5)&amp;DEC2BIN(MOD(E951,64),6)</f>
        <v>01110101101</v>
      </c>
      <c r="G951" s="10" t="str">
        <f>DEC2HEX(E951,3)</f>
        <v>3AD</v>
      </c>
      <c r="H951" s="10" t="str">
        <f>IF(ROUND(D951/$B$6,0)&gt;$B$7,"YES","NO")</f>
        <v>NO</v>
      </c>
    </row>
    <row r="952" spans="1:8">
      <c r="A952" s="8">
        <v>942</v>
      </c>
      <c r="B952" s="9">
        <f>D951</f>
        <v>1102.734375</v>
      </c>
      <c r="C952" s="9">
        <f>$B$6</f>
        <v>1.171875</v>
      </c>
      <c r="D952" s="9">
        <f>B952+C952</f>
        <v>1103.90625</v>
      </c>
      <c r="E952" s="8">
        <f>MIN($B$7,ROUND(D952/$B$6,0))</f>
        <v>942</v>
      </c>
      <c r="F952" s="8" t="str">
        <f>DEC2BIN(INT(E952/64),5)&amp;DEC2BIN(MOD(E952,64),6)</f>
        <v>01110101110</v>
      </c>
      <c r="G952" s="8" t="str">
        <f>DEC2HEX(E952,3)</f>
        <v>3AE</v>
      </c>
      <c r="H952" s="8" t="str">
        <f>IF(ROUND(D952/$B$6,0)&gt;$B$7,"YES","NO")</f>
        <v>NO</v>
      </c>
    </row>
    <row r="953" spans="1:8">
      <c r="A953" s="10">
        <v>943</v>
      </c>
      <c r="B953" s="11">
        <f>D952</f>
        <v>1103.90625</v>
      </c>
      <c r="C953" s="11">
        <f>$B$6</f>
        <v>1.171875</v>
      </c>
      <c r="D953" s="11">
        <f>B953+C953</f>
        <v>1105.078125</v>
      </c>
      <c r="E953" s="10">
        <f>MIN($B$7,ROUND(D953/$B$6,0))</f>
        <v>943</v>
      </c>
      <c r="F953" s="10" t="str">
        <f>DEC2BIN(INT(E953/64),5)&amp;DEC2BIN(MOD(E953,64),6)</f>
        <v>01110101111</v>
      </c>
      <c r="G953" s="10" t="str">
        <f>DEC2HEX(E953,3)</f>
        <v>3AF</v>
      </c>
      <c r="H953" s="10" t="str">
        <f>IF(ROUND(D953/$B$6,0)&gt;$B$7,"YES","NO")</f>
        <v>NO</v>
      </c>
    </row>
    <row r="954" spans="1:8">
      <c r="A954" s="8">
        <v>944</v>
      </c>
      <c r="B954" s="9">
        <f>D953</f>
        <v>1105.078125</v>
      </c>
      <c r="C954" s="9">
        <f>$B$6</f>
        <v>1.171875</v>
      </c>
      <c r="D954" s="9">
        <f>B954+C954</f>
        <v>1106.25</v>
      </c>
      <c r="E954" s="8">
        <f>MIN($B$7,ROUND(D954/$B$6,0))</f>
        <v>944</v>
      </c>
      <c r="F954" s="8" t="str">
        <f>DEC2BIN(INT(E954/64),5)&amp;DEC2BIN(MOD(E954,64),6)</f>
        <v>01110110000</v>
      </c>
      <c r="G954" s="8" t="str">
        <f>DEC2HEX(E954,3)</f>
        <v>3B0</v>
      </c>
      <c r="H954" s="8" t="str">
        <f>IF(ROUND(D954/$B$6,0)&gt;$B$7,"YES","NO")</f>
        <v>NO</v>
      </c>
    </row>
    <row r="955" spans="1:8">
      <c r="A955" s="10">
        <v>945</v>
      </c>
      <c r="B955" s="11">
        <f>D954</f>
        <v>1106.25</v>
      </c>
      <c r="C955" s="11">
        <f>$B$6</f>
        <v>1.171875</v>
      </c>
      <c r="D955" s="11">
        <f>B955+C955</f>
        <v>1107.421875</v>
      </c>
      <c r="E955" s="10">
        <f>MIN($B$7,ROUND(D955/$B$6,0))</f>
        <v>945</v>
      </c>
      <c r="F955" s="10" t="str">
        <f>DEC2BIN(INT(E955/64),5)&amp;DEC2BIN(MOD(E955,64),6)</f>
        <v>01110110001</v>
      </c>
      <c r="G955" s="10" t="str">
        <f>DEC2HEX(E955,3)</f>
        <v>3B1</v>
      </c>
      <c r="H955" s="10" t="str">
        <f>IF(ROUND(D955/$B$6,0)&gt;$B$7,"YES","NO")</f>
        <v>NO</v>
      </c>
    </row>
    <row r="956" spans="1:8">
      <c r="A956" s="8">
        <v>946</v>
      </c>
      <c r="B956" s="9">
        <f>D955</f>
        <v>1107.421875</v>
      </c>
      <c r="C956" s="9">
        <f>$B$6</f>
        <v>1.171875</v>
      </c>
      <c r="D956" s="9">
        <f>B956+C956</f>
        <v>1108.59375</v>
      </c>
      <c r="E956" s="8">
        <f>MIN($B$7,ROUND(D956/$B$6,0))</f>
        <v>946</v>
      </c>
      <c r="F956" s="8" t="str">
        <f>DEC2BIN(INT(E956/64),5)&amp;DEC2BIN(MOD(E956,64),6)</f>
        <v>01110110010</v>
      </c>
      <c r="G956" s="8" t="str">
        <f>DEC2HEX(E956,3)</f>
        <v>3B2</v>
      </c>
      <c r="H956" s="8" t="str">
        <f>IF(ROUND(D956/$B$6,0)&gt;$B$7,"YES","NO")</f>
        <v>NO</v>
      </c>
    </row>
    <row r="957" spans="1:8">
      <c r="A957" s="10">
        <v>947</v>
      </c>
      <c r="B957" s="11">
        <f>D956</f>
        <v>1108.59375</v>
      </c>
      <c r="C957" s="11">
        <f>$B$6</f>
        <v>1.171875</v>
      </c>
      <c r="D957" s="11">
        <f>B957+C957</f>
        <v>1109.765625</v>
      </c>
      <c r="E957" s="10">
        <f>MIN($B$7,ROUND(D957/$B$6,0))</f>
        <v>947</v>
      </c>
      <c r="F957" s="10" t="str">
        <f>DEC2BIN(INT(E957/64),5)&amp;DEC2BIN(MOD(E957,64),6)</f>
        <v>01110110011</v>
      </c>
      <c r="G957" s="10" t="str">
        <f>DEC2HEX(E957,3)</f>
        <v>3B3</v>
      </c>
      <c r="H957" s="10" t="str">
        <f>IF(ROUND(D957/$B$6,0)&gt;$B$7,"YES","NO")</f>
        <v>NO</v>
      </c>
    </row>
    <row r="958" spans="1:8">
      <c r="A958" s="8">
        <v>948</v>
      </c>
      <c r="B958" s="9">
        <f>D957</f>
        <v>1109.765625</v>
      </c>
      <c r="C958" s="9">
        <f>$B$6</f>
        <v>1.171875</v>
      </c>
      <c r="D958" s="9">
        <f>B958+C958</f>
        <v>1110.9375</v>
      </c>
      <c r="E958" s="8">
        <f>MIN($B$7,ROUND(D958/$B$6,0))</f>
        <v>948</v>
      </c>
      <c r="F958" s="8" t="str">
        <f>DEC2BIN(INT(E958/64),5)&amp;DEC2BIN(MOD(E958,64),6)</f>
        <v>01110110100</v>
      </c>
      <c r="G958" s="8" t="str">
        <f>DEC2HEX(E958,3)</f>
        <v>3B4</v>
      </c>
      <c r="H958" s="8" t="str">
        <f>IF(ROUND(D958/$B$6,0)&gt;$B$7,"YES","NO")</f>
        <v>NO</v>
      </c>
    </row>
    <row r="959" spans="1:8">
      <c r="A959" s="10">
        <v>949</v>
      </c>
      <c r="B959" s="11">
        <f>D958</f>
        <v>1110.9375</v>
      </c>
      <c r="C959" s="11">
        <f>$B$6</f>
        <v>1.171875</v>
      </c>
      <c r="D959" s="11">
        <f>B959+C959</f>
        <v>1112.109375</v>
      </c>
      <c r="E959" s="10">
        <f>MIN($B$7,ROUND(D959/$B$6,0))</f>
        <v>949</v>
      </c>
      <c r="F959" s="10" t="str">
        <f>DEC2BIN(INT(E959/64),5)&amp;DEC2BIN(MOD(E959,64),6)</f>
        <v>01110110101</v>
      </c>
      <c r="G959" s="10" t="str">
        <f>DEC2HEX(E959,3)</f>
        <v>3B5</v>
      </c>
      <c r="H959" s="10" t="str">
        <f>IF(ROUND(D959/$B$6,0)&gt;$B$7,"YES","NO")</f>
        <v>NO</v>
      </c>
    </row>
    <row r="960" spans="1:8">
      <c r="A960" s="8">
        <v>950</v>
      </c>
      <c r="B960" s="9">
        <f>D959</f>
        <v>1112.109375</v>
      </c>
      <c r="C960" s="9">
        <f>$B$6</f>
        <v>1.171875</v>
      </c>
      <c r="D960" s="9">
        <f>B960+C960</f>
        <v>1113.28125</v>
      </c>
      <c r="E960" s="8">
        <f>MIN($B$7,ROUND(D960/$B$6,0))</f>
        <v>950</v>
      </c>
      <c r="F960" s="8" t="str">
        <f>DEC2BIN(INT(E960/64),5)&amp;DEC2BIN(MOD(E960,64),6)</f>
        <v>01110110110</v>
      </c>
      <c r="G960" s="8" t="str">
        <f>DEC2HEX(E960,3)</f>
        <v>3B6</v>
      </c>
      <c r="H960" s="8" t="str">
        <f>IF(ROUND(D960/$B$6,0)&gt;$B$7,"YES","NO")</f>
        <v>NO</v>
      </c>
    </row>
    <row r="961" spans="1:8">
      <c r="A961" s="10">
        <v>951</v>
      </c>
      <c r="B961" s="11">
        <f>D960</f>
        <v>1113.28125</v>
      </c>
      <c r="C961" s="11">
        <f>$B$6</f>
        <v>1.171875</v>
      </c>
      <c r="D961" s="11">
        <f>B961+C961</f>
        <v>1114.453125</v>
      </c>
      <c r="E961" s="10">
        <f>MIN($B$7,ROUND(D961/$B$6,0))</f>
        <v>951</v>
      </c>
      <c r="F961" s="10" t="str">
        <f>DEC2BIN(INT(E961/64),5)&amp;DEC2BIN(MOD(E961,64),6)</f>
        <v>01110110111</v>
      </c>
      <c r="G961" s="10" t="str">
        <f>DEC2HEX(E961,3)</f>
        <v>3B7</v>
      </c>
      <c r="H961" s="10" t="str">
        <f>IF(ROUND(D961/$B$6,0)&gt;$B$7,"YES","NO")</f>
        <v>NO</v>
      </c>
    </row>
    <row r="962" spans="1:8">
      <c r="A962" s="8">
        <v>952</v>
      </c>
      <c r="B962" s="9">
        <f>D961</f>
        <v>1114.453125</v>
      </c>
      <c r="C962" s="9">
        <f>$B$6</f>
        <v>1.171875</v>
      </c>
      <c r="D962" s="9">
        <f>B962+C962</f>
        <v>1115.625</v>
      </c>
      <c r="E962" s="8">
        <f>MIN($B$7,ROUND(D962/$B$6,0))</f>
        <v>952</v>
      </c>
      <c r="F962" s="8" t="str">
        <f>DEC2BIN(INT(E962/64),5)&amp;DEC2BIN(MOD(E962,64),6)</f>
        <v>01110111000</v>
      </c>
      <c r="G962" s="8" t="str">
        <f>DEC2HEX(E962,3)</f>
        <v>3B8</v>
      </c>
      <c r="H962" s="8" t="str">
        <f>IF(ROUND(D962/$B$6,0)&gt;$B$7,"YES","NO")</f>
        <v>NO</v>
      </c>
    </row>
    <row r="963" spans="1:8">
      <c r="A963" s="10">
        <v>953</v>
      </c>
      <c r="B963" s="11">
        <f>D962</f>
        <v>1115.625</v>
      </c>
      <c r="C963" s="11">
        <f>$B$6</f>
        <v>1.171875</v>
      </c>
      <c r="D963" s="11">
        <f>B963+C963</f>
        <v>1116.796875</v>
      </c>
      <c r="E963" s="10">
        <f>MIN($B$7,ROUND(D963/$B$6,0))</f>
        <v>953</v>
      </c>
      <c r="F963" s="10" t="str">
        <f>DEC2BIN(INT(E963/64),5)&amp;DEC2BIN(MOD(E963,64),6)</f>
        <v>01110111001</v>
      </c>
      <c r="G963" s="10" t="str">
        <f>DEC2HEX(E963,3)</f>
        <v>3B9</v>
      </c>
      <c r="H963" s="10" t="str">
        <f>IF(ROUND(D963/$B$6,0)&gt;$B$7,"YES","NO")</f>
        <v>NO</v>
      </c>
    </row>
    <row r="964" spans="1:8">
      <c r="A964" s="8">
        <v>954</v>
      </c>
      <c r="B964" s="9">
        <f>D963</f>
        <v>1116.796875</v>
      </c>
      <c r="C964" s="9">
        <f>$B$6</f>
        <v>1.171875</v>
      </c>
      <c r="D964" s="9">
        <f>B964+C964</f>
        <v>1117.96875</v>
      </c>
      <c r="E964" s="8">
        <f>MIN($B$7,ROUND(D964/$B$6,0))</f>
        <v>954</v>
      </c>
      <c r="F964" s="8" t="str">
        <f>DEC2BIN(INT(E964/64),5)&amp;DEC2BIN(MOD(E964,64),6)</f>
        <v>01110111010</v>
      </c>
      <c r="G964" s="8" t="str">
        <f>DEC2HEX(E964,3)</f>
        <v>3BA</v>
      </c>
      <c r="H964" s="8" t="str">
        <f>IF(ROUND(D964/$B$6,0)&gt;$B$7,"YES","NO")</f>
        <v>NO</v>
      </c>
    </row>
    <row r="965" spans="1:8">
      <c r="A965" s="10">
        <v>955</v>
      </c>
      <c r="B965" s="11">
        <f>D964</f>
        <v>1117.96875</v>
      </c>
      <c r="C965" s="11">
        <f>$B$6</f>
        <v>1.171875</v>
      </c>
      <c r="D965" s="11">
        <f>B965+C965</f>
        <v>1119.140625</v>
      </c>
      <c r="E965" s="10">
        <f>MIN($B$7,ROUND(D965/$B$6,0))</f>
        <v>955</v>
      </c>
      <c r="F965" s="10" t="str">
        <f>DEC2BIN(INT(E965/64),5)&amp;DEC2BIN(MOD(E965,64),6)</f>
        <v>01110111011</v>
      </c>
      <c r="G965" s="10" t="str">
        <f>DEC2HEX(E965,3)</f>
        <v>3BB</v>
      </c>
      <c r="H965" s="10" t="str">
        <f>IF(ROUND(D965/$B$6,0)&gt;$B$7,"YES","NO")</f>
        <v>NO</v>
      </c>
    </row>
    <row r="966" spans="1:8">
      <c r="A966" s="8">
        <v>956</v>
      </c>
      <c r="B966" s="9">
        <f>D965</f>
        <v>1119.140625</v>
      </c>
      <c r="C966" s="9">
        <f>$B$6</f>
        <v>1.171875</v>
      </c>
      <c r="D966" s="9">
        <f>B966+C966</f>
        <v>1120.3125</v>
      </c>
      <c r="E966" s="8">
        <f>MIN($B$7,ROUND(D966/$B$6,0))</f>
        <v>956</v>
      </c>
      <c r="F966" s="8" t="str">
        <f>DEC2BIN(INT(E966/64),5)&amp;DEC2BIN(MOD(E966,64),6)</f>
        <v>01110111100</v>
      </c>
      <c r="G966" s="8" t="str">
        <f>DEC2HEX(E966,3)</f>
        <v>3BC</v>
      </c>
      <c r="H966" s="8" t="str">
        <f>IF(ROUND(D966/$B$6,0)&gt;$B$7,"YES","NO")</f>
        <v>NO</v>
      </c>
    </row>
    <row r="967" spans="1:8">
      <c r="A967" s="10">
        <v>957</v>
      </c>
      <c r="B967" s="11">
        <f>D966</f>
        <v>1120.3125</v>
      </c>
      <c r="C967" s="11">
        <f>$B$6</f>
        <v>1.171875</v>
      </c>
      <c r="D967" s="11">
        <f>B967+C967</f>
        <v>1121.484375</v>
      </c>
      <c r="E967" s="10">
        <f>MIN($B$7,ROUND(D967/$B$6,0))</f>
        <v>957</v>
      </c>
      <c r="F967" s="10" t="str">
        <f>DEC2BIN(INT(E967/64),5)&amp;DEC2BIN(MOD(E967,64),6)</f>
        <v>01110111101</v>
      </c>
      <c r="G967" s="10" t="str">
        <f>DEC2HEX(E967,3)</f>
        <v>3BD</v>
      </c>
      <c r="H967" s="10" t="str">
        <f>IF(ROUND(D967/$B$6,0)&gt;$B$7,"YES","NO")</f>
        <v>NO</v>
      </c>
    </row>
    <row r="968" spans="1:8">
      <c r="A968" s="8">
        <v>958</v>
      </c>
      <c r="B968" s="9">
        <f>D967</f>
        <v>1121.484375</v>
      </c>
      <c r="C968" s="9">
        <f>$B$6</f>
        <v>1.171875</v>
      </c>
      <c r="D968" s="9">
        <f>B968+C968</f>
        <v>1122.65625</v>
      </c>
      <c r="E968" s="8">
        <f>MIN($B$7,ROUND(D968/$B$6,0))</f>
        <v>958</v>
      </c>
      <c r="F968" s="8" t="str">
        <f>DEC2BIN(INT(E968/64),5)&amp;DEC2BIN(MOD(E968,64),6)</f>
        <v>01110111110</v>
      </c>
      <c r="G968" s="8" t="str">
        <f>DEC2HEX(E968,3)</f>
        <v>3BE</v>
      </c>
      <c r="H968" s="8" t="str">
        <f>IF(ROUND(D968/$B$6,0)&gt;$B$7,"YES","NO")</f>
        <v>NO</v>
      </c>
    </row>
    <row r="969" spans="1:8">
      <c r="A969" s="10">
        <v>959</v>
      </c>
      <c r="B969" s="11">
        <f>D968</f>
        <v>1122.65625</v>
      </c>
      <c r="C969" s="11">
        <f>$B$6</f>
        <v>1.171875</v>
      </c>
      <c r="D969" s="11">
        <f>B969+C969</f>
        <v>1123.828125</v>
      </c>
      <c r="E969" s="10">
        <f>MIN($B$7,ROUND(D969/$B$6,0))</f>
        <v>959</v>
      </c>
      <c r="F969" s="10" t="str">
        <f>DEC2BIN(INT(E969/64),5)&amp;DEC2BIN(MOD(E969,64),6)</f>
        <v>01110111111</v>
      </c>
      <c r="G969" s="10" t="str">
        <f>DEC2HEX(E969,3)</f>
        <v>3BF</v>
      </c>
      <c r="H969" s="10" t="str">
        <f>IF(ROUND(D969/$B$6,0)&gt;$B$7,"YES","NO")</f>
        <v>NO</v>
      </c>
    </row>
    <row r="970" spans="1:8">
      <c r="A970" s="8">
        <v>960</v>
      </c>
      <c r="B970" s="9">
        <f>D969</f>
        <v>1123.828125</v>
      </c>
      <c r="C970" s="9">
        <f>$B$6</f>
        <v>1.171875</v>
      </c>
      <c r="D970" s="9">
        <f>B970+C970</f>
        <v>1125</v>
      </c>
      <c r="E970" s="8">
        <f>MIN($B$7,ROUND(D970/$B$6,0))</f>
        <v>960</v>
      </c>
      <c r="F970" s="8" t="str">
        <f>DEC2BIN(INT(E970/64),5)&amp;DEC2BIN(MOD(E970,64),6)</f>
        <v>01111000000</v>
      </c>
      <c r="G970" s="8" t="str">
        <f>DEC2HEX(E970,3)</f>
        <v>3C0</v>
      </c>
      <c r="H970" s="8" t="str">
        <f>IF(ROUND(D970/$B$6,0)&gt;$B$7,"YES","NO")</f>
        <v>NO</v>
      </c>
    </row>
    <row r="971" spans="1:8">
      <c r="A971" s="10">
        <v>961</v>
      </c>
      <c r="B971" s="11">
        <f>D970</f>
        <v>1125</v>
      </c>
      <c r="C971" s="11">
        <f>$B$6</f>
        <v>1.171875</v>
      </c>
      <c r="D971" s="11">
        <f>B971+C971</f>
        <v>1126.171875</v>
      </c>
      <c r="E971" s="10">
        <f>MIN($B$7,ROUND(D971/$B$6,0))</f>
        <v>961</v>
      </c>
      <c r="F971" s="10" t="str">
        <f>DEC2BIN(INT(E971/64),5)&amp;DEC2BIN(MOD(E971,64),6)</f>
        <v>01111000001</v>
      </c>
      <c r="G971" s="10" t="str">
        <f>DEC2HEX(E971,3)</f>
        <v>3C1</v>
      </c>
      <c r="H971" s="10" t="str">
        <f>IF(ROUND(D971/$B$6,0)&gt;$B$7,"YES","NO")</f>
        <v>NO</v>
      </c>
    </row>
    <row r="972" spans="1:8">
      <c r="A972" s="8">
        <v>962</v>
      </c>
      <c r="B972" s="9">
        <f>D971</f>
        <v>1126.171875</v>
      </c>
      <c r="C972" s="9">
        <f>$B$6</f>
        <v>1.171875</v>
      </c>
      <c r="D972" s="9">
        <f>B972+C972</f>
        <v>1127.34375</v>
      </c>
      <c r="E972" s="8">
        <f>MIN($B$7,ROUND(D972/$B$6,0))</f>
        <v>962</v>
      </c>
      <c r="F972" s="8" t="str">
        <f>DEC2BIN(INT(E972/64),5)&amp;DEC2BIN(MOD(E972,64),6)</f>
        <v>01111000010</v>
      </c>
      <c r="G972" s="8" t="str">
        <f>DEC2HEX(E972,3)</f>
        <v>3C2</v>
      </c>
      <c r="H972" s="8" t="str">
        <f>IF(ROUND(D972/$B$6,0)&gt;$B$7,"YES","NO")</f>
        <v>NO</v>
      </c>
    </row>
    <row r="973" spans="1:8">
      <c r="A973" s="10">
        <v>963</v>
      </c>
      <c r="B973" s="11">
        <f>D972</f>
        <v>1127.34375</v>
      </c>
      <c r="C973" s="11">
        <f>$B$6</f>
        <v>1.171875</v>
      </c>
      <c r="D973" s="11">
        <f>B973+C973</f>
        <v>1128.515625</v>
      </c>
      <c r="E973" s="10">
        <f>MIN($B$7,ROUND(D973/$B$6,0))</f>
        <v>963</v>
      </c>
      <c r="F973" s="10" t="str">
        <f>DEC2BIN(INT(E973/64),5)&amp;DEC2BIN(MOD(E973,64),6)</f>
        <v>01111000011</v>
      </c>
      <c r="G973" s="10" t="str">
        <f>DEC2HEX(E973,3)</f>
        <v>3C3</v>
      </c>
      <c r="H973" s="10" t="str">
        <f>IF(ROUND(D973/$B$6,0)&gt;$B$7,"YES","NO")</f>
        <v>NO</v>
      </c>
    </row>
    <row r="974" spans="1:8">
      <c r="A974" s="8">
        <v>964</v>
      </c>
      <c r="B974" s="9">
        <f>D973</f>
        <v>1128.515625</v>
      </c>
      <c r="C974" s="9">
        <f>$B$6</f>
        <v>1.171875</v>
      </c>
      <c r="D974" s="9">
        <f>B974+C974</f>
        <v>1129.6875</v>
      </c>
      <c r="E974" s="8">
        <f>MIN($B$7,ROUND(D974/$B$6,0))</f>
        <v>964</v>
      </c>
      <c r="F974" s="8" t="str">
        <f>DEC2BIN(INT(E974/64),5)&amp;DEC2BIN(MOD(E974,64),6)</f>
        <v>01111000100</v>
      </c>
      <c r="G974" s="8" t="str">
        <f>DEC2HEX(E974,3)</f>
        <v>3C4</v>
      </c>
      <c r="H974" s="8" t="str">
        <f>IF(ROUND(D974/$B$6,0)&gt;$B$7,"YES","NO")</f>
        <v>NO</v>
      </c>
    </row>
    <row r="975" spans="1:8">
      <c r="A975" s="10">
        <v>965</v>
      </c>
      <c r="B975" s="11">
        <f>D974</f>
        <v>1129.6875</v>
      </c>
      <c r="C975" s="11">
        <f>$B$6</f>
        <v>1.171875</v>
      </c>
      <c r="D975" s="11">
        <f>B975+C975</f>
        <v>1130.859375</v>
      </c>
      <c r="E975" s="10">
        <f>MIN($B$7,ROUND(D975/$B$6,0))</f>
        <v>965</v>
      </c>
      <c r="F975" s="10" t="str">
        <f>DEC2BIN(INT(E975/64),5)&amp;DEC2BIN(MOD(E975,64),6)</f>
        <v>01111000101</v>
      </c>
      <c r="G975" s="10" t="str">
        <f>DEC2HEX(E975,3)</f>
        <v>3C5</v>
      </c>
      <c r="H975" s="10" t="str">
        <f>IF(ROUND(D975/$B$6,0)&gt;$B$7,"YES","NO")</f>
        <v>NO</v>
      </c>
    </row>
    <row r="976" spans="1:8">
      <c r="A976" s="8">
        <v>966</v>
      </c>
      <c r="B976" s="9">
        <f>D975</f>
        <v>1130.859375</v>
      </c>
      <c r="C976" s="9">
        <f>$B$6</f>
        <v>1.171875</v>
      </c>
      <c r="D976" s="9">
        <f>B976+C976</f>
        <v>1132.03125</v>
      </c>
      <c r="E976" s="8">
        <f>MIN($B$7,ROUND(D976/$B$6,0))</f>
        <v>966</v>
      </c>
      <c r="F976" s="8" t="str">
        <f>DEC2BIN(INT(E976/64),5)&amp;DEC2BIN(MOD(E976,64),6)</f>
        <v>01111000110</v>
      </c>
      <c r="G976" s="8" t="str">
        <f>DEC2HEX(E976,3)</f>
        <v>3C6</v>
      </c>
      <c r="H976" s="8" t="str">
        <f>IF(ROUND(D976/$B$6,0)&gt;$B$7,"YES","NO")</f>
        <v>NO</v>
      </c>
    </row>
    <row r="977" spans="1:8">
      <c r="A977" s="10">
        <v>967</v>
      </c>
      <c r="B977" s="11">
        <f>D976</f>
        <v>1132.03125</v>
      </c>
      <c r="C977" s="11">
        <f>$B$6</f>
        <v>1.171875</v>
      </c>
      <c r="D977" s="11">
        <f>B977+C977</f>
        <v>1133.203125</v>
      </c>
      <c r="E977" s="10">
        <f>MIN($B$7,ROUND(D977/$B$6,0))</f>
        <v>967</v>
      </c>
      <c r="F977" s="10" t="str">
        <f>DEC2BIN(INT(E977/64),5)&amp;DEC2BIN(MOD(E977,64),6)</f>
        <v>01111000111</v>
      </c>
      <c r="G977" s="10" t="str">
        <f>DEC2HEX(E977,3)</f>
        <v>3C7</v>
      </c>
      <c r="H977" s="10" t="str">
        <f>IF(ROUND(D977/$B$6,0)&gt;$B$7,"YES","NO")</f>
        <v>NO</v>
      </c>
    </row>
    <row r="978" spans="1:8">
      <c r="A978" s="8">
        <v>968</v>
      </c>
      <c r="B978" s="9">
        <f>D977</f>
        <v>1133.203125</v>
      </c>
      <c r="C978" s="9">
        <f>$B$6</f>
        <v>1.171875</v>
      </c>
      <c r="D978" s="9">
        <f>B978+C978</f>
        <v>1134.375</v>
      </c>
      <c r="E978" s="8">
        <f>MIN($B$7,ROUND(D978/$B$6,0))</f>
        <v>968</v>
      </c>
      <c r="F978" s="8" t="str">
        <f>DEC2BIN(INT(E978/64),5)&amp;DEC2BIN(MOD(E978,64),6)</f>
        <v>01111001000</v>
      </c>
      <c r="G978" s="8" t="str">
        <f>DEC2HEX(E978,3)</f>
        <v>3C8</v>
      </c>
      <c r="H978" s="8" t="str">
        <f>IF(ROUND(D978/$B$6,0)&gt;$B$7,"YES","NO")</f>
        <v>NO</v>
      </c>
    </row>
    <row r="979" spans="1:8">
      <c r="A979" s="10">
        <v>969</v>
      </c>
      <c r="B979" s="11">
        <f>D978</f>
        <v>1134.375</v>
      </c>
      <c r="C979" s="11">
        <f>$B$6</f>
        <v>1.171875</v>
      </c>
      <c r="D979" s="11">
        <f>B979+C979</f>
        <v>1135.546875</v>
      </c>
      <c r="E979" s="10">
        <f>MIN($B$7,ROUND(D979/$B$6,0))</f>
        <v>969</v>
      </c>
      <c r="F979" s="10" t="str">
        <f>DEC2BIN(INT(E979/64),5)&amp;DEC2BIN(MOD(E979,64),6)</f>
        <v>01111001001</v>
      </c>
      <c r="G979" s="10" t="str">
        <f>DEC2HEX(E979,3)</f>
        <v>3C9</v>
      </c>
      <c r="H979" s="10" t="str">
        <f>IF(ROUND(D979/$B$6,0)&gt;$B$7,"YES","NO")</f>
        <v>NO</v>
      </c>
    </row>
    <row r="980" spans="1:8">
      <c r="A980" s="8">
        <v>970</v>
      </c>
      <c r="B980" s="9">
        <f>D979</f>
        <v>1135.546875</v>
      </c>
      <c r="C980" s="9">
        <f>$B$6</f>
        <v>1.171875</v>
      </c>
      <c r="D980" s="9">
        <f>B980+C980</f>
        <v>1136.71875</v>
      </c>
      <c r="E980" s="8">
        <f>MIN($B$7,ROUND(D980/$B$6,0))</f>
        <v>970</v>
      </c>
      <c r="F980" s="8" t="str">
        <f>DEC2BIN(INT(E980/64),5)&amp;DEC2BIN(MOD(E980,64),6)</f>
        <v>01111001010</v>
      </c>
      <c r="G980" s="8" t="str">
        <f>DEC2HEX(E980,3)</f>
        <v>3CA</v>
      </c>
      <c r="H980" s="8" t="str">
        <f>IF(ROUND(D980/$B$6,0)&gt;$B$7,"YES","NO")</f>
        <v>NO</v>
      </c>
    </row>
    <row r="981" spans="1:8">
      <c r="A981" s="10">
        <v>971</v>
      </c>
      <c r="B981" s="11">
        <f>D980</f>
        <v>1136.71875</v>
      </c>
      <c r="C981" s="11">
        <f>$B$6</f>
        <v>1.171875</v>
      </c>
      <c r="D981" s="11">
        <f>B981+C981</f>
        <v>1137.890625</v>
      </c>
      <c r="E981" s="10">
        <f>MIN($B$7,ROUND(D981/$B$6,0))</f>
        <v>971</v>
      </c>
      <c r="F981" s="10" t="str">
        <f>DEC2BIN(INT(E981/64),5)&amp;DEC2BIN(MOD(E981,64),6)</f>
        <v>01111001011</v>
      </c>
      <c r="G981" s="10" t="str">
        <f>DEC2HEX(E981,3)</f>
        <v>3CB</v>
      </c>
      <c r="H981" s="10" t="str">
        <f>IF(ROUND(D981/$B$6,0)&gt;$B$7,"YES","NO")</f>
        <v>NO</v>
      </c>
    </row>
    <row r="982" spans="1:8">
      <c r="A982" s="8">
        <v>972</v>
      </c>
      <c r="B982" s="9">
        <f>D981</f>
        <v>1137.890625</v>
      </c>
      <c r="C982" s="9">
        <f>$B$6</f>
        <v>1.171875</v>
      </c>
      <c r="D982" s="9">
        <f>B982+C982</f>
        <v>1139.0625</v>
      </c>
      <c r="E982" s="8">
        <f>MIN($B$7,ROUND(D982/$B$6,0))</f>
        <v>972</v>
      </c>
      <c r="F982" s="8" t="str">
        <f>DEC2BIN(INT(E982/64),5)&amp;DEC2BIN(MOD(E982,64),6)</f>
        <v>01111001100</v>
      </c>
      <c r="G982" s="8" t="str">
        <f>DEC2HEX(E982,3)</f>
        <v>3CC</v>
      </c>
      <c r="H982" s="8" t="str">
        <f>IF(ROUND(D982/$B$6,0)&gt;$B$7,"YES","NO")</f>
        <v>NO</v>
      </c>
    </row>
    <row r="983" spans="1:8">
      <c r="A983" s="10">
        <v>973</v>
      </c>
      <c r="B983" s="11">
        <f>D982</f>
        <v>1139.0625</v>
      </c>
      <c r="C983" s="11">
        <f>$B$6</f>
        <v>1.171875</v>
      </c>
      <c r="D983" s="11">
        <f>B983+C983</f>
        <v>1140.234375</v>
      </c>
      <c r="E983" s="10">
        <f>MIN($B$7,ROUND(D983/$B$6,0))</f>
        <v>973</v>
      </c>
      <c r="F983" s="10" t="str">
        <f>DEC2BIN(INT(E983/64),5)&amp;DEC2BIN(MOD(E983,64),6)</f>
        <v>01111001101</v>
      </c>
      <c r="G983" s="10" t="str">
        <f>DEC2HEX(E983,3)</f>
        <v>3CD</v>
      </c>
      <c r="H983" s="10" t="str">
        <f>IF(ROUND(D983/$B$6,0)&gt;$B$7,"YES","NO")</f>
        <v>NO</v>
      </c>
    </row>
    <row r="984" spans="1:8">
      <c r="A984" s="8">
        <v>974</v>
      </c>
      <c r="B984" s="9">
        <f>D983</f>
        <v>1140.234375</v>
      </c>
      <c r="C984" s="9">
        <f>$B$6</f>
        <v>1.171875</v>
      </c>
      <c r="D984" s="9">
        <f>B984+C984</f>
        <v>1141.40625</v>
      </c>
      <c r="E984" s="8">
        <f>MIN($B$7,ROUND(D984/$B$6,0))</f>
        <v>974</v>
      </c>
      <c r="F984" s="8" t="str">
        <f>DEC2BIN(INT(E984/64),5)&amp;DEC2BIN(MOD(E984,64),6)</f>
        <v>01111001110</v>
      </c>
      <c r="G984" s="8" t="str">
        <f>DEC2HEX(E984,3)</f>
        <v>3CE</v>
      </c>
      <c r="H984" s="8" t="str">
        <f>IF(ROUND(D984/$B$6,0)&gt;$B$7,"YES","NO")</f>
        <v>NO</v>
      </c>
    </row>
    <row r="985" spans="1:8">
      <c r="A985" s="10">
        <v>975</v>
      </c>
      <c r="B985" s="11">
        <f>D984</f>
        <v>1141.40625</v>
      </c>
      <c r="C985" s="11">
        <f>$B$6</f>
        <v>1.171875</v>
      </c>
      <c r="D985" s="11">
        <f>B985+C985</f>
        <v>1142.578125</v>
      </c>
      <c r="E985" s="10">
        <f>MIN($B$7,ROUND(D985/$B$6,0))</f>
        <v>975</v>
      </c>
      <c r="F985" s="10" t="str">
        <f>DEC2BIN(INT(E985/64),5)&amp;DEC2BIN(MOD(E985,64),6)</f>
        <v>01111001111</v>
      </c>
      <c r="G985" s="10" t="str">
        <f>DEC2HEX(E985,3)</f>
        <v>3CF</v>
      </c>
      <c r="H985" s="10" t="str">
        <f>IF(ROUND(D985/$B$6,0)&gt;$B$7,"YES","NO")</f>
        <v>NO</v>
      </c>
    </row>
    <row r="986" spans="1:8">
      <c r="A986" s="8">
        <v>976</v>
      </c>
      <c r="B986" s="9">
        <f>D985</f>
        <v>1142.578125</v>
      </c>
      <c r="C986" s="9">
        <f>$B$6</f>
        <v>1.171875</v>
      </c>
      <c r="D986" s="9">
        <f>B986+C986</f>
        <v>1143.75</v>
      </c>
      <c r="E986" s="8">
        <f>MIN($B$7,ROUND(D986/$B$6,0))</f>
        <v>976</v>
      </c>
      <c r="F986" s="8" t="str">
        <f>DEC2BIN(INT(E986/64),5)&amp;DEC2BIN(MOD(E986,64),6)</f>
        <v>01111010000</v>
      </c>
      <c r="G986" s="8" t="str">
        <f>DEC2HEX(E986,3)</f>
        <v>3D0</v>
      </c>
      <c r="H986" s="8" t="str">
        <f>IF(ROUND(D986/$B$6,0)&gt;$B$7,"YES","NO")</f>
        <v>NO</v>
      </c>
    </row>
    <row r="987" spans="1:8">
      <c r="A987" s="10">
        <v>977</v>
      </c>
      <c r="B987" s="11">
        <f>D986</f>
        <v>1143.75</v>
      </c>
      <c r="C987" s="11">
        <f>$B$6</f>
        <v>1.171875</v>
      </c>
      <c r="D987" s="11">
        <f>B987+C987</f>
        <v>1144.921875</v>
      </c>
      <c r="E987" s="10">
        <f>MIN($B$7,ROUND(D987/$B$6,0))</f>
        <v>977</v>
      </c>
      <c r="F987" s="10" t="str">
        <f>DEC2BIN(INT(E987/64),5)&amp;DEC2BIN(MOD(E987,64),6)</f>
        <v>01111010001</v>
      </c>
      <c r="G987" s="10" t="str">
        <f>DEC2HEX(E987,3)</f>
        <v>3D1</v>
      </c>
      <c r="H987" s="10" t="str">
        <f>IF(ROUND(D987/$B$6,0)&gt;$B$7,"YES","NO")</f>
        <v>NO</v>
      </c>
    </row>
    <row r="988" spans="1:8">
      <c r="A988" s="8">
        <v>978</v>
      </c>
      <c r="B988" s="9">
        <f>D987</f>
        <v>1144.921875</v>
      </c>
      <c r="C988" s="9">
        <f>$B$6</f>
        <v>1.171875</v>
      </c>
      <c r="D988" s="9">
        <f>B988+C988</f>
        <v>1146.09375</v>
      </c>
      <c r="E988" s="8">
        <f>MIN($B$7,ROUND(D988/$B$6,0))</f>
        <v>978</v>
      </c>
      <c r="F988" s="8" t="str">
        <f>DEC2BIN(INT(E988/64),5)&amp;DEC2BIN(MOD(E988,64),6)</f>
        <v>01111010010</v>
      </c>
      <c r="G988" s="8" t="str">
        <f>DEC2HEX(E988,3)</f>
        <v>3D2</v>
      </c>
      <c r="H988" s="8" t="str">
        <f>IF(ROUND(D988/$B$6,0)&gt;$B$7,"YES","NO")</f>
        <v>NO</v>
      </c>
    </row>
    <row r="989" spans="1:8">
      <c r="A989" s="10">
        <v>979</v>
      </c>
      <c r="B989" s="11">
        <f>D988</f>
        <v>1146.09375</v>
      </c>
      <c r="C989" s="11">
        <f>$B$6</f>
        <v>1.171875</v>
      </c>
      <c r="D989" s="11">
        <f>B989+C989</f>
        <v>1147.265625</v>
      </c>
      <c r="E989" s="10">
        <f>MIN($B$7,ROUND(D989/$B$6,0))</f>
        <v>979</v>
      </c>
      <c r="F989" s="10" t="str">
        <f>DEC2BIN(INT(E989/64),5)&amp;DEC2BIN(MOD(E989,64),6)</f>
        <v>01111010011</v>
      </c>
      <c r="G989" s="10" t="str">
        <f>DEC2HEX(E989,3)</f>
        <v>3D3</v>
      </c>
      <c r="H989" s="10" t="str">
        <f>IF(ROUND(D989/$B$6,0)&gt;$B$7,"YES","NO")</f>
        <v>NO</v>
      </c>
    </row>
    <row r="990" spans="1:8">
      <c r="A990" s="8">
        <v>980</v>
      </c>
      <c r="B990" s="9">
        <f>D989</f>
        <v>1147.265625</v>
      </c>
      <c r="C990" s="9">
        <f>$B$6</f>
        <v>1.171875</v>
      </c>
      <c r="D990" s="9">
        <f>B990+C990</f>
        <v>1148.4375</v>
      </c>
      <c r="E990" s="8">
        <f>MIN($B$7,ROUND(D990/$B$6,0))</f>
        <v>980</v>
      </c>
      <c r="F990" s="8" t="str">
        <f>DEC2BIN(INT(E990/64),5)&amp;DEC2BIN(MOD(E990,64),6)</f>
        <v>01111010100</v>
      </c>
      <c r="G990" s="8" t="str">
        <f>DEC2HEX(E990,3)</f>
        <v>3D4</v>
      </c>
      <c r="H990" s="8" t="str">
        <f>IF(ROUND(D990/$B$6,0)&gt;$B$7,"YES","NO")</f>
        <v>NO</v>
      </c>
    </row>
    <row r="991" spans="1:8">
      <c r="A991" s="10">
        <v>981</v>
      </c>
      <c r="B991" s="11">
        <f>D990</f>
        <v>1148.4375</v>
      </c>
      <c r="C991" s="11">
        <f>$B$6</f>
        <v>1.171875</v>
      </c>
      <c r="D991" s="11">
        <f>B991+C991</f>
        <v>1149.609375</v>
      </c>
      <c r="E991" s="10">
        <f>MIN($B$7,ROUND(D991/$B$6,0))</f>
        <v>981</v>
      </c>
      <c r="F991" s="10" t="str">
        <f>DEC2BIN(INT(E991/64),5)&amp;DEC2BIN(MOD(E991,64),6)</f>
        <v>01111010101</v>
      </c>
      <c r="G991" s="10" t="str">
        <f>DEC2HEX(E991,3)</f>
        <v>3D5</v>
      </c>
      <c r="H991" s="10" t="str">
        <f>IF(ROUND(D991/$B$6,0)&gt;$B$7,"YES","NO")</f>
        <v>NO</v>
      </c>
    </row>
    <row r="992" spans="1:8">
      <c r="A992" s="8">
        <v>982</v>
      </c>
      <c r="B992" s="9">
        <f>D991</f>
        <v>1149.609375</v>
      </c>
      <c r="C992" s="9">
        <f>$B$6</f>
        <v>1.171875</v>
      </c>
      <c r="D992" s="9">
        <f>B992+C992</f>
        <v>1150.78125</v>
      </c>
      <c r="E992" s="8">
        <f>MIN($B$7,ROUND(D992/$B$6,0))</f>
        <v>982</v>
      </c>
      <c r="F992" s="8" t="str">
        <f>DEC2BIN(INT(E992/64),5)&amp;DEC2BIN(MOD(E992,64),6)</f>
        <v>01111010110</v>
      </c>
      <c r="G992" s="8" t="str">
        <f>DEC2HEX(E992,3)</f>
        <v>3D6</v>
      </c>
      <c r="H992" s="8" t="str">
        <f>IF(ROUND(D992/$B$6,0)&gt;$B$7,"YES","NO")</f>
        <v>NO</v>
      </c>
    </row>
    <row r="993" spans="1:8">
      <c r="A993" s="10">
        <v>983</v>
      </c>
      <c r="B993" s="11">
        <f>D992</f>
        <v>1150.78125</v>
      </c>
      <c r="C993" s="11">
        <f>$B$6</f>
        <v>1.171875</v>
      </c>
      <c r="D993" s="11">
        <f>B993+C993</f>
        <v>1151.953125</v>
      </c>
      <c r="E993" s="10">
        <f>MIN($B$7,ROUND(D993/$B$6,0))</f>
        <v>983</v>
      </c>
      <c r="F993" s="10" t="str">
        <f>DEC2BIN(INT(E993/64),5)&amp;DEC2BIN(MOD(E993,64),6)</f>
        <v>01111010111</v>
      </c>
      <c r="G993" s="10" t="str">
        <f>DEC2HEX(E993,3)</f>
        <v>3D7</v>
      </c>
      <c r="H993" s="10" t="str">
        <f>IF(ROUND(D993/$B$6,0)&gt;$B$7,"YES","NO")</f>
        <v>NO</v>
      </c>
    </row>
    <row r="994" spans="1:8">
      <c r="A994" s="8">
        <v>984</v>
      </c>
      <c r="B994" s="9">
        <f>D993</f>
        <v>1151.953125</v>
      </c>
      <c r="C994" s="9">
        <f>$B$6</f>
        <v>1.171875</v>
      </c>
      <c r="D994" s="9">
        <f>B994+C994</f>
        <v>1153.125</v>
      </c>
      <c r="E994" s="8">
        <f>MIN($B$7,ROUND(D994/$B$6,0))</f>
        <v>984</v>
      </c>
      <c r="F994" s="8" t="str">
        <f>DEC2BIN(INT(E994/64),5)&amp;DEC2BIN(MOD(E994,64),6)</f>
        <v>01111011000</v>
      </c>
      <c r="G994" s="8" t="str">
        <f>DEC2HEX(E994,3)</f>
        <v>3D8</v>
      </c>
      <c r="H994" s="8" t="str">
        <f>IF(ROUND(D994/$B$6,0)&gt;$B$7,"YES","NO")</f>
        <v>NO</v>
      </c>
    </row>
    <row r="995" spans="1:8">
      <c r="A995" s="10">
        <v>985</v>
      </c>
      <c r="B995" s="11">
        <f>D994</f>
        <v>1153.125</v>
      </c>
      <c r="C995" s="11">
        <f>$B$6</f>
        <v>1.171875</v>
      </c>
      <c r="D995" s="11">
        <f>B995+C995</f>
        <v>1154.296875</v>
      </c>
      <c r="E995" s="10">
        <f>MIN($B$7,ROUND(D995/$B$6,0))</f>
        <v>985</v>
      </c>
      <c r="F995" s="10" t="str">
        <f>DEC2BIN(INT(E995/64),5)&amp;DEC2BIN(MOD(E995,64),6)</f>
        <v>01111011001</v>
      </c>
      <c r="G995" s="10" t="str">
        <f>DEC2HEX(E995,3)</f>
        <v>3D9</v>
      </c>
      <c r="H995" s="10" t="str">
        <f>IF(ROUND(D995/$B$6,0)&gt;$B$7,"YES","NO")</f>
        <v>NO</v>
      </c>
    </row>
    <row r="996" spans="1:8">
      <c r="A996" s="8">
        <v>986</v>
      </c>
      <c r="B996" s="9">
        <f>D995</f>
        <v>1154.296875</v>
      </c>
      <c r="C996" s="9">
        <f>$B$6</f>
        <v>1.171875</v>
      </c>
      <c r="D996" s="9">
        <f>B996+C996</f>
        <v>1155.46875</v>
      </c>
      <c r="E996" s="8">
        <f>MIN($B$7,ROUND(D996/$B$6,0))</f>
        <v>986</v>
      </c>
      <c r="F996" s="8" t="str">
        <f>DEC2BIN(INT(E996/64),5)&amp;DEC2BIN(MOD(E996,64),6)</f>
        <v>01111011010</v>
      </c>
      <c r="G996" s="8" t="str">
        <f>DEC2HEX(E996,3)</f>
        <v>3DA</v>
      </c>
      <c r="H996" s="8" t="str">
        <f>IF(ROUND(D996/$B$6,0)&gt;$B$7,"YES","NO")</f>
        <v>NO</v>
      </c>
    </row>
    <row r="997" spans="1:8">
      <c r="A997" s="10">
        <v>987</v>
      </c>
      <c r="B997" s="11">
        <f>D996</f>
        <v>1155.46875</v>
      </c>
      <c r="C997" s="11">
        <f>$B$6</f>
        <v>1.171875</v>
      </c>
      <c r="D997" s="11">
        <f>B997+C997</f>
        <v>1156.640625</v>
      </c>
      <c r="E997" s="10">
        <f>MIN($B$7,ROUND(D997/$B$6,0))</f>
        <v>987</v>
      </c>
      <c r="F997" s="10" t="str">
        <f>DEC2BIN(INT(E997/64),5)&amp;DEC2BIN(MOD(E997,64),6)</f>
        <v>01111011011</v>
      </c>
      <c r="G997" s="10" t="str">
        <f>DEC2HEX(E997,3)</f>
        <v>3DB</v>
      </c>
      <c r="H997" s="10" t="str">
        <f>IF(ROUND(D997/$B$6,0)&gt;$B$7,"YES","NO")</f>
        <v>NO</v>
      </c>
    </row>
    <row r="998" spans="1:8">
      <c r="A998" s="8">
        <v>988</v>
      </c>
      <c r="B998" s="9">
        <f>D997</f>
        <v>1156.640625</v>
      </c>
      <c r="C998" s="9">
        <f>$B$6</f>
        <v>1.171875</v>
      </c>
      <c r="D998" s="9">
        <f>B998+C998</f>
        <v>1157.8125</v>
      </c>
      <c r="E998" s="8">
        <f>MIN($B$7,ROUND(D998/$B$6,0))</f>
        <v>988</v>
      </c>
      <c r="F998" s="8" t="str">
        <f>DEC2BIN(INT(E998/64),5)&amp;DEC2BIN(MOD(E998,64),6)</f>
        <v>01111011100</v>
      </c>
      <c r="G998" s="8" t="str">
        <f>DEC2HEX(E998,3)</f>
        <v>3DC</v>
      </c>
      <c r="H998" s="8" t="str">
        <f>IF(ROUND(D998/$B$6,0)&gt;$B$7,"YES","NO")</f>
        <v>NO</v>
      </c>
    </row>
    <row r="999" spans="1:8">
      <c r="A999" s="10">
        <v>989</v>
      </c>
      <c r="B999" s="11">
        <f>D998</f>
        <v>1157.8125</v>
      </c>
      <c r="C999" s="11">
        <f>$B$6</f>
        <v>1.171875</v>
      </c>
      <c r="D999" s="11">
        <f>B999+C999</f>
        <v>1158.984375</v>
      </c>
      <c r="E999" s="10">
        <f>MIN($B$7,ROUND(D999/$B$6,0))</f>
        <v>989</v>
      </c>
      <c r="F999" s="10" t="str">
        <f>DEC2BIN(INT(E999/64),5)&amp;DEC2BIN(MOD(E999,64),6)</f>
        <v>01111011101</v>
      </c>
      <c r="G999" s="10" t="str">
        <f>DEC2HEX(E999,3)</f>
        <v>3DD</v>
      </c>
      <c r="H999" s="10" t="str">
        <f>IF(ROUND(D999/$B$6,0)&gt;$B$7,"YES","NO")</f>
        <v>NO</v>
      </c>
    </row>
    <row r="1000" spans="1:8">
      <c r="A1000" s="8">
        <v>990</v>
      </c>
      <c r="B1000" s="9">
        <f>D999</f>
        <v>1158.984375</v>
      </c>
      <c r="C1000" s="9">
        <f>$B$6</f>
        <v>1.171875</v>
      </c>
      <c r="D1000" s="9">
        <f>B1000+C1000</f>
        <v>1160.15625</v>
      </c>
      <c r="E1000" s="8">
        <f>MIN($B$7,ROUND(D1000/$B$6,0))</f>
        <v>990</v>
      </c>
      <c r="F1000" s="8" t="str">
        <f>DEC2BIN(INT(E1000/64),5)&amp;DEC2BIN(MOD(E1000,64),6)</f>
        <v>01111011110</v>
      </c>
      <c r="G1000" s="8" t="str">
        <f>DEC2HEX(E1000,3)</f>
        <v>3DE</v>
      </c>
      <c r="H1000" s="8" t="str">
        <f>IF(ROUND(D1000/$B$6,0)&gt;$B$7,"YES","NO")</f>
        <v>NO</v>
      </c>
    </row>
    <row r="1001" spans="1:8">
      <c r="A1001" s="10">
        <v>991</v>
      </c>
      <c r="B1001" s="11">
        <f>D1000</f>
        <v>1160.15625</v>
      </c>
      <c r="C1001" s="11">
        <f>$B$6</f>
        <v>1.171875</v>
      </c>
      <c r="D1001" s="11">
        <f>B1001+C1001</f>
        <v>1161.328125</v>
      </c>
      <c r="E1001" s="10">
        <f>MIN($B$7,ROUND(D1001/$B$6,0))</f>
        <v>991</v>
      </c>
      <c r="F1001" s="10" t="str">
        <f>DEC2BIN(INT(E1001/64),5)&amp;DEC2BIN(MOD(E1001,64),6)</f>
        <v>01111011111</v>
      </c>
      <c r="G1001" s="10" t="str">
        <f>DEC2HEX(E1001,3)</f>
        <v>3DF</v>
      </c>
      <c r="H1001" s="10" t="str">
        <f>IF(ROUND(D1001/$B$6,0)&gt;$B$7,"YES","NO")</f>
        <v>NO</v>
      </c>
    </row>
    <row r="1002" spans="1:8">
      <c r="A1002" s="8">
        <v>992</v>
      </c>
      <c r="B1002" s="9">
        <f>D1001</f>
        <v>1161.328125</v>
      </c>
      <c r="C1002" s="9">
        <f>$B$6</f>
        <v>1.171875</v>
      </c>
      <c r="D1002" s="9">
        <f>B1002+C1002</f>
        <v>1162.5</v>
      </c>
      <c r="E1002" s="8">
        <f>MIN($B$7,ROUND(D1002/$B$6,0))</f>
        <v>992</v>
      </c>
      <c r="F1002" s="8" t="str">
        <f>DEC2BIN(INT(E1002/64),5)&amp;DEC2BIN(MOD(E1002,64),6)</f>
        <v>01111100000</v>
      </c>
      <c r="G1002" s="8" t="str">
        <f>DEC2HEX(E1002,3)</f>
        <v>3E0</v>
      </c>
      <c r="H1002" s="8" t="str">
        <f>IF(ROUND(D1002/$B$6,0)&gt;$B$7,"YES","NO")</f>
        <v>NO</v>
      </c>
    </row>
    <row r="1003" spans="1:8">
      <c r="A1003" s="10">
        <v>993</v>
      </c>
      <c r="B1003" s="11">
        <f>D1002</f>
        <v>1162.5</v>
      </c>
      <c r="C1003" s="11">
        <f>$B$6</f>
        <v>1.171875</v>
      </c>
      <c r="D1003" s="11">
        <f>B1003+C1003</f>
        <v>1163.671875</v>
      </c>
      <c r="E1003" s="10">
        <f>MIN($B$7,ROUND(D1003/$B$6,0))</f>
        <v>993</v>
      </c>
      <c r="F1003" s="10" t="str">
        <f>DEC2BIN(INT(E1003/64),5)&amp;DEC2BIN(MOD(E1003,64),6)</f>
        <v>01111100001</v>
      </c>
      <c r="G1003" s="10" t="str">
        <f>DEC2HEX(E1003,3)</f>
        <v>3E1</v>
      </c>
      <c r="H1003" s="10" t="str">
        <f>IF(ROUND(D1003/$B$6,0)&gt;$B$7,"YES","NO")</f>
        <v>NO</v>
      </c>
    </row>
    <row r="1004" spans="1:8">
      <c r="A1004" s="8">
        <v>994</v>
      </c>
      <c r="B1004" s="9">
        <f>D1003</f>
        <v>1163.671875</v>
      </c>
      <c r="C1004" s="9">
        <f>$B$6</f>
        <v>1.171875</v>
      </c>
      <c r="D1004" s="9">
        <f>B1004+C1004</f>
        <v>1164.84375</v>
      </c>
      <c r="E1004" s="8">
        <f>MIN($B$7,ROUND(D1004/$B$6,0))</f>
        <v>994</v>
      </c>
      <c r="F1004" s="8" t="str">
        <f>DEC2BIN(INT(E1004/64),5)&amp;DEC2BIN(MOD(E1004,64),6)</f>
        <v>01111100010</v>
      </c>
      <c r="G1004" s="8" t="str">
        <f>DEC2HEX(E1004,3)</f>
        <v>3E2</v>
      </c>
      <c r="H1004" s="8" t="str">
        <f>IF(ROUND(D1004/$B$6,0)&gt;$B$7,"YES","NO")</f>
        <v>NO</v>
      </c>
    </row>
    <row r="1005" spans="1:8">
      <c r="A1005" s="10">
        <v>995</v>
      </c>
      <c r="B1005" s="11">
        <f>D1004</f>
        <v>1164.84375</v>
      </c>
      <c r="C1005" s="11">
        <f>$B$6</f>
        <v>1.171875</v>
      </c>
      <c r="D1005" s="11">
        <f>B1005+C1005</f>
        <v>1166.015625</v>
      </c>
      <c r="E1005" s="10">
        <f>MIN($B$7,ROUND(D1005/$B$6,0))</f>
        <v>995</v>
      </c>
      <c r="F1005" s="10" t="str">
        <f>DEC2BIN(INT(E1005/64),5)&amp;DEC2BIN(MOD(E1005,64),6)</f>
        <v>01111100011</v>
      </c>
      <c r="G1005" s="10" t="str">
        <f>DEC2HEX(E1005,3)</f>
        <v>3E3</v>
      </c>
      <c r="H1005" s="10" t="str">
        <f>IF(ROUND(D1005/$B$6,0)&gt;$B$7,"YES","NO")</f>
        <v>NO</v>
      </c>
    </row>
    <row r="1006" spans="1:8">
      <c r="A1006" s="8">
        <v>996</v>
      </c>
      <c r="B1006" s="9">
        <f>D1005</f>
        <v>1166.015625</v>
      </c>
      <c r="C1006" s="9">
        <f>$B$6</f>
        <v>1.171875</v>
      </c>
      <c r="D1006" s="9">
        <f>B1006+C1006</f>
        <v>1167.1875</v>
      </c>
      <c r="E1006" s="8">
        <f>MIN($B$7,ROUND(D1006/$B$6,0))</f>
        <v>996</v>
      </c>
      <c r="F1006" s="8" t="str">
        <f>DEC2BIN(INT(E1006/64),5)&amp;DEC2BIN(MOD(E1006,64),6)</f>
        <v>01111100100</v>
      </c>
      <c r="G1006" s="8" t="str">
        <f>DEC2HEX(E1006,3)</f>
        <v>3E4</v>
      </c>
      <c r="H1006" s="8" t="str">
        <f>IF(ROUND(D1006/$B$6,0)&gt;$B$7,"YES","NO")</f>
        <v>NO</v>
      </c>
    </row>
    <row r="1007" spans="1:8">
      <c r="A1007" s="10">
        <v>997</v>
      </c>
      <c r="B1007" s="11">
        <f>D1006</f>
        <v>1167.1875</v>
      </c>
      <c r="C1007" s="11">
        <f>$B$6</f>
        <v>1.171875</v>
      </c>
      <c r="D1007" s="11">
        <f>B1007+C1007</f>
        <v>1168.359375</v>
      </c>
      <c r="E1007" s="10">
        <f>MIN($B$7,ROUND(D1007/$B$6,0))</f>
        <v>997</v>
      </c>
      <c r="F1007" s="10" t="str">
        <f>DEC2BIN(INT(E1007/64),5)&amp;DEC2BIN(MOD(E1007,64),6)</f>
        <v>01111100101</v>
      </c>
      <c r="G1007" s="10" t="str">
        <f>DEC2HEX(E1007,3)</f>
        <v>3E5</v>
      </c>
      <c r="H1007" s="10" t="str">
        <f>IF(ROUND(D1007/$B$6,0)&gt;$B$7,"YES","NO")</f>
        <v>NO</v>
      </c>
    </row>
    <row r="1008" spans="1:8">
      <c r="A1008" s="8">
        <v>998</v>
      </c>
      <c r="B1008" s="9">
        <f>D1007</f>
        <v>1168.359375</v>
      </c>
      <c r="C1008" s="9">
        <f>$B$6</f>
        <v>1.171875</v>
      </c>
      <c r="D1008" s="9">
        <f>B1008+C1008</f>
        <v>1169.53125</v>
      </c>
      <c r="E1008" s="8">
        <f>MIN($B$7,ROUND(D1008/$B$6,0))</f>
        <v>998</v>
      </c>
      <c r="F1008" s="8" t="str">
        <f>DEC2BIN(INT(E1008/64),5)&amp;DEC2BIN(MOD(E1008,64),6)</f>
        <v>01111100110</v>
      </c>
      <c r="G1008" s="8" t="str">
        <f>DEC2HEX(E1008,3)</f>
        <v>3E6</v>
      </c>
      <c r="H1008" s="8" t="str">
        <f>IF(ROUND(D1008/$B$6,0)&gt;$B$7,"YES","NO")</f>
        <v>NO</v>
      </c>
    </row>
    <row r="1009" spans="1:8">
      <c r="A1009" s="10">
        <v>999</v>
      </c>
      <c r="B1009" s="11">
        <f>D1008</f>
        <v>1169.53125</v>
      </c>
      <c r="C1009" s="11">
        <f>$B$6</f>
        <v>1.171875</v>
      </c>
      <c r="D1009" s="11">
        <f>B1009+C1009</f>
        <v>1170.703125</v>
      </c>
      <c r="E1009" s="10">
        <f>MIN($B$7,ROUND(D1009/$B$6,0))</f>
        <v>999</v>
      </c>
      <c r="F1009" s="10" t="str">
        <f>DEC2BIN(INT(E1009/64),5)&amp;DEC2BIN(MOD(E1009,64),6)</f>
        <v>01111100111</v>
      </c>
      <c r="G1009" s="10" t="str">
        <f>DEC2HEX(E1009,3)</f>
        <v>3E7</v>
      </c>
      <c r="H1009" s="10" t="str">
        <f>IF(ROUND(D1009/$B$6,0)&gt;$B$7,"YES","NO")</f>
        <v>NO</v>
      </c>
    </row>
    <row r="1010" spans="1:8">
      <c r="A1010" s="8">
        <v>1000</v>
      </c>
      <c r="B1010" s="9">
        <f>D1009</f>
        <v>1170.703125</v>
      </c>
      <c r="C1010" s="9">
        <f>$B$6</f>
        <v>1.171875</v>
      </c>
      <c r="D1010" s="9">
        <f>B1010+C1010</f>
        <v>1171.875</v>
      </c>
      <c r="E1010" s="8">
        <f>MIN($B$7,ROUND(D1010/$B$6,0))</f>
        <v>1000</v>
      </c>
      <c r="F1010" s="8" t="str">
        <f>DEC2BIN(INT(E1010/64),5)&amp;DEC2BIN(MOD(E1010,64),6)</f>
        <v>01111101000</v>
      </c>
      <c r="G1010" s="8" t="str">
        <f>DEC2HEX(E1010,3)</f>
        <v>3E8</v>
      </c>
      <c r="H1010" s="8" t="str">
        <f>IF(ROUND(D1010/$B$6,0)&gt;$B$7,"YES","NO")</f>
        <v>NO</v>
      </c>
    </row>
    <row r="1011" spans="1:8">
      <c r="A1011" s="10">
        <v>1001</v>
      </c>
      <c r="B1011" s="11">
        <f>D1010</f>
        <v>1171.875</v>
      </c>
      <c r="C1011" s="11">
        <f>$B$6</f>
        <v>1.171875</v>
      </c>
      <c r="D1011" s="11">
        <f>B1011+C1011</f>
        <v>1173.046875</v>
      </c>
      <c r="E1011" s="10">
        <f>MIN($B$7,ROUND(D1011/$B$6,0))</f>
        <v>1001</v>
      </c>
      <c r="F1011" s="10" t="str">
        <f>DEC2BIN(INT(E1011/64),5)&amp;DEC2BIN(MOD(E1011,64),6)</f>
        <v>01111101001</v>
      </c>
      <c r="G1011" s="10" t="str">
        <f>DEC2HEX(E1011,3)</f>
        <v>3E9</v>
      </c>
      <c r="H1011" s="10" t="str">
        <f>IF(ROUND(D1011/$B$6,0)&gt;$B$7,"YES","NO")</f>
        <v>NO</v>
      </c>
    </row>
    <row r="1012" spans="1:8">
      <c r="A1012" s="8">
        <v>1002</v>
      </c>
      <c r="B1012" s="9">
        <f>D1011</f>
        <v>1173.046875</v>
      </c>
      <c r="C1012" s="9">
        <f>$B$6</f>
        <v>1.171875</v>
      </c>
      <c r="D1012" s="9">
        <f>B1012+C1012</f>
        <v>1174.21875</v>
      </c>
      <c r="E1012" s="8">
        <f>MIN($B$7,ROUND(D1012/$B$6,0))</f>
        <v>1002</v>
      </c>
      <c r="F1012" s="8" t="str">
        <f>DEC2BIN(INT(E1012/64),5)&amp;DEC2BIN(MOD(E1012,64),6)</f>
        <v>01111101010</v>
      </c>
      <c r="G1012" s="8" t="str">
        <f>DEC2HEX(E1012,3)</f>
        <v>3EA</v>
      </c>
      <c r="H1012" s="8" t="str">
        <f>IF(ROUND(D1012/$B$6,0)&gt;$B$7,"YES","NO")</f>
        <v>NO</v>
      </c>
    </row>
    <row r="1013" spans="1:8">
      <c r="A1013" s="10">
        <v>1003</v>
      </c>
      <c r="B1013" s="11">
        <f>D1012</f>
        <v>1174.21875</v>
      </c>
      <c r="C1013" s="11">
        <f>$B$6</f>
        <v>1.171875</v>
      </c>
      <c r="D1013" s="11">
        <f>B1013+C1013</f>
        <v>1175.390625</v>
      </c>
      <c r="E1013" s="10">
        <f>MIN($B$7,ROUND(D1013/$B$6,0))</f>
        <v>1003</v>
      </c>
      <c r="F1013" s="10" t="str">
        <f>DEC2BIN(INT(E1013/64),5)&amp;DEC2BIN(MOD(E1013,64),6)</f>
        <v>01111101011</v>
      </c>
      <c r="G1013" s="10" t="str">
        <f>DEC2HEX(E1013,3)</f>
        <v>3EB</v>
      </c>
      <c r="H1013" s="10" t="str">
        <f>IF(ROUND(D1013/$B$6,0)&gt;$B$7,"YES","NO")</f>
        <v>NO</v>
      </c>
    </row>
    <row r="1014" spans="1:8">
      <c r="A1014" s="8">
        <v>1004</v>
      </c>
      <c r="B1014" s="9">
        <f>D1013</f>
        <v>1175.390625</v>
      </c>
      <c r="C1014" s="9">
        <f>$B$6</f>
        <v>1.171875</v>
      </c>
      <c r="D1014" s="9">
        <f>B1014+C1014</f>
        <v>1176.5625</v>
      </c>
      <c r="E1014" s="8">
        <f>MIN($B$7,ROUND(D1014/$B$6,0))</f>
        <v>1004</v>
      </c>
      <c r="F1014" s="8" t="str">
        <f>DEC2BIN(INT(E1014/64),5)&amp;DEC2BIN(MOD(E1014,64),6)</f>
        <v>01111101100</v>
      </c>
      <c r="G1014" s="8" t="str">
        <f>DEC2HEX(E1014,3)</f>
        <v>3EC</v>
      </c>
      <c r="H1014" s="8" t="str">
        <f>IF(ROUND(D1014/$B$6,0)&gt;$B$7,"YES","NO")</f>
        <v>NO</v>
      </c>
    </row>
    <row r="1015" spans="1:8">
      <c r="A1015" s="10">
        <v>1005</v>
      </c>
      <c r="B1015" s="11">
        <f>D1014</f>
        <v>1176.5625</v>
      </c>
      <c r="C1015" s="11">
        <f>$B$6</f>
        <v>1.171875</v>
      </c>
      <c r="D1015" s="11">
        <f>B1015+C1015</f>
        <v>1177.734375</v>
      </c>
      <c r="E1015" s="10">
        <f>MIN($B$7,ROUND(D1015/$B$6,0))</f>
        <v>1005</v>
      </c>
      <c r="F1015" s="10" t="str">
        <f>DEC2BIN(INT(E1015/64),5)&amp;DEC2BIN(MOD(E1015,64),6)</f>
        <v>01111101101</v>
      </c>
      <c r="G1015" s="10" t="str">
        <f>DEC2HEX(E1015,3)</f>
        <v>3ED</v>
      </c>
      <c r="H1015" s="10" t="str">
        <f>IF(ROUND(D1015/$B$6,0)&gt;$B$7,"YES","NO")</f>
        <v>NO</v>
      </c>
    </row>
    <row r="1016" spans="1:8">
      <c r="A1016" s="8">
        <v>1006</v>
      </c>
      <c r="B1016" s="9">
        <f>D1015</f>
        <v>1177.734375</v>
      </c>
      <c r="C1016" s="9">
        <f>$B$6</f>
        <v>1.171875</v>
      </c>
      <c r="D1016" s="9">
        <f>B1016+C1016</f>
        <v>1178.90625</v>
      </c>
      <c r="E1016" s="8">
        <f>MIN($B$7,ROUND(D1016/$B$6,0))</f>
        <v>1006</v>
      </c>
      <c r="F1016" s="8" t="str">
        <f>DEC2BIN(INT(E1016/64),5)&amp;DEC2BIN(MOD(E1016,64),6)</f>
        <v>01111101110</v>
      </c>
      <c r="G1016" s="8" t="str">
        <f>DEC2HEX(E1016,3)</f>
        <v>3EE</v>
      </c>
      <c r="H1016" s="8" t="str">
        <f>IF(ROUND(D1016/$B$6,0)&gt;$B$7,"YES","NO")</f>
        <v>NO</v>
      </c>
    </row>
    <row r="1017" spans="1:8">
      <c r="A1017" s="10">
        <v>1007</v>
      </c>
      <c r="B1017" s="11">
        <f>D1016</f>
        <v>1178.90625</v>
      </c>
      <c r="C1017" s="11">
        <f>$B$6</f>
        <v>1.171875</v>
      </c>
      <c r="D1017" s="11">
        <f>B1017+C1017</f>
        <v>1180.078125</v>
      </c>
      <c r="E1017" s="10">
        <f>MIN($B$7,ROUND(D1017/$B$6,0))</f>
        <v>1007</v>
      </c>
      <c r="F1017" s="10" t="str">
        <f>DEC2BIN(INT(E1017/64),5)&amp;DEC2BIN(MOD(E1017,64),6)</f>
        <v>01111101111</v>
      </c>
      <c r="G1017" s="10" t="str">
        <f>DEC2HEX(E1017,3)</f>
        <v>3EF</v>
      </c>
      <c r="H1017" s="10" t="str">
        <f>IF(ROUND(D1017/$B$6,0)&gt;$B$7,"YES","NO")</f>
        <v>NO</v>
      </c>
    </row>
    <row r="1018" spans="1:8">
      <c r="A1018" s="8">
        <v>1008</v>
      </c>
      <c r="B1018" s="9">
        <f>D1017</f>
        <v>1180.078125</v>
      </c>
      <c r="C1018" s="9">
        <f>$B$6</f>
        <v>1.171875</v>
      </c>
      <c r="D1018" s="9">
        <f>B1018+C1018</f>
        <v>1181.25</v>
      </c>
      <c r="E1018" s="8">
        <f>MIN($B$7,ROUND(D1018/$B$6,0))</f>
        <v>1008</v>
      </c>
      <c r="F1018" s="8" t="str">
        <f>DEC2BIN(INT(E1018/64),5)&amp;DEC2BIN(MOD(E1018,64),6)</f>
        <v>01111110000</v>
      </c>
      <c r="G1018" s="8" t="str">
        <f>DEC2HEX(E1018,3)</f>
        <v>3F0</v>
      </c>
      <c r="H1018" s="8" t="str">
        <f>IF(ROUND(D1018/$B$6,0)&gt;$B$7,"YES","NO")</f>
        <v>NO</v>
      </c>
    </row>
    <row r="1019" spans="1:8">
      <c r="A1019" s="10">
        <v>1009</v>
      </c>
      <c r="B1019" s="11">
        <f>D1018</f>
        <v>1181.25</v>
      </c>
      <c r="C1019" s="11">
        <f>$B$6</f>
        <v>1.171875</v>
      </c>
      <c r="D1019" s="11">
        <f>B1019+C1019</f>
        <v>1182.421875</v>
      </c>
      <c r="E1019" s="10">
        <f>MIN($B$7,ROUND(D1019/$B$6,0))</f>
        <v>1009</v>
      </c>
      <c r="F1019" s="10" t="str">
        <f>DEC2BIN(INT(E1019/64),5)&amp;DEC2BIN(MOD(E1019,64),6)</f>
        <v>01111110001</v>
      </c>
      <c r="G1019" s="10" t="str">
        <f>DEC2HEX(E1019,3)</f>
        <v>3F1</v>
      </c>
      <c r="H1019" s="10" t="str">
        <f>IF(ROUND(D1019/$B$6,0)&gt;$B$7,"YES","NO")</f>
        <v>NO</v>
      </c>
    </row>
    <row r="1020" spans="1:8">
      <c r="A1020" s="8">
        <v>1010</v>
      </c>
      <c r="B1020" s="9">
        <f>D1019</f>
        <v>1182.421875</v>
      </c>
      <c r="C1020" s="9">
        <f>$B$6</f>
        <v>1.171875</v>
      </c>
      <c r="D1020" s="9">
        <f>B1020+C1020</f>
        <v>1183.59375</v>
      </c>
      <c r="E1020" s="8">
        <f>MIN($B$7,ROUND(D1020/$B$6,0))</f>
        <v>1010</v>
      </c>
      <c r="F1020" s="8" t="str">
        <f>DEC2BIN(INT(E1020/64),5)&amp;DEC2BIN(MOD(E1020,64),6)</f>
        <v>01111110010</v>
      </c>
      <c r="G1020" s="8" t="str">
        <f>DEC2HEX(E1020,3)</f>
        <v>3F2</v>
      </c>
      <c r="H1020" s="8" t="str">
        <f>IF(ROUND(D1020/$B$6,0)&gt;$B$7,"YES","NO")</f>
        <v>NO</v>
      </c>
    </row>
    <row r="1021" spans="1:8">
      <c r="A1021" s="10">
        <v>1011</v>
      </c>
      <c r="B1021" s="11">
        <f>D1020</f>
        <v>1183.59375</v>
      </c>
      <c r="C1021" s="11">
        <f>$B$6</f>
        <v>1.171875</v>
      </c>
      <c r="D1021" s="11">
        <f>B1021+C1021</f>
        <v>1184.765625</v>
      </c>
      <c r="E1021" s="10">
        <f>MIN($B$7,ROUND(D1021/$B$6,0))</f>
        <v>1011</v>
      </c>
      <c r="F1021" s="10" t="str">
        <f>DEC2BIN(INT(E1021/64),5)&amp;DEC2BIN(MOD(E1021,64),6)</f>
        <v>01111110011</v>
      </c>
      <c r="G1021" s="10" t="str">
        <f>DEC2HEX(E1021,3)</f>
        <v>3F3</v>
      </c>
      <c r="H1021" s="10" t="str">
        <f>IF(ROUND(D1021/$B$6,0)&gt;$B$7,"YES","NO")</f>
        <v>NO</v>
      </c>
    </row>
    <row r="1022" spans="1:8">
      <c r="A1022" s="8">
        <v>1012</v>
      </c>
      <c r="B1022" s="9">
        <f>D1021</f>
        <v>1184.765625</v>
      </c>
      <c r="C1022" s="9">
        <f>$B$6</f>
        <v>1.171875</v>
      </c>
      <c r="D1022" s="9">
        <f>B1022+C1022</f>
        <v>1185.9375</v>
      </c>
      <c r="E1022" s="8">
        <f>MIN($B$7,ROUND(D1022/$B$6,0))</f>
        <v>1012</v>
      </c>
      <c r="F1022" s="8" t="str">
        <f>DEC2BIN(INT(E1022/64),5)&amp;DEC2BIN(MOD(E1022,64),6)</f>
        <v>01111110100</v>
      </c>
      <c r="G1022" s="8" t="str">
        <f>DEC2HEX(E1022,3)</f>
        <v>3F4</v>
      </c>
      <c r="H1022" s="8" t="str">
        <f>IF(ROUND(D1022/$B$6,0)&gt;$B$7,"YES","NO")</f>
        <v>NO</v>
      </c>
    </row>
    <row r="1023" spans="1:8">
      <c r="A1023" s="10">
        <v>1013</v>
      </c>
      <c r="B1023" s="11">
        <f>D1022</f>
        <v>1185.9375</v>
      </c>
      <c r="C1023" s="11">
        <f>$B$6</f>
        <v>1.171875</v>
      </c>
      <c r="D1023" s="11">
        <f>B1023+C1023</f>
        <v>1187.109375</v>
      </c>
      <c r="E1023" s="10">
        <f>MIN($B$7,ROUND(D1023/$B$6,0))</f>
        <v>1013</v>
      </c>
      <c r="F1023" s="10" t="str">
        <f>DEC2BIN(INT(E1023/64),5)&amp;DEC2BIN(MOD(E1023,64),6)</f>
        <v>01111110101</v>
      </c>
      <c r="G1023" s="10" t="str">
        <f>DEC2HEX(E1023,3)</f>
        <v>3F5</v>
      </c>
      <c r="H1023" s="10" t="str">
        <f>IF(ROUND(D1023/$B$6,0)&gt;$B$7,"YES","NO")</f>
        <v>NO</v>
      </c>
    </row>
    <row r="1024" spans="1:8">
      <c r="A1024" s="8">
        <v>1014</v>
      </c>
      <c r="B1024" s="9">
        <f>D1023</f>
        <v>1187.109375</v>
      </c>
      <c r="C1024" s="9">
        <f>$B$6</f>
        <v>1.171875</v>
      </c>
      <c r="D1024" s="9">
        <f>B1024+C1024</f>
        <v>1188.28125</v>
      </c>
      <c r="E1024" s="8">
        <f>MIN($B$7,ROUND(D1024/$B$6,0))</f>
        <v>1014</v>
      </c>
      <c r="F1024" s="8" t="str">
        <f>DEC2BIN(INT(E1024/64),5)&amp;DEC2BIN(MOD(E1024,64),6)</f>
        <v>01111110110</v>
      </c>
      <c r="G1024" s="8" t="str">
        <f>DEC2HEX(E1024,3)</f>
        <v>3F6</v>
      </c>
      <c r="H1024" s="8" t="str">
        <f>IF(ROUND(D1024/$B$6,0)&gt;$B$7,"YES","NO")</f>
        <v>NO</v>
      </c>
    </row>
    <row r="1025" spans="1:8">
      <c r="A1025" s="10">
        <v>1015</v>
      </c>
      <c r="B1025" s="11">
        <f>D1024</f>
        <v>1188.28125</v>
      </c>
      <c r="C1025" s="11">
        <f>$B$6</f>
        <v>1.171875</v>
      </c>
      <c r="D1025" s="11">
        <f>B1025+C1025</f>
        <v>1189.453125</v>
      </c>
      <c r="E1025" s="10">
        <f>MIN($B$7,ROUND(D1025/$B$6,0))</f>
        <v>1015</v>
      </c>
      <c r="F1025" s="10" t="str">
        <f>DEC2BIN(INT(E1025/64),5)&amp;DEC2BIN(MOD(E1025,64),6)</f>
        <v>01111110111</v>
      </c>
      <c r="G1025" s="10" t="str">
        <f>DEC2HEX(E1025,3)</f>
        <v>3F7</v>
      </c>
      <c r="H1025" s="10" t="str">
        <f>IF(ROUND(D1025/$B$6,0)&gt;$B$7,"YES","NO")</f>
        <v>NO</v>
      </c>
    </row>
    <row r="1026" spans="1:8">
      <c r="A1026" s="8">
        <v>1016</v>
      </c>
      <c r="B1026" s="9">
        <f>D1025</f>
        <v>1189.453125</v>
      </c>
      <c r="C1026" s="9">
        <f>$B$6</f>
        <v>1.171875</v>
      </c>
      <c r="D1026" s="9">
        <f>B1026+C1026</f>
        <v>1190.625</v>
      </c>
      <c r="E1026" s="8">
        <f>MIN($B$7,ROUND(D1026/$B$6,0))</f>
        <v>1016</v>
      </c>
      <c r="F1026" s="8" t="str">
        <f>DEC2BIN(INT(E1026/64),5)&amp;DEC2BIN(MOD(E1026,64),6)</f>
        <v>01111111000</v>
      </c>
      <c r="G1026" s="8" t="str">
        <f>DEC2HEX(E1026,3)</f>
        <v>3F8</v>
      </c>
      <c r="H1026" s="8" t="str">
        <f>IF(ROUND(D1026/$B$6,0)&gt;$B$7,"YES","NO")</f>
        <v>NO</v>
      </c>
    </row>
    <row r="1027" spans="1:8">
      <c r="A1027" s="10">
        <v>1017</v>
      </c>
      <c r="B1027" s="11">
        <f>D1026</f>
        <v>1190.625</v>
      </c>
      <c r="C1027" s="11">
        <f>$B$6</f>
        <v>1.171875</v>
      </c>
      <c r="D1027" s="11">
        <f>B1027+C1027</f>
        <v>1191.796875</v>
      </c>
      <c r="E1027" s="10">
        <f>MIN($B$7,ROUND(D1027/$B$6,0))</f>
        <v>1017</v>
      </c>
      <c r="F1027" s="10" t="str">
        <f>DEC2BIN(INT(E1027/64),5)&amp;DEC2BIN(MOD(E1027,64),6)</f>
        <v>01111111001</v>
      </c>
      <c r="G1027" s="10" t="str">
        <f>DEC2HEX(E1027,3)</f>
        <v>3F9</v>
      </c>
      <c r="H1027" s="10" t="str">
        <f>IF(ROUND(D1027/$B$6,0)&gt;$B$7,"YES","NO")</f>
        <v>NO</v>
      </c>
    </row>
    <row r="1028" spans="1:8">
      <c r="A1028" s="8">
        <v>1018</v>
      </c>
      <c r="B1028" s="9">
        <f>D1027</f>
        <v>1191.796875</v>
      </c>
      <c r="C1028" s="9">
        <f>$B$6</f>
        <v>1.171875</v>
      </c>
      <c r="D1028" s="9">
        <f>B1028+C1028</f>
        <v>1192.96875</v>
      </c>
      <c r="E1028" s="8">
        <f>MIN($B$7,ROUND(D1028/$B$6,0))</f>
        <v>1018</v>
      </c>
      <c r="F1028" s="8" t="str">
        <f>DEC2BIN(INT(E1028/64),5)&amp;DEC2BIN(MOD(E1028,64),6)</f>
        <v>01111111010</v>
      </c>
      <c r="G1028" s="8" t="str">
        <f>DEC2HEX(E1028,3)</f>
        <v>3FA</v>
      </c>
      <c r="H1028" s="8" t="str">
        <f>IF(ROUND(D1028/$B$6,0)&gt;$B$7,"YES","NO")</f>
        <v>NO</v>
      </c>
    </row>
    <row r="1029" spans="1:8">
      <c r="A1029" s="10">
        <v>1019</v>
      </c>
      <c r="B1029" s="11">
        <f>D1028</f>
        <v>1192.96875</v>
      </c>
      <c r="C1029" s="11">
        <f>$B$6</f>
        <v>1.171875</v>
      </c>
      <c r="D1029" s="11">
        <f>B1029+C1029</f>
        <v>1194.140625</v>
      </c>
      <c r="E1029" s="10">
        <f>MIN($B$7,ROUND(D1029/$B$6,0))</f>
        <v>1019</v>
      </c>
      <c r="F1029" s="10" t="str">
        <f>DEC2BIN(INT(E1029/64),5)&amp;DEC2BIN(MOD(E1029,64),6)</f>
        <v>01111111011</v>
      </c>
      <c r="G1029" s="10" t="str">
        <f>DEC2HEX(E1029,3)</f>
        <v>3FB</v>
      </c>
      <c r="H1029" s="10" t="str">
        <f>IF(ROUND(D1029/$B$6,0)&gt;$B$7,"YES","NO")</f>
        <v>NO</v>
      </c>
    </row>
    <row r="1030" spans="1:8">
      <c r="A1030" s="8">
        <v>1020</v>
      </c>
      <c r="B1030" s="9">
        <f>D1029</f>
        <v>1194.140625</v>
      </c>
      <c r="C1030" s="9">
        <f>$B$6</f>
        <v>1.171875</v>
      </c>
      <c r="D1030" s="9">
        <f>B1030+C1030</f>
        <v>1195.3125</v>
      </c>
      <c r="E1030" s="8">
        <f>MIN($B$7,ROUND(D1030/$B$6,0))</f>
        <v>1020</v>
      </c>
      <c r="F1030" s="8" t="str">
        <f>DEC2BIN(INT(E1030/64),5)&amp;DEC2BIN(MOD(E1030,64),6)</f>
        <v>01111111100</v>
      </c>
      <c r="G1030" s="8" t="str">
        <f>DEC2HEX(E1030,3)</f>
        <v>3FC</v>
      </c>
      <c r="H1030" s="8" t="str">
        <f>IF(ROUND(D1030/$B$6,0)&gt;$B$7,"YES","NO")</f>
        <v>NO</v>
      </c>
    </row>
    <row r="1031" spans="1:8">
      <c r="A1031" s="10">
        <v>1021</v>
      </c>
      <c r="B1031" s="11">
        <f>D1030</f>
        <v>1195.3125</v>
      </c>
      <c r="C1031" s="11">
        <f>$B$6</f>
        <v>1.171875</v>
      </c>
      <c r="D1031" s="11">
        <f>B1031+C1031</f>
        <v>1196.484375</v>
      </c>
      <c r="E1031" s="10">
        <f>MIN($B$7,ROUND(D1031/$B$6,0))</f>
        <v>1021</v>
      </c>
      <c r="F1031" s="10" t="str">
        <f>DEC2BIN(INT(E1031/64),5)&amp;DEC2BIN(MOD(E1031,64),6)</f>
        <v>01111111101</v>
      </c>
      <c r="G1031" s="10" t="str">
        <f>DEC2HEX(E1031,3)</f>
        <v>3FD</v>
      </c>
      <c r="H1031" s="10" t="str">
        <f>IF(ROUND(D1031/$B$6,0)&gt;$B$7,"YES","NO")</f>
        <v>NO</v>
      </c>
    </row>
    <row r="1032" spans="1:8">
      <c r="A1032" s="8">
        <v>1022</v>
      </c>
      <c r="B1032" s="9">
        <f>D1031</f>
        <v>1196.484375</v>
      </c>
      <c r="C1032" s="9">
        <f>$B$6</f>
        <v>1.171875</v>
      </c>
      <c r="D1032" s="9">
        <f>B1032+C1032</f>
        <v>1197.65625</v>
      </c>
      <c r="E1032" s="8">
        <f>MIN($B$7,ROUND(D1032/$B$6,0))</f>
        <v>1022</v>
      </c>
      <c r="F1032" s="8" t="str">
        <f>DEC2BIN(INT(E1032/64),5)&amp;DEC2BIN(MOD(E1032,64),6)</f>
        <v>01111111110</v>
      </c>
      <c r="G1032" s="8" t="str">
        <f>DEC2HEX(E1032,3)</f>
        <v>3FE</v>
      </c>
      <c r="H1032" s="8" t="str">
        <f>IF(ROUND(D1032/$B$6,0)&gt;$B$7,"YES","NO")</f>
        <v>NO</v>
      </c>
    </row>
    <row r="1033" spans="1:8">
      <c r="A1033" s="10">
        <v>1023</v>
      </c>
      <c r="B1033" s="11">
        <f>D1032</f>
        <v>1197.65625</v>
      </c>
      <c r="C1033" s="11">
        <f>$B$6</f>
        <v>1.171875</v>
      </c>
      <c r="D1033" s="11">
        <f>B1033+C1033</f>
        <v>1198.828125</v>
      </c>
      <c r="E1033" s="10">
        <f>MIN($B$7,ROUND(D1033/$B$6,0))</f>
        <v>1023</v>
      </c>
      <c r="F1033" s="10" t="str">
        <f>DEC2BIN(INT(E1033/64),5)&amp;DEC2BIN(MOD(E1033,64),6)</f>
        <v>01111111111</v>
      </c>
      <c r="G1033" s="10" t="str">
        <f>DEC2HEX(E1033,3)</f>
        <v>3FF</v>
      </c>
      <c r="H1033" s="10" t="str">
        <f>IF(ROUND(D1033/$B$6,0)&gt;$B$7,"YES","NO")</f>
        <v>NO</v>
      </c>
    </row>
    <row r="1034" spans="1:8">
      <c r="A1034" s="8">
        <v>1024</v>
      </c>
      <c r="B1034" s="9">
        <f>D1033</f>
        <v>1198.828125</v>
      </c>
      <c r="C1034" s="9">
        <f>$B$6</f>
        <v>1.171875</v>
      </c>
      <c r="D1034" s="9">
        <f>B1034+C1034</f>
        <v>1200</v>
      </c>
      <c r="E1034" s="8">
        <f>MIN($B$7,ROUND(D1034/$B$6,0))</f>
        <v>1024</v>
      </c>
      <c r="F1034" s="8" t="str">
        <f>DEC2BIN(INT(E1034/64),5)&amp;DEC2BIN(MOD(E1034,64),6)</f>
        <v>10000000000</v>
      </c>
      <c r="G1034" s="8" t="str">
        <f>DEC2HEX(E1034,3)</f>
        <v>400</v>
      </c>
      <c r="H1034" s="8" t="str">
        <f>IF(ROUND(D1034/$B$6,0)&gt;$B$7,"YES","NO")</f>
        <v>NO</v>
      </c>
    </row>
    <row r="1035" spans="1:8">
      <c r="A1035" s="10">
        <v>1025</v>
      </c>
      <c r="B1035" s="11">
        <f>D1034</f>
        <v>1200</v>
      </c>
      <c r="C1035" s="11">
        <f>$B$6</f>
        <v>1.171875</v>
      </c>
      <c r="D1035" s="11">
        <f>B1035+C1035</f>
        <v>1201.171875</v>
      </c>
      <c r="E1035" s="10">
        <f>MIN($B$7,ROUND(D1035/$B$6,0))</f>
        <v>1025</v>
      </c>
      <c r="F1035" s="10" t="str">
        <f>DEC2BIN(INT(E1035/64),5)&amp;DEC2BIN(MOD(E1035,64),6)</f>
        <v>10000000001</v>
      </c>
      <c r="G1035" s="10" t="str">
        <f>DEC2HEX(E1035,3)</f>
        <v>401</v>
      </c>
      <c r="H1035" s="10" t="str">
        <f>IF(ROUND(D1035/$B$6,0)&gt;$B$7,"YES","NO")</f>
        <v>NO</v>
      </c>
    </row>
    <row r="1036" spans="1:8">
      <c r="A1036" s="8">
        <v>1026</v>
      </c>
      <c r="B1036" s="9">
        <f>D1035</f>
        <v>1201.171875</v>
      </c>
      <c r="C1036" s="9">
        <f>$B$6</f>
        <v>1.171875</v>
      </c>
      <c r="D1036" s="9">
        <f>B1036+C1036</f>
        <v>1202.34375</v>
      </c>
      <c r="E1036" s="8">
        <f>MIN($B$7,ROUND(D1036/$B$6,0))</f>
        <v>1026</v>
      </c>
      <c r="F1036" s="8" t="str">
        <f>DEC2BIN(INT(E1036/64),5)&amp;DEC2BIN(MOD(E1036,64),6)</f>
        <v>10000000010</v>
      </c>
      <c r="G1036" s="8" t="str">
        <f>DEC2HEX(E1036,3)</f>
        <v>402</v>
      </c>
      <c r="H1036" s="8" t="str">
        <f>IF(ROUND(D1036/$B$6,0)&gt;$B$7,"YES","NO")</f>
        <v>NO</v>
      </c>
    </row>
    <row r="1037" spans="1:8">
      <c r="A1037" s="10">
        <v>1027</v>
      </c>
      <c r="B1037" s="11">
        <f>D1036</f>
        <v>1202.34375</v>
      </c>
      <c r="C1037" s="11">
        <f>$B$6</f>
        <v>1.171875</v>
      </c>
      <c r="D1037" s="11">
        <f>B1037+C1037</f>
        <v>1203.515625</v>
      </c>
      <c r="E1037" s="10">
        <f>MIN($B$7,ROUND(D1037/$B$6,0))</f>
        <v>1027</v>
      </c>
      <c r="F1037" s="10" t="str">
        <f>DEC2BIN(INT(E1037/64),5)&amp;DEC2BIN(MOD(E1037,64),6)</f>
        <v>10000000011</v>
      </c>
      <c r="G1037" s="10" t="str">
        <f>DEC2HEX(E1037,3)</f>
        <v>403</v>
      </c>
      <c r="H1037" s="10" t="str">
        <f>IF(ROUND(D1037/$B$6,0)&gt;$B$7,"YES","NO")</f>
        <v>NO</v>
      </c>
    </row>
    <row r="1038" spans="1:8">
      <c r="A1038" s="8">
        <v>1028</v>
      </c>
      <c r="B1038" s="9">
        <f>D1037</f>
        <v>1203.515625</v>
      </c>
      <c r="C1038" s="9">
        <f>$B$6</f>
        <v>1.171875</v>
      </c>
      <c r="D1038" s="9">
        <f>B1038+C1038</f>
        <v>1204.6875</v>
      </c>
      <c r="E1038" s="8">
        <f>MIN($B$7,ROUND(D1038/$B$6,0))</f>
        <v>1028</v>
      </c>
      <c r="F1038" s="8" t="str">
        <f>DEC2BIN(INT(E1038/64),5)&amp;DEC2BIN(MOD(E1038,64),6)</f>
        <v>10000000100</v>
      </c>
      <c r="G1038" s="8" t="str">
        <f>DEC2HEX(E1038,3)</f>
        <v>404</v>
      </c>
      <c r="H1038" s="8" t="str">
        <f>IF(ROUND(D1038/$B$6,0)&gt;$B$7,"YES","NO")</f>
        <v>NO</v>
      </c>
    </row>
    <row r="1039" spans="1:8">
      <c r="A1039" s="10">
        <v>1029</v>
      </c>
      <c r="B1039" s="11">
        <f>D1038</f>
        <v>1204.6875</v>
      </c>
      <c r="C1039" s="11">
        <f>$B$6</f>
        <v>1.171875</v>
      </c>
      <c r="D1039" s="11">
        <f>B1039+C1039</f>
        <v>1205.859375</v>
      </c>
      <c r="E1039" s="10">
        <f>MIN($B$7,ROUND(D1039/$B$6,0))</f>
        <v>1029</v>
      </c>
      <c r="F1039" s="10" t="str">
        <f>DEC2BIN(INT(E1039/64),5)&amp;DEC2BIN(MOD(E1039,64),6)</f>
        <v>10000000101</v>
      </c>
      <c r="G1039" s="10" t="str">
        <f>DEC2HEX(E1039,3)</f>
        <v>405</v>
      </c>
      <c r="H1039" s="10" t="str">
        <f>IF(ROUND(D1039/$B$6,0)&gt;$B$7,"YES","NO")</f>
        <v>NO</v>
      </c>
    </row>
    <row r="1040" spans="1:8">
      <c r="A1040" s="8">
        <v>1030</v>
      </c>
      <c r="B1040" s="9">
        <f>D1039</f>
        <v>1205.859375</v>
      </c>
      <c r="C1040" s="9">
        <f>$B$6</f>
        <v>1.171875</v>
      </c>
      <c r="D1040" s="9">
        <f>B1040+C1040</f>
        <v>1207.03125</v>
      </c>
      <c r="E1040" s="8">
        <f>MIN($B$7,ROUND(D1040/$B$6,0))</f>
        <v>1030</v>
      </c>
      <c r="F1040" s="8" t="str">
        <f>DEC2BIN(INT(E1040/64),5)&amp;DEC2BIN(MOD(E1040,64),6)</f>
        <v>10000000110</v>
      </c>
      <c r="G1040" s="8" t="str">
        <f>DEC2HEX(E1040,3)</f>
        <v>406</v>
      </c>
      <c r="H1040" s="8" t="str">
        <f>IF(ROUND(D1040/$B$6,0)&gt;$B$7,"YES","NO")</f>
        <v>NO</v>
      </c>
    </row>
    <row r="1041" spans="1:8">
      <c r="A1041" s="10">
        <v>1031</v>
      </c>
      <c r="B1041" s="11">
        <f>D1040</f>
        <v>1207.03125</v>
      </c>
      <c r="C1041" s="11">
        <f>$B$6</f>
        <v>1.171875</v>
      </c>
      <c r="D1041" s="11">
        <f>B1041+C1041</f>
        <v>1208.203125</v>
      </c>
      <c r="E1041" s="10">
        <f>MIN($B$7,ROUND(D1041/$B$6,0))</f>
        <v>1031</v>
      </c>
      <c r="F1041" s="10" t="str">
        <f>DEC2BIN(INT(E1041/64),5)&amp;DEC2BIN(MOD(E1041,64),6)</f>
        <v>10000000111</v>
      </c>
      <c r="G1041" s="10" t="str">
        <f>DEC2HEX(E1041,3)</f>
        <v>407</v>
      </c>
      <c r="H1041" s="10" t="str">
        <f>IF(ROUND(D1041/$B$6,0)&gt;$B$7,"YES","NO")</f>
        <v>NO</v>
      </c>
    </row>
    <row r="1042" spans="1:8">
      <c r="A1042" s="8">
        <v>1032</v>
      </c>
      <c r="B1042" s="9">
        <f>D1041</f>
        <v>1208.203125</v>
      </c>
      <c r="C1042" s="9">
        <f>$B$6</f>
        <v>1.171875</v>
      </c>
      <c r="D1042" s="9">
        <f>B1042+C1042</f>
        <v>1209.375</v>
      </c>
      <c r="E1042" s="8">
        <f>MIN($B$7,ROUND(D1042/$B$6,0))</f>
        <v>1032</v>
      </c>
      <c r="F1042" s="8" t="str">
        <f>DEC2BIN(INT(E1042/64),5)&amp;DEC2BIN(MOD(E1042,64),6)</f>
        <v>10000001000</v>
      </c>
      <c r="G1042" s="8" t="str">
        <f>DEC2HEX(E1042,3)</f>
        <v>408</v>
      </c>
      <c r="H1042" s="8" t="str">
        <f>IF(ROUND(D1042/$B$6,0)&gt;$B$7,"YES","NO")</f>
        <v>NO</v>
      </c>
    </row>
    <row r="1043" spans="1:8">
      <c r="A1043" s="10">
        <v>1033</v>
      </c>
      <c r="B1043" s="11">
        <f>D1042</f>
        <v>1209.375</v>
      </c>
      <c r="C1043" s="11">
        <f>$B$6</f>
        <v>1.171875</v>
      </c>
      <c r="D1043" s="11">
        <f>B1043+C1043</f>
        <v>1210.546875</v>
      </c>
      <c r="E1043" s="10">
        <f>MIN($B$7,ROUND(D1043/$B$6,0))</f>
        <v>1033</v>
      </c>
      <c r="F1043" s="10" t="str">
        <f>DEC2BIN(INT(E1043/64),5)&amp;DEC2BIN(MOD(E1043,64),6)</f>
        <v>10000001001</v>
      </c>
      <c r="G1043" s="10" t="str">
        <f>DEC2HEX(E1043,3)</f>
        <v>409</v>
      </c>
      <c r="H1043" s="10" t="str">
        <f>IF(ROUND(D1043/$B$6,0)&gt;$B$7,"YES","NO")</f>
        <v>NO</v>
      </c>
    </row>
    <row r="1044" spans="1:8">
      <c r="A1044" s="8">
        <v>1034</v>
      </c>
      <c r="B1044" s="9">
        <f>D1043</f>
        <v>1210.546875</v>
      </c>
      <c r="C1044" s="9">
        <f>$B$6</f>
        <v>1.171875</v>
      </c>
      <c r="D1044" s="9">
        <f>B1044+C1044</f>
        <v>1211.71875</v>
      </c>
      <c r="E1044" s="8">
        <f>MIN($B$7,ROUND(D1044/$B$6,0))</f>
        <v>1034</v>
      </c>
      <c r="F1044" s="8" t="str">
        <f>DEC2BIN(INT(E1044/64),5)&amp;DEC2BIN(MOD(E1044,64),6)</f>
        <v>10000001010</v>
      </c>
      <c r="G1044" s="8" t="str">
        <f>DEC2HEX(E1044,3)</f>
        <v>40A</v>
      </c>
      <c r="H1044" s="8" t="str">
        <f>IF(ROUND(D1044/$B$6,0)&gt;$B$7,"YES","NO")</f>
        <v>NO</v>
      </c>
    </row>
    <row r="1045" spans="1:8">
      <c r="A1045" s="10">
        <v>1035</v>
      </c>
      <c r="B1045" s="11">
        <f>D1044</f>
        <v>1211.71875</v>
      </c>
      <c r="C1045" s="11">
        <f>$B$6</f>
        <v>1.171875</v>
      </c>
      <c r="D1045" s="11">
        <f>B1045+C1045</f>
        <v>1212.890625</v>
      </c>
      <c r="E1045" s="10">
        <f>MIN($B$7,ROUND(D1045/$B$6,0))</f>
        <v>1035</v>
      </c>
      <c r="F1045" s="10" t="str">
        <f>DEC2BIN(INT(E1045/64),5)&amp;DEC2BIN(MOD(E1045,64),6)</f>
        <v>10000001011</v>
      </c>
      <c r="G1045" s="10" t="str">
        <f>DEC2HEX(E1045,3)</f>
        <v>40B</v>
      </c>
      <c r="H1045" s="10" t="str">
        <f>IF(ROUND(D1045/$B$6,0)&gt;$B$7,"YES","NO")</f>
        <v>NO</v>
      </c>
    </row>
    <row r="1046" spans="1:8">
      <c r="A1046" s="8">
        <v>1036</v>
      </c>
      <c r="B1046" s="9">
        <f>D1045</f>
        <v>1212.890625</v>
      </c>
      <c r="C1046" s="9">
        <f>$B$6</f>
        <v>1.171875</v>
      </c>
      <c r="D1046" s="9">
        <f>B1046+C1046</f>
        <v>1214.0625</v>
      </c>
      <c r="E1046" s="8">
        <f>MIN($B$7,ROUND(D1046/$B$6,0))</f>
        <v>1036</v>
      </c>
      <c r="F1046" s="8" t="str">
        <f>DEC2BIN(INT(E1046/64),5)&amp;DEC2BIN(MOD(E1046,64),6)</f>
        <v>10000001100</v>
      </c>
      <c r="G1046" s="8" t="str">
        <f>DEC2HEX(E1046,3)</f>
        <v>40C</v>
      </c>
      <c r="H1046" s="8" t="str">
        <f>IF(ROUND(D1046/$B$6,0)&gt;$B$7,"YES","NO")</f>
        <v>NO</v>
      </c>
    </row>
    <row r="1047" spans="1:8">
      <c r="A1047" s="10">
        <v>1037</v>
      </c>
      <c r="B1047" s="11">
        <f>D1046</f>
        <v>1214.0625</v>
      </c>
      <c r="C1047" s="11">
        <f>$B$6</f>
        <v>1.171875</v>
      </c>
      <c r="D1047" s="11">
        <f>B1047+C1047</f>
        <v>1215.234375</v>
      </c>
      <c r="E1047" s="10">
        <f>MIN($B$7,ROUND(D1047/$B$6,0))</f>
        <v>1037</v>
      </c>
      <c r="F1047" s="10" t="str">
        <f>DEC2BIN(INT(E1047/64),5)&amp;DEC2BIN(MOD(E1047,64),6)</f>
        <v>10000001101</v>
      </c>
      <c r="G1047" s="10" t="str">
        <f>DEC2HEX(E1047,3)</f>
        <v>40D</v>
      </c>
      <c r="H1047" s="10" t="str">
        <f>IF(ROUND(D1047/$B$6,0)&gt;$B$7,"YES","NO")</f>
        <v>NO</v>
      </c>
    </row>
    <row r="1048" spans="1:8">
      <c r="A1048" s="8">
        <v>1038</v>
      </c>
      <c r="B1048" s="9">
        <f>D1047</f>
        <v>1215.234375</v>
      </c>
      <c r="C1048" s="9">
        <f>$B$6</f>
        <v>1.171875</v>
      </c>
      <c r="D1048" s="9">
        <f>B1048+C1048</f>
        <v>1216.40625</v>
      </c>
      <c r="E1048" s="8">
        <f>MIN($B$7,ROUND(D1048/$B$6,0))</f>
        <v>1038</v>
      </c>
      <c r="F1048" s="8" t="str">
        <f>DEC2BIN(INT(E1048/64),5)&amp;DEC2BIN(MOD(E1048,64),6)</f>
        <v>10000001110</v>
      </c>
      <c r="G1048" s="8" t="str">
        <f>DEC2HEX(E1048,3)</f>
        <v>40E</v>
      </c>
      <c r="H1048" s="8" t="str">
        <f>IF(ROUND(D1048/$B$6,0)&gt;$B$7,"YES","NO")</f>
        <v>NO</v>
      </c>
    </row>
    <row r="1049" spans="1:8">
      <c r="A1049" s="10">
        <v>1039</v>
      </c>
      <c r="B1049" s="11">
        <f>D1048</f>
        <v>1216.40625</v>
      </c>
      <c r="C1049" s="11">
        <f>$B$6</f>
        <v>1.171875</v>
      </c>
      <c r="D1049" s="11">
        <f>B1049+C1049</f>
        <v>1217.578125</v>
      </c>
      <c r="E1049" s="10">
        <f>MIN($B$7,ROUND(D1049/$B$6,0))</f>
        <v>1039</v>
      </c>
      <c r="F1049" s="10" t="str">
        <f>DEC2BIN(INT(E1049/64),5)&amp;DEC2BIN(MOD(E1049,64),6)</f>
        <v>10000001111</v>
      </c>
      <c r="G1049" s="10" t="str">
        <f>DEC2HEX(E1049,3)</f>
        <v>40F</v>
      </c>
      <c r="H1049" s="10" t="str">
        <f>IF(ROUND(D1049/$B$6,0)&gt;$B$7,"YES","NO")</f>
        <v>NO</v>
      </c>
    </row>
    <row r="1050" spans="1:8">
      <c r="A1050" s="8">
        <v>1040</v>
      </c>
      <c r="B1050" s="9">
        <f>D1049</f>
        <v>1217.578125</v>
      </c>
      <c r="C1050" s="9">
        <f>$B$6</f>
        <v>1.171875</v>
      </c>
      <c r="D1050" s="9">
        <f>B1050+C1050</f>
        <v>1218.75</v>
      </c>
      <c r="E1050" s="8">
        <f>MIN($B$7,ROUND(D1050/$B$6,0))</f>
        <v>1040</v>
      </c>
      <c r="F1050" s="8" t="str">
        <f>DEC2BIN(INT(E1050/64),5)&amp;DEC2BIN(MOD(E1050,64),6)</f>
        <v>10000010000</v>
      </c>
      <c r="G1050" s="8" t="str">
        <f>DEC2HEX(E1050,3)</f>
        <v>410</v>
      </c>
      <c r="H1050" s="8" t="str">
        <f>IF(ROUND(D1050/$B$6,0)&gt;$B$7,"YES","NO")</f>
        <v>NO</v>
      </c>
    </row>
    <row r="1051" spans="1:8">
      <c r="A1051" s="10">
        <v>1041</v>
      </c>
      <c r="B1051" s="11">
        <f>D1050</f>
        <v>1218.75</v>
      </c>
      <c r="C1051" s="11">
        <f>$B$6</f>
        <v>1.171875</v>
      </c>
      <c r="D1051" s="11">
        <f>B1051+C1051</f>
        <v>1219.921875</v>
      </c>
      <c r="E1051" s="10">
        <f>MIN($B$7,ROUND(D1051/$B$6,0))</f>
        <v>1041</v>
      </c>
      <c r="F1051" s="10" t="str">
        <f>DEC2BIN(INT(E1051/64),5)&amp;DEC2BIN(MOD(E1051,64),6)</f>
        <v>10000010001</v>
      </c>
      <c r="G1051" s="10" t="str">
        <f>DEC2HEX(E1051,3)</f>
        <v>411</v>
      </c>
      <c r="H1051" s="10" t="str">
        <f>IF(ROUND(D1051/$B$6,0)&gt;$B$7,"YES","NO")</f>
        <v>NO</v>
      </c>
    </row>
    <row r="1052" spans="1:8">
      <c r="A1052" s="8">
        <v>1042</v>
      </c>
      <c r="B1052" s="9">
        <f>D1051</f>
        <v>1219.921875</v>
      </c>
      <c r="C1052" s="9">
        <f>$B$6</f>
        <v>1.171875</v>
      </c>
      <c r="D1052" s="9">
        <f>B1052+C1052</f>
        <v>1221.09375</v>
      </c>
      <c r="E1052" s="8">
        <f>MIN($B$7,ROUND(D1052/$B$6,0))</f>
        <v>1042</v>
      </c>
      <c r="F1052" s="8" t="str">
        <f>DEC2BIN(INT(E1052/64),5)&amp;DEC2BIN(MOD(E1052,64),6)</f>
        <v>10000010010</v>
      </c>
      <c r="G1052" s="8" t="str">
        <f>DEC2HEX(E1052,3)</f>
        <v>412</v>
      </c>
      <c r="H1052" s="8" t="str">
        <f>IF(ROUND(D1052/$B$6,0)&gt;$B$7,"YES","NO")</f>
        <v>NO</v>
      </c>
    </row>
    <row r="1053" spans="1:8">
      <c r="A1053" s="10">
        <v>1043</v>
      </c>
      <c r="B1053" s="11">
        <f>D1052</f>
        <v>1221.09375</v>
      </c>
      <c r="C1053" s="11">
        <f>$B$6</f>
        <v>1.171875</v>
      </c>
      <c r="D1053" s="11">
        <f>B1053+C1053</f>
        <v>1222.265625</v>
      </c>
      <c r="E1053" s="10">
        <f>MIN($B$7,ROUND(D1053/$B$6,0))</f>
        <v>1043</v>
      </c>
      <c r="F1053" s="10" t="str">
        <f>DEC2BIN(INT(E1053/64),5)&amp;DEC2BIN(MOD(E1053,64),6)</f>
        <v>10000010011</v>
      </c>
      <c r="G1053" s="10" t="str">
        <f>DEC2HEX(E1053,3)</f>
        <v>413</v>
      </c>
      <c r="H1053" s="10" t="str">
        <f>IF(ROUND(D1053/$B$6,0)&gt;$B$7,"YES","NO")</f>
        <v>NO</v>
      </c>
    </row>
    <row r="1054" spans="1:8">
      <c r="A1054" s="8">
        <v>1044</v>
      </c>
      <c r="B1054" s="9">
        <f>D1053</f>
        <v>1222.265625</v>
      </c>
      <c r="C1054" s="9">
        <f>$B$6</f>
        <v>1.171875</v>
      </c>
      <c r="D1054" s="9">
        <f>B1054+C1054</f>
        <v>1223.4375</v>
      </c>
      <c r="E1054" s="8">
        <f>MIN($B$7,ROUND(D1054/$B$6,0))</f>
        <v>1044</v>
      </c>
      <c r="F1054" s="8" t="str">
        <f>DEC2BIN(INT(E1054/64),5)&amp;DEC2BIN(MOD(E1054,64),6)</f>
        <v>10000010100</v>
      </c>
      <c r="G1054" s="8" t="str">
        <f>DEC2HEX(E1054,3)</f>
        <v>414</v>
      </c>
      <c r="H1054" s="8" t="str">
        <f>IF(ROUND(D1054/$B$6,0)&gt;$B$7,"YES","NO")</f>
        <v>NO</v>
      </c>
    </row>
    <row r="1055" spans="1:8">
      <c r="A1055" s="10">
        <v>1045</v>
      </c>
      <c r="B1055" s="11">
        <f>D1054</f>
        <v>1223.4375</v>
      </c>
      <c r="C1055" s="11">
        <f>$B$6</f>
        <v>1.171875</v>
      </c>
      <c r="D1055" s="11">
        <f>B1055+C1055</f>
        <v>1224.609375</v>
      </c>
      <c r="E1055" s="10">
        <f>MIN($B$7,ROUND(D1055/$B$6,0))</f>
        <v>1045</v>
      </c>
      <c r="F1055" s="10" t="str">
        <f>DEC2BIN(INT(E1055/64),5)&amp;DEC2BIN(MOD(E1055,64),6)</f>
        <v>10000010101</v>
      </c>
      <c r="G1055" s="10" t="str">
        <f>DEC2HEX(E1055,3)</f>
        <v>415</v>
      </c>
      <c r="H1055" s="10" t="str">
        <f>IF(ROUND(D1055/$B$6,0)&gt;$B$7,"YES","NO")</f>
        <v>NO</v>
      </c>
    </row>
    <row r="1056" spans="1:8">
      <c r="A1056" s="8">
        <v>1046</v>
      </c>
      <c r="B1056" s="9">
        <f>D1055</f>
        <v>1224.609375</v>
      </c>
      <c r="C1056" s="9">
        <f>$B$6</f>
        <v>1.171875</v>
      </c>
      <c r="D1056" s="9">
        <f>B1056+C1056</f>
        <v>1225.78125</v>
      </c>
      <c r="E1056" s="8">
        <f>MIN($B$7,ROUND(D1056/$B$6,0))</f>
        <v>1046</v>
      </c>
      <c r="F1056" s="8" t="str">
        <f>DEC2BIN(INT(E1056/64),5)&amp;DEC2BIN(MOD(E1056,64),6)</f>
        <v>10000010110</v>
      </c>
      <c r="G1056" s="8" t="str">
        <f>DEC2HEX(E1056,3)</f>
        <v>416</v>
      </c>
      <c r="H1056" s="8" t="str">
        <f>IF(ROUND(D1056/$B$6,0)&gt;$B$7,"YES","NO")</f>
        <v>NO</v>
      </c>
    </row>
    <row r="1057" spans="1:8">
      <c r="A1057" s="10">
        <v>1047</v>
      </c>
      <c r="B1057" s="11">
        <f>D1056</f>
        <v>1225.78125</v>
      </c>
      <c r="C1057" s="11">
        <f>$B$6</f>
        <v>1.171875</v>
      </c>
      <c r="D1057" s="11">
        <f>B1057+C1057</f>
        <v>1226.953125</v>
      </c>
      <c r="E1057" s="10">
        <f>MIN($B$7,ROUND(D1057/$B$6,0))</f>
        <v>1047</v>
      </c>
      <c r="F1057" s="10" t="str">
        <f>DEC2BIN(INT(E1057/64),5)&amp;DEC2BIN(MOD(E1057,64),6)</f>
        <v>10000010111</v>
      </c>
      <c r="G1057" s="10" t="str">
        <f>DEC2HEX(E1057,3)</f>
        <v>417</v>
      </c>
      <c r="H1057" s="10" t="str">
        <f>IF(ROUND(D1057/$B$6,0)&gt;$B$7,"YES","NO")</f>
        <v>NO</v>
      </c>
    </row>
    <row r="1058" spans="1:8">
      <c r="A1058" s="8">
        <v>1048</v>
      </c>
      <c r="B1058" s="9">
        <f>D1057</f>
        <v>1226.953125</v>
      </c>
      <c r="C1058" s="9">
        <f>$B$6</f>
        <v>1.171875</v>
      </c>
      <c r="D1058" s="9">
        <f>B1058+C1058</f>
        <v>1228.125</v>
      </c>
      <c r="E1058" s="8">
        <f>MIN($B$7,ROUND(D1058/$B$6,0))</f>
        <v>1048</v>
      </c>
      <c r="F1058" s="8" t="str">
        <f>DEC2BIN(INT(E1058/64),5)&amp;DEC2BIN(MOD(E1058,64),6)</f>
        <v>10000011000</v>
      </c>
      <c r="G1058" s="8" t="str">
        <f>DEC2HEX(E1058,3)</f>
        <v>418</v>
      </c>
      <c r="H1058" s="8" t="str">
        <f>IF(ROUND(D1058/$B$6,0)&gt;$B$7,"YES","NO")</f>
        <v>NO</v>
      </c>
    </row>
    <row r="1059" spans="1:8">
      <c r="A1059" s="10">
        <v>1049</v>
      </c>
      <c r="B1059" s="11">
        <f>D1058</f>
        <v>1228.125</v>
      </c>
      <c r="C1059" s="11">
        <f>$B$6</f>
        <v>1.171875</v>
      </c>
      <c r="D1059" s="11">
        <f>B1059+C1059</f>
        <v>1229.296875</v>
      </c>
      <c r="E1059" s="10">
        <f>MIN($B$7,ROUND(D1059/$B$6,0))</f>
        <v>1049</v>
      </c>
      <c r="F1059" s="10" t="str">
        <f>DEC2BIN(INT(E1059/64),5)&amp;DEC2BIN(MOD(E1059,64),6)</f>
        <v>10000011001</v>
      </c>
      <c r="G1059" s="10" t="str">
        <f>DEC2HEX(E1059,3)</f>
        <v>419</v>
      </c>
      <c r="H1059" s="10" t="str">
        <f>IF(ROUND(D1059/$B$6,0)&gt;$B$7,"YES","NO")</f>
        <v>NO</v>
      </c>
    </row>
    <row r="1060" spans="1:8">
      <c r="A1060" s="8">
        <v>1050</v>
      </c>
      <c r="B1060" s="9">
        <f>D1059</f>
        <v>1229.296875</v>
      </c>
      <c r="C1060" s="9">
        <f>$B$6</f>
        <v>1.171875</v>
      </c>
      <c r="D1060" s="9">
        <f>B1060+C1060</f>
        <v>1230.46875</v>
      </c>
      <c r="E1060" s="8">
        <f>MIN($B$7,ROUND(D1060/$B$6,0))</f>
        <v>1050</v>
      </c>
      <c r="F1060" s="8" t="str">
        <f>DEC2BIN(INT(E1060/64),5)&amp;DEC2BIN(MOD(E1060,64),6)</f>
        <v>10000011010</v>
      </c>
      <c r="G1060" s="8" t="str">
        <f>DEC2HEX(E1060,3)</f>
        <v>41A</v>
      </c>
      <c r="H1060" s="8" t="str">
        <f>IF(ROUND(D1060/$B$6,0)&gt;$B$7,"YES","NO")</f>
        <v>NO</v>
      </c>
    </row>
    <row r="1061" spans="1:8">
      <c r="A1061" s="10">
        <v>1051</v>
      </c>
      <c r="B1061" s="11">
        <f>D1060</f>
        <v>1230.46875</v>
      </c>
      <c r="C1061" s="11">
        <f>$B$6</f>
        <v>1.171875</v>
      </c>
      <c r="D1061" s="11">
        <f>B1061+C1061</f>
        <v>1231.640625</v>
      </c>
      <c r="E1061" s="10">
        <f>MIN($B$7,ROUND(D1061/$B$6,0))</f>
        <v>1051</v>
      </c>
      <c r="F1061" s="10" t="str">
        <f>DEC2BIN(INT(E1061/64),5)&amp;DEC2BIN(MOD(E1061,64),6)</f>
        <v>10000011011</v>
      </c>
      <c r="G1061" s="10" t="str">
        <f>DEC2HEX(E1061,3)</f>
        <v>41B</v>
      </c>
      <c r="H1061" s="10" t="str">
        <f>IF(ROUND(D1061/$B$6,0)&gt;$B$7,"YES","NO")</f>
        <v>NO</v>
      </c>
    </row>
    <row r="1062" spans="1:8">
      <c r="A1062" s="8">
        <v>1052</v>
      </c>
      <c r="B1062" s="9">
        <f>D1061</f>
        <v>1231.640625</v>
      </c>
      <c r="C1062" s="9">
        <f>$B$6</f>
        <v>1.171875</v>
      </c>
      <c r="D1062" s="9">
        <f>B1062+C1062</f>
        <v>1232.8125</v>
      </c>
      <c r="E1062" s="8">
        <f>MIN($B$7,ROUND(D1062/$B$6,0))</f>
        <v>1052</v>
      </c>
      <c r="F1062" s="8" t="str">
        <f>DEC2BIN(INT(E1062/64),5)&amp;DEC2BIN(MOD(E1062,64),6)</f>
        <v>10000011100</v>
      </c>
      <c r="G1062" s="8" t="str">
        <f>DEC2HEX(E1062,3)</f>
        <v>41C</v>
      </c>
      <c r="H1062" s="8" t="str">
        <f>IF(ROUND(D1062/$B$6,0)&gt;$B$7,"YES","NO")</f>
        <v>NO</v>
      </c>
    </row>
    <row r="1063" spans="1:8">
      <c r="A1063" s="10">
        <v>1053</v>
      </c>
      <c r="B1063" s="11">
        <f>D1062</f>
        <v>1232.8125</v>
      </c>
      <c r="C1063" s="11">
        <f>$B$6</f>
        <v>1.171875</v>
      </c>
      <c r="D1063" s="11">
        <f>B1063+C1063</f>
        <v>1233.984375</v>
      </c>
      <c r="E1063" s="10">
        <f>MIN($B$7,ROUND(D1063/$B$6,0))</f>
        <v>1053</v>
      </c>
      <c r="F1063" s="10" t="str">
        <f>DEC2BIN(INT(E1063/64),5)&amp;DEC2BIN(MOD(E1063,64),6)</f>
        <v>10000011101</v>
      </c>
      <c r="G1063" s="10" t="str">
        <f>DEC2HEX(E1063,3)</f>
        <v>41D</v>
      </c>
      <c r="H1063" s="10" t="str">
        <f>IF(ROUND(D1063/$B$6,0)&gt;$B$7,"YES","NO")</f>
        <v>NO</v>
      </c>
    </row>
    <row r="1064" spans="1:8">
      <c r="A1064" s="8">
        <v>1054</v>
      </c>
      <c r="B1064" s="9">
        <f>D1063</f>
        <v>1233.984375</v>
      </c>
      <c r="C1064" s="9">
        <f>$B$6</f>
        <v>1.171875</v>
      </c>
      <c r="D1064" s="9">
        <f>B1064+C1064</f>
        <v>1235.15625</v>
      </c>
      <c r="E1064" s="8">
        <f>MIN($B$7,ROUND(D1064/$B$6,0))</f>
        <v>1054</v>
      </c>
      <c r="F1064" s="8" t="str">
        <f>DEC2BIN(INT(E1064/64),5)&amp;DEC2BIN(MOD(E1064,64),6)</f>
        <v>10000011110</v>
      </c>
      <c r="G1064" s="8" t="str">
        <f>DEC2HEX(E1064,3)</f>
        <v>41E</v>
      </c>
      <c r="H1064" s="8" t="str">
        <f>IF(ROUND(D1064/$B$6,0)&gt;$B$7,"YES","NO")</f>
        <v>NO</v>
      </c>
    </row>
    <row r="1065" spans="1:8">
      <c r="A1065" s="10">
        <v>1055</v>
      </c>
      <c r="B1065" s="11">
        <f>D1064</f>
        <v>1235.15625</v>
      </c>
      <c r="C1065" s="11">
        <f>$B$6</f>
        <v>1.171875</v>
      </c>
      <c r="D1065" s="11">
        <f>B1065+C1065</f>
        <v>1236.328125</v>
      </c>
      <c r="E1065" s="10">
        <f>MIN($B$7,ROUND(D1065/$B$6,0))</f>
        <v>1055</v>
      </c>
      <c r="F1065" s="10" t="str">
        <f>DEC2BIN(INT(E1065/64),5)&amp;DEC2BIN(MOD(E1065,64),6)</f>
        <v>10000011111</v>
      </c>
      <c r="G1065" s="10" t="str">
        <f>DEC2HEX(E1065,3)</f>
        <v>41F</v>
      </c>
      <c r="H1065" s="10" t="str">
        <f>IF(ROUND(D1065/$B$6,0)&gt;$B$7,"YES","NO")</f>
        <v>NO</v>
      </c>
    </row>
    <row r="1066" spans="1:8">
      <c r="A1066" s="8">
        <v>1056</v>
      </c>
      <c r="B1066" s="9">
        <f>D1065</f>
        <v>1236.328125</v>
      </c>
      <c r="C1066" s="9">
        <f>$B$6</f>
        <v>1.171875</v>
      </c>
      <c r="D1066" s="9">
        <f>B1066+C1066</f>
        <v>1237.5</v>
      </c>
      <c r="E1066" s="8">
        <f>MIN($B$7,ROUND(D1066/$B$6,0))</f>
        <v>1056</v>
      </c>
      <c r="F1066" s="8" t="str">
        <f>DEC2BIN(INT(E1066/64),5)&amp;DEC2BIN(MOD(E1066,64),6)</f>
        <v>10000100000</v>
      </c>
      <c r="G1066" s="8" t="str">
        <f>DEC2HEX(E1066,3)</f>
        <v>420</v>
      </c>
      <c r="H1066" s="8" t="str">
        <f>IF(ROUND(D1066/$B$6,0)&gt;$B$7,"YES","NO")</f>
        <v>NO</v>
      </c>
    </row>
    <row r="1067" spans="1:8">
      <c r="A1067" s="10">
        <v>1057</v>
      </c>
      <c r="B1067" s="11">
        <f>D1066</f>
        <v>1237.5</v>
      </c>
      <c r="C1067" s="11">
        <f>$B$6</f>
        <v>1.171875</v>
      </c>
      <c r="D1067" s="11">
        <f>B1067+C1067</f>
        <v>1238.671875</v>
      </c>
      <c r="E1067" s="10">
        <f>MIN($B$7,ROUND(D1067/$B$6,0))</f>
        <v>1057</v>
      </c>
      <c r="F1067" s="10" t="str">
        <f>DEC2BIN(INT(E1067/64),5)&amp;DEC2BIN(MOD(E1067,64),6)</f>
        <v>10000100001</v>
      </c>
      <c r="G1067" s="10" t="str">
        <f>DEC2HEX(E1067,3)</f>
        <v>421</v>
      </c>
      <c r="H1067" s="10" t="str">
        <f>IF(ROUND(D1067/$B$6,0)&gt;$B$7,"YES","NO")</f>
        <v>NO</v>
      </c>
    </row>
    <row r="1068" spans="1:8">
      <c r="A1068" s="8">
        <v>1058</v>
      </c>
      <c r="B1068" s="9">
        <f>D1067</f>
        <v>1238.671875</v>
      </c>
      <c r="C1068" s="9">
        <f>$B$6</f>
        <v>1.171875</v>
      </c>
      <c r="D1068" s="9">
        <f>B1068+C1068</f>
        <v>1239.84375</v>
      </c>
      <c r="E1068" s="8">
        <f>MIN($B$7,ROUND(D1068/$B$6,0))</f>
        <v>1058</v>
      </c>
      <c r="F1068" s="8" t="str">
        <f>DEC2BIN(INT(E1068/64),5)&amp;DEC2BIN(MOD(E1068,64),6)</f>
        <v>10000100010</v>
      </c>
      <c r="G1068" s="8" t="str">
        <f>DEC2HEX(E1068,3)</f>
        <v>422</v>
      </c>
      <c r="H1068" s="8" t="str">
        <f>IF(ROUND(D1068/$B$6,0)&gt;$B$7,"YES","NO")</f>
        <v>NO</v>
      </c>
    </row>
    <row r="1069" spans="1:8">
      <c r="A1069" s="10">
        <v>1059</v>
      </c>
      <c r="B1069" s="11">
        <f>D1068</f>
        <v>1239.84375</v>
      </c>
      <c r="C1069" s="11">
        <f>$B$6</f>
        <v>1.171875</v>
      </c>
      <c r="D1069" s="11">
        <f>B1069+C1069</f>
        <v>1241.015625</v>
      </c>
      <c r="E1069" s="10">
        <f>MIN($B$7,ROUND(D1069/$B$6,0))</f>
        <v>1059</v>
      </c>
      <c r="F1069" s="10" t="str">
        <f>DEC2BIN(INT(E1069/64),5)&amp;DEC2BIN(MOD(E1069,64),6)</f>
        <v>10000100011</v>
      </c>
      <c r="G1069" s="10" t="str">
        <f>DEC2HEX(E1069,3)</f>
        <v>423</v>
      </c>
      <c r="H1069" s="10" t="str">
        <f>IF(ROUND(D1069/$B$6,0)&gt;$B$7,"YES","NO")</f>
        <v>NO</v>
      </c>
    </row>
    <row r="1070" spans="1:8">
      <c r="A1070" s="8">
        <v>1060</v>
      </c>
      <c r="B1070" s="9">
        <f>D1069</f>
        <v>1241.015625</v>
      </c>
      <c r="C1070" s="9">
        <f>$B$6</f>
        <v>1.171875</v>
      </c>
      <c r="D1070" s="9">
        <f>B1070+C1070</f>
        <v>1242.1875</v>
      </c>
      <c r="E1070" s="8">
        <f>MIN($B$7,ROUND(D1070/$B$6,0))</f>
        <v>1060</v>
      </c>
      <c r="F1070" s="8" t="str">
        <f>DEC2BIN(INT(E1070/64),5)&amp;DEC2BIN(MOD(E1070,64),6)</f>
        <v>10000100100</v>
      </c>
      <c r="G1070" s="8" t="str">
        <f>DEC2HEX(E1070,3)</f>
        <v>424</v>
      </c>
      <c r="H1070" s="8" t="str">
        <f>IF(ROUND(D1070/$B$6,0)&gt;$B$7,"YES","NO")</f>
        <v>NO</v>
      </c>
    </row>
    <row r="1071" spans="1:8">
      <c r="A1071" s="10">
        <v>1061</v>
      </c>
      <c r="B1071" s="11">
        <f>D1070</f>
        <v>1242.1875</v>
      </c>
      <c r="C1071" s="11">
        <f>$B$6</f>
        <v>1.171875</v>
      </c>
      <c r="D1071" s="11">
        <f>B1071+C1071</f>
        <v>1243.359375</v>
      </c>
      <c r="E1071" s="10">
        <f>MIN($B$7,ROUND(D1071/$B$6,0))</f>
        <v>1061</v>
      </c>
      <c r="F1071" s="10" t="str">
        <f>DEC2BIN(INT(E1071/64),5)&amp;DEC2BIN(MOD(E1071,64),6)</f>
        <v>10000100101</v>
      </c>
      <c r="G1071" s="10" t="str">
        <f>DEC2HEX(E1071,3)</f>
        <v>425</v>
      </c>
      <c r="H1071" s="10" t="str">
        <f>IF(ROUND(D1071/$B$6,0)&gt;$B$7,"YES","NO")</f>
        <v>NO</v>
      </c>
    </row>
    <row r="1072" spans="1:8">
      <c r="A1072" s="8">
        <v>1062</v>
      </c>
      <c r="B1072" s="9">
        <f>D1071</f>
        <v>1243.359375</v>
      </c>
      <c r="C1072" s="9">
        <f>$B$6</f>
        <v>1.171875</v>
      </c>
      <c r="D1072" s="9">
        <f>B1072+C1072</f>
        <v>1244.53125</v>
      </c>
      <c r="E1072" s="8">
        <f>MIN($B$7,ROUND(D1072/$B$6,0))</f>
        <v>1062</v>
      </c>
      <c r="F1072" s="8" t="str">
        <f>DEC2BIN(INT(E1072/64),5)&amp;DEC2BIN(MOD(E1072,64),6)</f>
        <v>10000100110</v>
      </c>
      <c r="G1072" s="8" t="str">
        <f>DEC2HEX(E1072,3)</f>
        <v>426</v>
      </c>
      <c r="H1072" s="8" t="str">
        <f>IF(ROUND(D1072/$B$6,0)&gt;$B$7,"YES","NO")</f>
        <v>NO</v>
      </c>
    </row>
    <row r="1073" spans="1:8">
      <c r="A1073" s="10">
        <v>1063</v>
      </c>
      <c r="B1073" s="11">
        <f>D1072</f>
        <v>1244.53125</v>
      </c>
      <c r="C1073" s="11">
        <f>$B$6</f>
        <v>1.171875</v>
      </c>
      <c r="D1073" s="11">
        <f>B1073+C1073</f>
        <v>1245.703125</v>
      </c>
      <c r="E1073" s="10">
        <f>MIN($B$7,ROUND(D1073/$B$6,0))</f>
        <v>1063</v>
      </c>
      <c r="F1073" s="10" t="str">
        <f>DEC2BIN(INT(E1073/64),5)&amp;DEC2BIN(MOD(E1073,64),6)</f>
        <v>10000100111</v>
      </c>
      <c r="G1073" s="10" t="str">
        <f>DEC2HEX(E1073,3)</f>
        <v>427</v>
      </c>
      <c r="H1073" s="10" t="str">
        <f>IF(ROUND(D1073/$B$6,0)&gt;$B$7,"YES","NO")</f>
        <v>NO</v>
      </c>
    </row>
    <row r="1074" spans="1:8">
      <c r="A1074" s="8">
        <v>1064</v>
      </c>
      <c r="B1074" s="9">
        <f>D1073</f>
        <v>1245.703125</v>
      </c>
      <c r="C1074" s="9">
        <f>$B$6</f>
        <v>1.171875</v>
      </c>
      <c r="D1074" s="9">
        <f>B1074+C1074</f>
        <v>1246.875</v>
      </c>
      <c r="E1074" s="8">
        <f>MIN($B$7,ROUND(D1074/$B$6,0))</f>
        <v>1064</v>
      </c>
      <c r="F1074" s="8" t="str">
        <f>DEC2BIN(INT(E1074/64),5)&amp;DEC2BIN(MOD(E1074,64),6)</f>
        <v>10000101000</v>
      </c>
      <c r="G1074" s="8" t="str">
        <f>DEC2HEX(E1074,3)</f>
        <v>428</v>
      </c>
      <c r="H1074" s="8" t="str">
        <f>IF(ROUND(D1074/$B$6,0)&gt;$B$7,"YES","NO")</f>
        <v>NO</v>
      </c>
    </row>
    <row r="1075" spans="1:8">
      <c r="A1075" s="10">
        <v>1065</v>
      </c>
      <c r="B1075" s="11">
        <f>D1074</f>
        <v>1246.875</v>
      </c>
      <c r="C1075" s="11">
        <f>$B$6</f>
        <v>1.171875</v>
      </c>
      <c r="D1075" s="11">
        <f>B1075+C1075</f>
        <v>1248.046875</v>
      </c>
      <c r="E1075" s="10">
        <f>MIN($B$7,ROUND(D1075/$B$6,0))</f>
        <v>1065</v>
      </c>
      <c r="F1075" s="10" t="str">
        <f>DEC2BIN(INT(E1075/64),5)&amp;DEC2BIN(MOD(E1075,64),6)</f>
        <v>10000101001</v>
      </c>
      <c r="G1075" s="10" t="str">
        <f>DEC2HEX(E1075,3)</f>
        <v>429</v>
      </c>
      <c r="H1075" s="10" t="str">
        <f>IF(ROUND(D1075/$B$6,0)&gt;$B$7,"YES","NO")</f>
        <v>NO</v>
      </c>
    </row>
    <row r="1076" spans="1:8">
      <c r="A1076" s="8">
        <v>1066</v>
      </c>
      <c r="B1076" s="9">
        <f>D1075</f>
        <v>1248.046875</v>
      </c>
      <c r="C1076" s="9">
        <f>$B$6</f>
        <v>1.171875</v>
      </c>
      <c r="D1076" s="9">
        <f>B1076+C1076</f>
        <v>1249.21875</v>
      </c>
      <c r="E1076" s="8">
        <f>MIN($B$7,ROUND(D1076/$B$6,0))</f>
        <v>1066</v>
      </c>
      <c r="F1076" s="8" t="str">
        <f>DEC2BIN(INT(E1076/64),5)&amp;DEC2BIN(MOD(E1076,64),6)</f>
        <v>10000101010</v>
      </c>
      <c r="G1076" s="8" t="str">
        <f>DEC2HEX(E1076,3)</f>
        <v>42A</v>
      </c>
      <c r="H1076" s="8" t="str">
        <f>IF(ROUND(D1076/$B$6,0)&gt;$B$7,"YES","NO")</f>
        <v>NO</v>
      </c>
    </row>
    <row r="1077" spans="1:8">
      <c r="A1077" s="10">
        <v>1067</v>
      </c>
      <c r="B1077" s="11">
        <f>D1076</f>
        <v>1249.21875</v>
      </c>
      <c r="C1077" s="11">
        <f>$B$6</f>
        <v>1.171875</v>
      </c>
      <c r="D1077" s="11">
        <f>B1077+C1077</f>
        <v>1250.390625</v>
      </c>
      <c r="E1077" s="10">
        <f>MIN($B$7,ROUND(D1077/$B$6,0))</f>
        <v>1067</v>
      </c>
      <c r="F1077" s="10" t="str">
        <f>DEC2BIN(INT(E1077/64),5)&amp;DEC2BIN(MOD(E1077,64),6)</f>
        <v>10000101011</v>
      </c>
      <c r="G1077" s="10" t="str">
        <f>DEC2HEX(E1077,3)</f>
        <v>42B</v>
      </c>
      <c r="H1077" s="10" t="str">
        <f>IF(ROUND(D1077/$B$6,0)&gt;$B$7,"YES","NO")</f>
        <v>NO</v>
      </c>
    </row>
    <row r="1078" spans="1:8">
      <c r="A1078" s="8">
        <v>1068</v>
      </c>
      <c r="B1078" s="9">
        <f>D1077</f>
        <v>1250.390625</v>
      </c>
      <c r="C1078" s="9">
        <f>$B$6</f>
        <v>1.171875</v>
      </c>
      <c r="D1078" s="9">
        <f>B1078+C1078</f>
        <v>1251.5625</v>
      </c>
      <c r="E1078" s="8">
        <f>MIN($B$7,ROUND(D1078/$B$6,0))</f>
        <v>1068</v>
      </c>
      <c r="F1078" s="8" t="str">
        <f>DEC2BIN(INT(E1078/64),5)&amp;DEC2BIN(MOD(E1078,64),6)</f>
        <v>10000101100</v>
      </c>
      <c r="G1078" s="8" t="str">
        <f>DEC2HEX(E1078,3)</f>
        <v>42C</v>
      </c>
      <c r="H1078" s="8" t="str">
        <f>IF(ROUND(D1078/$B$6,0)&gt;$B$7,"YES","NO")</f>
        <v>NO</v>
      </c>
    </row>
    <row r="1079" spans="1:8">
      <c r="A1079" s="10">
        <v>1069</v>
      </c>
      <c r="B1079" s="11">
        <f>D1078</f>
        <v>1251.5625</v>
      </c>
      <c r="C1079" s="11">
        <f>$B$6</f>
        <v>1.171875</v>
      </c>
      <c r="D1079" s="11">
        <f>B1079+C1079</f>
        <v>1252.734375</v>
      </c>
      <c r="E1079" s="10">
        <f>MIN($B$7,ROUND(D1079/$B$6,0))</f>
        <v>1069</v>
      </c>
      <c r="F1079" s="10" t="str">
        <f>DEC2BIN(INT(E1079/64),5)&amp;DEC2BIN(MOD(E1079,64),6)</f>
        <v>10000101101</v>
      </c>
      <c r="G1079" s="10" t="str">
        <f>DEC2HEX(E1079,3)</f>
        <v>42D</v>
      </c>
      <c r="H1079" s="10" t="str">
        <f>IF(ROUND(D1079/$B$6,0)&gt;$B$7,"YES","NO")</f>
        <v>NO</v>
      </c>
    </row>
    <row r="1080" spans="1:8">
      <c r="A1080" s="8">
        <v>1070</v>
      </c>
      <c r="B1080" s="9">
        <f>D1079</f>
        <v>1252.734375</v>
      </c>
      <c r="C1080" s="9">
        <f>$B$6</f>
        <v>1.171875</v>
      </c>
      <c r="D1080" s="9">
        <f>B1080+C1080</f>
        <v>1253.90625</v>
      </c>
      <c r="E1080" s="8">
        <f>MIN($B$7,ROUND(D1080/$B$6,0))</f>
        <v>1070</v>
      </c>
      <c r="F1080" s="8" t="str">
        <f>DEC2BIN(INT(E1080/64),5)&amp;DEC2BIN(MOD(E1080,64),6)</f>
        <v>10000101110</v>
      </c>
      <c r="G1080" s="8" t="str">
        <f>DEC2HEX(E1080,3)</f>
        <v>42E</v>
      </c>
      <c r="H1080" s="8" t="str">
        <f>IF(ROUND(D1080/$B$6,0)&gt;$B$7,"YES","NO")</f>
        <v>NO</v>
      </c>
    </row>
    <row r="1081" spans="1:8">
      <c r="A1081" s="10">
        <v>1071</v>
      </c>
      <c r="B1081" s="11">
        <f>D1080</f>
        <v>1253.90625</v>
      </c>
      <c r="C1081" s="11">
        <f>$B$6</f>
        <v>1.171875</v>
      </c>
      <c r="D1081" s="11">
        <f>B1081+C1081</f>
        <v>1255.078125</v>
      </c>
      <c r="E1081" s="10">
        <f>MIN($B$7,ROUND(D1081/$B$6,0))</f>
        <v>1071</v>
      </c>
      <c r="F1081" s="10" t="str">
        <f>DEC2BIN(INT(E1081/64),5)&amp;DEC2BIN(MOD(E1081,64),6)</f>
        <v>10000101111</v>
      </c>
      <c r="G1081" s="10" t="str">
        <f>DEC2HEX(E1081,3)</f>
        <v>42F</v>
      </c>
      <c r="H1081" s="10" t="str">
        <f>IF(ROUND(D1081/$B$6,0)&gt;$B$7,"YES","NO")</f>
        <v>NO</v>
      </c>
    </row>
    <row r="1082" spans="1:8">
      <c r="A1082" s="8">
        <v>1072</v>
      </c>
      <c r="B1082" s="9">
        <f>D1081</f>
        <v>1255.078125</v>
      </c>
      <c r="C1082" s="9">
        <f>$B$6</f>
        <v>1.171875</v>
      </c>
      <c r="D1082" s="9">
        <f>B1082+C1082</f>
        <v>1256.25</v>
      </c>
      <c r="E1082" s="8">
        <f>MIN($B$7,ROUND(D1082/$B$6,0))</f>
        <v>1072</v>
      </c>
      <c r="F1082" s="8" t="str">
        <f>DEC2BIN(INT(E1082/64),5)&amp;DEC2BIN(MOD(E1082,64),6)</f>
        <v>10000110000</v>
      </c>
      <c r="G1082" s="8" t="str">
        <f>DEC2HEX(E1082,3)</f>
        <v>430</v>
      </c>
      <c r="H1082" s="8" t="str">
        <f>IF(ROUND(D1082/$B$6,0)&gt;$B$7,"YES","NO")</f>
        <v>NO</v>
      </c>
    </row>
    <row r="1083" spans="1:8">
      <c r="A1083" s="10">
        <v>1073</v>
      </c>
      <c r="B1083" s="11">
        <f>D1082</f>
        <v>1256.25</v>
      </c>
      <c r="C1083" s="11">
        <f>$B$6</f>
        <v>1.171875</v>
      </c>
      <c r="D1083" s="11">
        <f>B1083+C1083</f>
        <v>1257.421875</v>
      </c>
      <c r="E1083" s="10">
        <f>MIN($B$7,ROUND(D1083/$B$6,0))</f>
        <v>1073</v>
      </c>
      <c r="F1083" s="10" t="str">
        <f>DEC2BIN(INT(E1083/64),5)&amp;DEC2BIN(MOD(E1083,64),6)</f>
        <v>10000110001</v>
      </c>
      <c r="G1083" s="10" t="str">
        <f>DEC2HEX(E1083,3)</f>
        <v>431</v>
      </c>
      <c r="H1083" s="10" t="str">
        <f>IF(ROUND(D1083/$B$6,0)&gt;$B$7,"YES","NO")</f>
        <v>NO</v>
      </c>
    </row>
    <row r="1084" spans="1:8">
      <c r="A1084" s="8">
        <v>1074</v>
      </c>
      <c r="B1084" s="9">
        <f>D1083</f>
        <v>1257.421875</v>
      </c>
      <c r="C1084" s="9">
        <f>$B$6</f>
        <v>1.171875</v>
      </c>
      <c r="D1084" s="9">
        <f>B1084+C1084</f>
        <v>1258.59375</v>
      </c>
      <c r="E1084" s="8">
        <f>MIN($B$7,ROUND(D1084/$B$6,0))</f>
        <v>1074</v>
      </c>
      <c r="F1084" s="8" t="str">
        <f>DEC2BIN(INT(E1084/64),5)&amp;DEC2BIN(MOD(E1084,64),6)</f>
        <v>10000110010</v>
      </c>
      <c r="G1084" s="8" t="str">
        <f>DEC2HEX(E1084,3)</f>
        <v>432</v>
      </c>
      <c r="H1084" s="8" t="str">
        <f>IF(ROUND(D1084/$B$6,0)&gt;$B$7,"YES","NO")</f>
        <v>NO</v>
      </c>
    </row>
    <row r="1085" spans="1:8">
      <c r="A1085" s="10">
        <v>1075</v>
      </c>
      <c r="B1085" s="11">
        <f>D1084</f>
        <v>1258.59375</v>
      </c>
      <c r="C1085" s="11">
        <f>$B$6</f>
        <v>1.171875</v>
      </c>
      <c r="D1085" s="11">
        <f>B1085+C1085</f>
        <v>1259.765625</v>
      </c>
      <c r="E1085" s="10">
        <f>MIN($B$7,ROUND(D1085/$B$6,0))</f>
        <v>1075</v>
      </c>
      <c r="F1085" s="10" t="str">
        <f>DEC2BIN(INT(E1085/64),5)&amp;DEC2BIN(MOD(E1085,64),6)</f>
        <v>10000110011</v>
      </c>
      <c r="G1085" s="10" t="str">
        <f>DEC2HEX(E1085,3)</f>
        <v>433</v>
      </c>
      <c r="H1085" s="10" t="str">
        <f>IF(ROUND(D1085/$B$6,0)&gt;$B$7,"YES","NO")</f>
        <v>NO</v>
      </c>
    </row>
    <row r="1086" spans="1:8">
      <c r="A1086" s="8">
        <v>1076</v>
      </c>
      <c r="B1086" s="9">
        <f>D1085</f>
        <v>1259.765625</v>
      </c>
      <c r="C1086" s="9">
        <f>$B$6</f>
        <v>1.171875</v>
      </c>
      <c r="D1086" s="9">
        <f>B1086+C1086</f>
        <v>1260.9375</v>
      </c>
      <c r="E1086" s="8">
        <f>MIN($B$7,ROUND(D1086/$B$6,0))</f>
        <v>1076</v>
      </c>
      <c r="F1086" s="8" t="str">
        <f>DEC2BIN(INT(E1086/64),5)&amp;DEC2BIN(MOD(E1086,64),6)</f>
        <v>10000110100</v>
      </c>
      <c r="G1086" s="8" t="str">
        <f>DEC2HEX(E1086,3)</f>
        <v>434</v>
      </c>
      <c r="H1086" s="8" t="str">
        <f>IF(ROUND(D1086/$B$6,0)&gt;$B$7,"YES","NO")</f>
        <v>NO</v>
      </c>
    </row>
    <row r="1087" spans="1:8">
      <c r="A1087" s="10">
        <v>1077</v>
      </c>
      <c r="B1087" s="11">
        <f>D1086</f>
        <v>1260.9375</v>
      </c>
      <c r="C1087" s="11">
        <f>$B$6</f>
        <v>1.171875</v>
      </c>
      <c r="D1087" s="11">
        <f>B1087+C1087</f>
        <v>1262.109375</v>
      </c>
      <c r="E1087" s="10">
        <f>MIN($B$7,ROUND(D1087/$B$6,0))</f>
        <v>1077</v>
      </c>
      <c r="F1087" s="10" t="str">
        <f>DEC2BIN(INT(E1087/64),5)&amp;DEC2BIN(MOD(E1087,64),6)</f>
        <v>10000110101</v>
      </c>
      <c r="G1087" s="10" t="str">
        <f>DEC2HEX(E1087,3)</f>
        <v>435</v>
      </c>
      <c r="H1087" s="10" t="str">
        <f>IF(ROUND(D1087/$B$6,0)&gt;$B$7,"YES","NO")</f>
        <v>NO</v>
      </c>
    </row>
    <row r="1088" spans="1:8">
      <c r="A1088" s="8">
        <v>1078</v>
      </c>
      <c r="B1088" s="9">
        <f>D1087</f>
        <v>1262.109375</v>
      </c>
      <c r="C1088" s="9">
        <f>$B$6</f>
        <v>1.171875</v>
      </c>
      <c r="D1088" s="9">
        <f>B1088+C1088</f>
        <v>1263.28125</v>
      </c>
      <c r="E1088" s="8">
        <f>MIN($B$7,ROUND(D1088/$B$6,0))</f>
        <v>1078</v>
      </c>
      <c r="F1088" s="8" t="str">
        <f>DEC2BIN(INT(E1088/64),5)&amp;DEC2BIN(MOD(E1088,64),6)</f>
        <v>10000110110</v>
      </c>
      <c r="G1088" s="8" t="str">
        <f>DEC2HEX(E1088,3)</f>
        <v>436</v>
      </c>
      <c r="H1088" s="8" t="str">
        <f>IF(ROUND(D1088/$B$6,0)&gt;$B$7,"YES","NO")</f>
        <v>NO</v>
      </c>
    </row>
    <row r="1089" spans="1:8">
      <c r="A1089" s="10">
        <v>1079</v>
      </c>
      <c r="B1089" s="11">
        <f>D1088</f>
        <v>1263.28125</v>
      </c>
      <c r="C1089" s="11">
        <f>$B$6</f>
        <v>1.171875</v>
      </c>
      <c r="D1089" s="11">
        <f>B1089+C1089</f>
        <v>1264.453125</v>
      </c>
      <c r="E1089" s="10">
        <f>MIN($B$7,ROUND(D1089/$B$6,0))</f>
        <v>1079</v>
      </c>
      <c r="F1089" s="10" t="str">
        <f>DEC2BIN(INT(E1089/64),5)&amp;DEC2BIN(MOD(E1089,64),6)</f>
        <v>10000110111</v>
      </c>
      <c r="G1089" s="10" t="str">
        <f>DEC2HEX(E1089,3)</f>
        <v>437</v>
      </c>
      <c r="H1089" s="10" t="str">
        <f>IF(ROUND(D1089/$B$6,0)&gt;$B$7,"YES","NO")</f>
        <v>NO</v>
      </c>
    </row>
    <row r="1090" spans="1:8">
      <c r="A1090" s="8">
        <v>1080</v>
      </c>
      <c r="B1090" s="9">
        <f>D1089</f>
        <v>1264.453125</v>
      </c>
      <c r="C1090" s="9">
        <f>$B$6</f>
        <v>1.171875</v>
      </c>
      <c r="D1090" s="9">
        <f>B1090+C1090</f>
        <v>1265.625</v>
      </c>
      <c r="E1090" s="8">
        <f>MIN($B$7,ROUND(D1090/$B$6,0))</f>
        <v>1080</v>
      </c>
      <c r="F1090" s="8" t="str">
        <f>DEC2BIN(INT(E1090/64),5)&amp;DEC2BIN(MOD(E1090,64),6)</f>
        <v>10000111000</v>
      </c>
      <c r="G1090" s="8" t="str">
        <f>DEC2HEX(E1090,3)</f>
        <v>438</v>
      </c>
      <c r="H1090" s="8" t="str">
        <f>IF(ROUND(D1090/$B$6,0)&gt;$B$7,"YES","NO")</f>
        <v>NO</v>
      </c>
    </row>
    <row r="1091" spans="1:8">
      <c r="A1091" s="10">
        <v>1081</v>
      </c>
      <c r="B1091" s="11">
        <f>D1090</f>
        <v>1265.625</v>
      </c>
      <c r="C1091" s="11">
        <f>$B$6</f>
        <v>1.171875</v>
      </c>
      <c r="D1091" s="11">
        <f>B1091+C1091</f>
        <v>1266.796875</v>
      </c>
      <c r="E1091" s="10">
        <f>MIN($B$7,ROUND(D1091/$B$6,0))</f>
        <v>1081</v>
      </c>
      <c r="F1091" s="10" t="str">
        <f>DEC2BIN(INT(E1091/64),5)&amp;DEC2BIN(MOD(E1091,64),6)</f>
        <v>10000111001</v>
      </c>
      <c r="G1091" s="10" t="str">
        <f>DEC2HEX(E1091,3)</f>
        <v>439</v>
      </c>
      <c r="H1091" s="10" t="str">
        <f>IF(ROUND(D1091/$B$6,0)&gt;$B$7,"YES","NO")</f>
        <v>NO</v>
      </c>
    </row>
    <row r="1092" spans="1:8">
      <c r="A1092" s="8">
        <v>1082</v>
      </c>
      <c r="B1092" s="9">
        <f>D1091</f>
        <v>1266.796875</v>
      </c>
      <c r="C1092" s="9">
        <f>$B$6</f>
        <v>1.171875</v>
      </c>
      <c r="D1092" s="9">
        <f>B1092+C1092</f>
        <v>1267.96875</v>
      </c>
      <c r="E1092" s="8">
        <f>MIN($B$7,ROUND(D1092/$B$6,0))</f>
        <v>1082</v>
      </c>
      <c r="F1092" s="8" t="str">
        <f>DEC2BIN(INT(E1092/64),5)&amp;DEC2BIN(MOD(E1092,64),6)</f>
        <v>10000111010</v>
      </c>
      <c r="G1092" s="8" t="str">
        <f>DEC2HEX(E1092,3)</f>
        <v>43A</v>
      </c>
      <c r="H1092" s="8" t="str">
        <f>IF(ROUND(D1092/$B$6,0)&gt;$B$7,"YES","NO")</f>
        <v>NO</v>
      </c>
    </row>
    <row r="1093" spans="1:8">
      <c r="A1093" s="10">
        <v>1083</v>
      </c>
      <c r="B1093" s="11">
        <f>D1092</f>
        <v>1267.96875</v>
      </c>
      <c r="C1093" s="11">
        <f>$B$6</f>
        <v>1.171875</v>
      </c>
      <c r="D1093" s="11">
        <f>B1093+C1093</f>
        <v>1269.140625</v>
      </c>
      <c r="E1093" s="10">
        <f>MIN($B$7,ROUND(D1093/$B$6,0))</f>
        <v>1083</v>
      </c>
      <c r="F1093" s="10" t="str">
        <f>DEC2BIN(INT(E1093/64),5)&amp;DEC2BIN(MOD(E1093,64),6)</f>
        <v>10000111011</v>
      </c>
      <c r="G1093" s="10" t="str">
        <f>DEC2HEX(E1093,3)</f>
        <v>43B</v>
      </c>
      <c r="H1093" s="10" t="str">
        <f>IF(ROUND(D1093/$B$6,0)&gt;$B$7,"YES","NO")</f>
        <v>NO</v>
      </c>
    </row>
    <row r="1094" spans="1:8">
      <c r="A1094" s="8">
        <v>1084</v>
      </c>
      <c r="B1094" s="9">
        <f>D1093</f>
        <v>1269.140625</v>
      </c>
      <c r="C1094" s="9">
        <f>$B$6</f>
        <v>1.171875</v>
      </c>
      <c r="D1094" s="9">
        <f>B1094+C1094</f>
        <v>1270.3125</v>
      </c>
      <c r="E1094" s="8">
        <f>MIN($B$7,ROUND(D1094/$B$6,0))</f>
        <v>1084</v>
      </c>
      <c r="F1094" s="8" t="str">
        <f>DEC2BIN(INT(E1094/64),5)&amp;DEC2BIN(MOD(E1094,64),6)</f>
        <v>10000111100</v>
      </c>
      <c r="G1094" s="8" t="str">
        <f>DEC2HEX(E1094,3)</f>
        <v>43C</v>
      </c>
      <c r="H1094" s="8" t="str">
        <f>IF(ROUND(D1094/$B$6,0)&gt;$B$7,"YES","NO")</f>
        <v>NO</v>
      </c>
    </row>
    <row r="1095" spans="1:8">
      <c r="A1095" s="10">
        <v>1085</v>
      </c>
      <c r="B1095" s="11">
        <f>D1094</f>
        <v>1270.3125</v>
      </c>
      <c r="C1095" s="11">
        <f>$B$6</f>
        <v>1.171875</v>
      </c>
      <c r="D1095" s="11">
        <f>B1095+C1095</f>
        <v>1271.484375</v>
      </c>
      <c r="E1095" s="10">
        <f>MIN($B$7,ROUND(D1095/$B$6,0))</f>
        <v>1085</v>
      </c>
      <c r="F1095" s="10" t="str">
        <f>DEC2BIN(INT(E1095/64),5)&amp;DEC2BIN(MOD(E1095,64),6)</f>
        <v>10000111101</v>
      </c>
      <c r="G1095" s="10" t="str">
        <f>DEC2HEX(E1095,3)</f>
        <v>43D</v>
      </c>
      <c r="H1095" s="10" t="str">
        <f>IF(ROUND(D1095/$B$6,0)&gt;$B$7,"YES","NO")</f>
        <v>NO</v>
      </c>
    </row>
    <row r="1096" spans="1:8">
      <c r="A1096" s="8">
        <v>1086</v>
      </c>
      <c r="B1096" s="9">
        <f>D1095</f>
        <v>1271.484375</v>
      </c>
      <c r="C1096" s="9">
        <f>$B$6</f>
        <v>1.171875</v>
      </c>
      <c r="D1096" s="9">
        <f>B1096+C1096</f>
        <v>1272.65625</v>
      </c>
      <c r="E1096" s="8">
        <f>MIN($B$7,ROUND(D1096/$B$6,0))</f>
        <v>1086</v>
      </c>
      <c r="F1096" s="8" t="str">
        <f>DEC2BIN(INT(E1096/64),5)&amp;DEC2BIN(MOD(E1096,64),6)</f>
        <v>10000111110</v>
      </c>
      <c r="G1096" s="8" t="str">
        <f>DEC2HEX(E1096,3)</f>
        <v>43E</v>
      </c>
      <c r="H1096" s="8" t="str">
        <f>IF(ROUND(D1096/$B$6,0)&gt;$B$7,"YES","NO")</f>
        <v>NO</v>
      </c>
    </row>
    <row r="1097" spans="1:8">
      <c r="A1097" s="10">
        <v>1087</v>
      </c>
      <c r="B1097" s="11">
        <f>D1096</f>
        <v>1272.65625</v>
      </c>
      <c r="C1097" s="11">
        <f>$B$6</f>
        <v>1.171875</v>
      </c>
      <c r="D1097" s="11">
        <f>B1097+C1097</f>
        <v>1273.828125</v>
      </c>
      <c r="E1097" s="10">
        <f>MIN($B$7,ROUND(D1097/$B$6,0))</f>
        <v>1087</v>
      </c>
      <c r="F1097" s="10" t="str">
        <f>DEC2BIN(INT(E1097/64),5)&amp;DEC2BIN(MOD(E1097,64),6)</f>
        <v>10000111111</v>
      </c>
      <c r="G1097" s="10" t="str">
        <f>DEC2HEX(E1097,3)</f>
        <v>43F</v>
      </c>
      <c r="H1097" s="10" t="str">
        <f>IF(ROUND(D1097/$B$6,0)&gt;$B$7,"YES","NO")</f>
        <v>NO</v>
      </c>
    </row>
    <row r="1098" spans="1:8">
      <c r="A1098" s="8">
        <v>1088</v>
      </c>
      <c r="B1098" s="9">
        <f>D1097</f>
        <v>1273.828125</v>
      </c>
      <c r="C1098" s="9">
        <f>$B$6</f>
        <v>1.171875</v>
      </c>
      <c r="D1098" s="9">
        <f>B1098+C1098</f>
        <v>1275</v>
      </c>
      <c r="E1098" s="8">
        <f>MIN($B$7,ROUND(D1098/$B$6,0))</f>
        <v>1088</v>
      </c>
      <c r="F1098" s="8" t="str">
        <f>DEC2BIN(INT(E1098/64),5)&amp;DEC2BIN(MOD(E1098,64),6)</f>
        <v>10001000000</v>
      </c>
      <c r="G1098" s="8" t="str">
        <f>DEC2HEX(E1098,3)</f>
        <v>440</v>
      </c>
      <c r="H1098" s="8" t="str">
        <f>IF(ROUND(D1098/$B$6,0)&gt;$B$7,"YES","NO")</f>
        <v>NO</v>
      </c>
    </row>
    <row r="1099" spans="1:8">
      <c r="A1099" s="10">
        <v>1089</v>
      </c>
      <c r="B1099" s="11">
        <f>D1098</f>
        <v>1275</v>
      </c>
      <c r="C1099" s="11">
        <f>$B$6</f>
        <v>1.171875</v>
      </c>
      <c r="D1099" s="11">
        <f>B1099+C1099</f>
        <v>1276.171875</v>
      </c>
      <c r="E1099" s="10">
        <f>MIN($B$7,ROUND(D1099/$B$6,0))</f>
        <v>1089</v>
      </c>
      <c r="F1099" s="10" t="str">
        <f>DEC2BIN(INT(E1099/64),5)&amp;DEC2BIN(MOD(E1099,64),6)</f>
        <v>10001000001</v>
      </c>
      <c r="G1099" s="10" t="str">
        <f>DEC2HEX(E1099,3)</f>
        <v>441</v>
      </c>
      <c r="H1099" s="10" t="str">
        <f>IF(ROUND(D1099/$B$6,0)&gt;$B$7,"YES","NO")</f>
        <v>NO</v>
      </c>
    </row>
    <row r="1100" spans="1:8">
      <c r="A1100" s="8">
        <v>1090</v>
      </c>
      <c r="B1100" s="9">
        <f>D1099</f>
        <v>1276.171875</v>
      </c>
      <c r="C1100" s="9">
        <f>$B$6</f>
        <v>1.171875</v>
      </c>
      <c r="D1100" s="9">
        <f>B1100+C1100</f>
        <v>1277.34375</v>
      </c>
      <c r="E1100" s="8">
        <f>MIN($B$7,ROUND(D1100/$B$6,0))</f>
        <v>1090</v>
      </c>
      <c r="F1100" s="8" t="str">
        <f>DEC2BIN(INT(E1100/64),5)&amp;DEC2BIN(MOD(E1100,64),6)</f>
        <v>10001000010</v>
      </c>
      <c r="G1100" s="8" t="str">
        <f>DEC2HEX(E1100,3)</f>
        <v>442</v>
      </c>
      <c r="H1100" s="8" t="str">
        <f>IF(ROUND(D1100/$B$6,0)&gt;$B$7,"YES","NO")</f>
        <v>NO</v>
      </c>
    </row>
    <row r="1101" spans="1:8">
      <c r="A1101" s="10">
        <v>1091</v>
      </c>
      <c r="B1101" s="11">
        <f>D1100</f>
        <v>1277.34375</v>
      </c>
      <c r="C1101" s="11">
        <f>$B$6</f>
        <v>1.171875</v>
      </c>
      <c r="D1101" s="11">
        <f>B1101+C1101</f>
        <v>1278.515625</v>
      </c>
      <c r="E1101" s="10">
        <f>MIN($B$7,ROUND(D1101/$B$6,0))</f>
        <v>1091</v>
      </c>
      <c r="F1101" s="10" t="str">
        <f>DEC2BIN(INT(E1101/64),5)&amp;DEC2BIN(MOD(E1101,64),6)</f>
        <v>10001000011</v>
      </c>
      <c r="G1101" s="10" t="str">
        <f>DEC2HEX(E1101,3)</f>
        <v>443</v>
      </c>
      <c r="H1101" s="10" t="str">
        <f>IF(ROUND(D1101/$B$6,0)&gt;$B$7,"YES","NO")</f>
        <v>NO</v>
      </c>
    </row>
    <row r="1102" spans="1:8">
      <c r="A1102" s="8">
        <v>1092</v>
      </c>
      <c r="B1102" s="9">
        <f>D1101</f>
        <v>1278.515625</v>
      </c>
      <c r="C1102" s="9">
        <f>$B$6</f>
        <v>1.171875</v>
      </c>
      <c r="D1102" s="9">
        <f>B1102+C1102</f>
        <v>1279.6875</v>
      </c>
      <c r="E1102" s="8">
        <f>MIN($B$7,ROUND(D1102/$B$6,0))</f>
        <v>1092</v>
      </c>
      <c r="F1102" s="8" t="str">
        <f>DEC2BIN(INT(E1102/64),5)&amp;DEC2BIN(MOD(E1102,64),6)</f>
        <v>10001000100</v>
      </c>
      <c r="G1102" s="8" t="str">
        <f>DEC2HEX(E1102,3)</f>
        <v>444</v>
      </c>
      <c r="H1102" s="8" t="str">
        <f>IF(ROUND(D1102/$B$6,0)&gt;$B$7,"YES","NO")</f>
        <v>NO</v>
      </c>
    </row>
    <row r="1103" spans="1:8">
      <c r="A1103" s="10">
        <v>1093</v>
      </c>
      <c r="B1103" s="11">
        <f>D1102</f>
        <v>1279.6875</v>
      </c>
      <c r="C1103" s="11">
        <f>$B$6</f>
        <v>1.171875</v>
      </c>
      <c r="D1103" s="11">
        <f>B1103+C1103</f>
        <v>1280.859375</v>
      </c>
      <c r="E1103" s="10">
        <f>MIN($B$7,ROUND(D1103/$B$6,0))</f>
        <v>1093</v>
      </c>
      <c r="F1103" s="10" t="str">
        <f>DEC2BIN(INT(E1103/64),5)&amp;DEC2BIN(MOD(E1103,64),6)</f>
        <v>10001000101</v>
      </c>
      <c r="G1103" s="10" t="str">
        <f>DEC2HEX(E1103,3)</f>
        <v>445</v>
      </c>
      <c r="H1103" s="10" t="str">
        <f>IF(ROUND(D1103/$B$6,0)&gt;$B$7,"YES","NO")</f>
        <v>NO</v>
      </c>
    </row>
    <row r="1104" spans="1:8">
      <c r="A1104" s="8">
        <v>1094</v>
      </c>
      <c r="B1104" s="9">
        <f>D1103</f>
        <v>1280.859375</v>
      </c>
      <c r="C1104" s="9">
        <f>$B$6</f>
        <v>1.171875</v>
      </c>
      <c r="D1104" s="9">
        <f>B1104+C1104</f>
        <v>1282.03125</v>
      </c>
      <c r="E1104" s="8">
        <f>MIN($B$7,ROUND(D1104/$B$6,0))</f>
        <v>1094</v>
      </c>
      <c r="F1104" s="8" t="str">
        <f>DEC2BIN(INT(E1104/64),5)&amp;DEC2BIN(MOD(E1104,64),6)</f>
        <v>10001000110</v>
      </c>
      <c r="G1104" s="8" t="str">
        <f>DEC2HEX(E1104,3)</f>
        <v>446</v>
      </c>
      <c r="H1104" s="8" t="str">
        <f>IF(ROUND(D1104/$B$6,0)&gt;$B$7,"YES","NO")</f>
        <v>NO</v>
      </c>
    </row>
    <row r="1105" spans="1:8">
      <c r="A1105" s="10">
        <v>1095</v>
      </c>
      <c r="B1105" s="11">
        <f>D1104</f>
        <v>1282.03125</v>
      </c>
      <c r="C1105" s="11">
        <f>$B$6</f>
        <v>1.171875</v>
      </c>
      <c r="D1105" s="11">
        <f>B1105+C1105</f>
        <v>1283.203125</v>
      </c>
      <c r="E1105" s="10">
        <f>MIN($B$7,ROUND(D1105/$B$6,0))</f>
        <v>1095</v>
      </c>
      <c r="F1105" s="10" t="str">
        <f>DEC2BIN(INT(E1105/64),5)&amp;DEC2BIN(MOD(E1105,64),6)</f>
        <v>10001000111</v>
      </c>
      <c r="G1105" s="10" t="str">
        <f>DEC2HEX(E1105,3)</f>
        <v>447</v>
      </c>
      <c r="H1105" s="10" t="str">
        <f>IF(ROUND(D1105/$B$6,0)&gt;$B$7,"YES","NO")</f>
        <v>NO</v>
      </c>
    </row>
    <row r="1106" spans="1:8">
      <c r="A1106" s="8">
        <v>1096</v>
      </c>
      <c r="B1106" s="9">
        <f>D1105</f>
        <v>1283.203125</v>
      </c>
      <c r="C1106" s="9">
        <f>$B$6</f>
        <v>1.171875</v>
      </c>
      <c r="D1106" s="9">
        <f>B1106+C1106</f>
        <v>1284.375</v>
      </c>
      <c r="E1106" s="8">
        <f>MIN($B$7,ROUND(D1106/$B$6,0))</f>
        <v>1096</v>
      </c>
      <c r="F1106" s="8" t="str">
        <f>DEC2BIN(INT(E1106/64),5)&amp;DEC2BIN(MOD(E1106,64),6)</f>
        <v>10001001000</v>
      </c>
      <c r="G1106" s="8" t="str">
        <f>DEC2HEX(E1106,3)</f>
        <v>448</v>
      </c>
      <c r="H1106" s="8" t="str">
        <f>IF(ROUND(D1106/$B$6,0)&gt;$B$7,"YES","NO")</f>
        <v>NO</v>
      </c>
    </row>
    <row r="1107" spans="1:8">
      <c r="A1107" s="10">
        <v>1097</v>
      </c>
      <c r="B1107" s="11">
        <f>D1106</f>
        <v>1284.375</v>
      </c>
      <c r="C1107" s="11">
        <f>$B$6</f>
        <v>1.171875</v>
      </c>
      <c r="D1107" s="11">
        <f>B1107+C1107</f>
        <v>1285.546875</v>
      </c>
      <c r="E1107" s="10">
        <f>MIN($B$7,ROUND(D1107/$B$6,0))</f>
        <v>1097</v>
      </c>
      <c r="F1107" s="10" t="str">
        <f>DEC2BIN(INT(E1107/64),5)&amp;DEC2BIN(MOD(E1107,64),6)</f>
        <v>10001001001</v>
      </c>
      <c r="G1107" s="10" t="str">
        <f>DEC2HEX(E1107,3)</f>
        <v>449</v>
      </c>
      <c r="H1107" s="10" t="str">
        <f>IF(ROUND(D1107/$B$6,0)&gt;$B$7,"YES","NO")</f>
        <v>NO</v>
      </c>
    </row>
    <row r="1108" spans="1:8">
      <c r="A1108" s="8">
        <v>1098</v>
      </c>
      <c r="B1108" s="9">
        <f>D1107</f>
        <v>1285.546875</v>
      </c>
      <c r="C1108" s="9">
        <f>$B$6</f>
        <v>1.171875</v>
      </c>
      <c r="D1108" s="9">
        <f>B1108+C1108</f>
        <v>1286.71875</v>
      </c>
      <c r="E1108" s="8">
        <f>MIN($B$7,ROUND(D1108/$B$6,0))</f>
        <v>1098</v>
      </c>
      <c r="F1108" s="8" t="str">
        <f>DEC2BIN(INT(E1108/64),5)&amp;DEC2BIN(MOD(E1108,64),6)</f>
        <v>10001001010</v>
      </c>
      <c r="G1108" s="8" t="str">
        <f>DEC2HEX(E1108,3)</f>
        <v>44A</v>
      </c>
      <c r="H1108" s="8" t="str">
        <f>IF(ROUND(D1108/$B$6,0)&gt;$B$7,"YES","NO")</f>
        <v>NO</v>
      </c>
    </row>
    <row r="1109" spans="1:8">
      <c r="A1109" s="10">
        <v>1099</v>
      </c>
      <c r="B1109" s="11">
        <f>D1108</f>
        <v>1286.71875</v>
      </c>
      <c r="C1109" s="11">
        <f>$B$6</f>
        <v>1.171875</v>
      </c>
      <c r="D1109" s="11">
        <f>B1109+C1109</f>
        <v>1287.890625</v>
      </c>
      <c r="E1109" s="10">
        <f>MIN($B$7,ROUND(D1109/$B$6,0))</f>
        <v>1099</v>
      </c>
      <c r="F1109" s="10" t="str">
        <f>DEC2BIN(INT(E1109/64),5)&amp;DEC2BIN(MOD(E1109,64),6)</f>
        <v>10001001011</v>
      </c>
      <c r="G1109" s="10" t="str">
        <f>DEC2HEX(E1109,3)</f>
        <v>44B</v>
      </c>
      <c r="H1109" s="10" t="str">
        <f>IF(ROUND(D1109/$B$6,0)&gt;$B$7,"YES","NO")</f>
        <v>NO</v>
      </c>
    </row>
    <row r="1110" spans="1:8">
      <c r="A1110" s="8">
        <v>1100</v>
      </c>
      <c r="B1110" s="9">
        <f>D1109</f>
        <v>1287.890625</v>
      </c>
      <c r="C1110" s="9">
        <f>$B$6</f>
        <v>1.171875</v>
      </c>
      <c r="D1110" s="9">
        <f>B1110+C1110</f>
        <v>1289.0625</v>
      </c>
      <c r="E1110" s="8">
        <f>MIN($B$7,ROUND(D1110/$B$6,0))</f>
        <v>1100</v>
      </c>
      <c r="F1110" s="8" t="str">
        <f>DEC2BIN(INT(E1110/64),5)&amp;DEC2BIN(MOD(E1110,64),6)</f>
        <v>10001001100</v>
      </c>
      <c r="G1110" s="8" t="str">
        <f>DEC2HEX(E1110,3)</f>
        <v>44C</v>
      </c>
      <c r="H1110" s="8" t="str">
        <f>IF(ROUND(D1110/$B$6,0)&gt;$B$7,"YES","NO")</f>
        <v>NO</v>
      </c>
    </row>
    <row r="1111" spans="1:8">
      <c r="A1111" s="10">
        <v>1101</v>
      </c>
      <c r="B1111" s="11">
        <f>D1110</f>
        <v>1289.0625</v>
      </c>
      <c r="C1111" s="11">
        <f>$B$6</f>
        <v>1.171875</v>
      </c>
      <c r="D1111" s="11">
        <f>B1111+C1111</f>
        <v>1290.234375</v>
      </c>
      <c r="E1111" s="10">
        <f>MIN($B$7,ROUND(D1111/$B$6,0))</f>
        <v>1101</v>
      </c>
      <c r="F1111" s="10" t="str">
        <f>DEC2BIN(INT(E1111/64),5)&amp;DEC2BIN(MOD(E1111,64),6)</f>
        <v>10001001101</v>
      </c>
      <c r="G1111" s="10" t="str">
        <f>DEC2HEX(E1111,3)</f>
        <v>44D</v>
      </c>
      <c r="H1111" s="10" t="str">
        <f>IF(ROUND(D1111/$B$6,0)&gt;$B$7,"YES","NO")</f>
        <v>NO</v>
      </c>
    </row>
    <row r="1112" spans="1:8">
      <c r="A1112" s="8">
        <v>1102</v>
      </c>
      <c r="B1112" s="9">
        <f>D1111</f>
        <v>1290.234375</v>
      </c>
      <c r="C1112" s="9">
        <f>$B$6</f>
        <v>1.171875</v>
      </c>
      <c r="D1112" s="9">
        <f>B1112+C1112</f>
        <v>1291.40625</v>
      </c>
      <c r="E1112" s="8">
        <f>MIN($B$7,ROUND(D1112/$B$6,0))</f>
        <v>1102</v>
      </c>
      <c r="F1112" s="8" t="str">
        <f>DEC2BIN(INT(E1112/64),5)&amp;DEC2BIN(MOD(E1112,64),6)</f>
        <v>10001001110</v>
      </c>
      <c r="G1112" s="8" t="str">
        <f>DEC2HEX(E1112,3)</f>
        <v>44E</v>
      </c>
      <c r="H1112" s="8" t="str">
        <f>IF(ROUND(D1112/$B$6,0)&gt;$B$7,"YES","NO")</f>
        <v>NO</v>
      </c>
    </row>
    <row r="1113" spans="1:8">
      <c r="A1113" s="10">
        <v>1103</v>
      </c>
      <c r="B1113" s="11">
        <f>D1112</f>
        <v>1291.40625</v>
      </c>
      <c r="C1113" s="11">
        <f>$B$6</f>
        <v>1.171875</v>
      </c>
      <c r="D1113" s="11">
        <f>B1113+C1113</f>
        <v>1292.578125</v>
      </c>
      <c r="E1113" s="10">
        <f>MIN($B$7,ROUND(D1113/$B$6,0))</f>
        <v>1103</v>
      </c>
      <c r="F1113" s="10" t="str">
        <f>DEC2BIN(INT(E1113/64),5)&amp;DEC2BIN(MOD(E1113,64),6)</f>
        <v>10001001111</v>
      </c>
      <c r="G1113" s="10" t="str">
        <f>DEC2HEX(E1113,3)</f>
        <v>44F</v>
      </c>
      <c r="H1113" s="10" t="str">
        <f>IF(ROUND(D1113/$B$6,0)&gt;$B$7,"YES","NO")</f>
        <v>NO</v>
      </c>
    </row>
    <row r="1114" spans="1:8">
      <c r="A1114" s="8">
        <v>1104</v>
      </c>
      <c r="B1114" s="9">
        <f>D1113</f>
        <v>1292.578125</v>
      </c>
      <c r="C1114" s="9">
        <f>$B$6</f>
        <v>1.171875</v>
      </c>
      <c r="D1114" s="9">
        <f>B1114+C1114</f>
        <v>1293.75</v>
      </c>
      <c r="E1114" s="8">
        <f>MIN($B$7,ROUND(D1114/$B$6,0))</f>
        <v>1104</v>
      </c>
      <c r="F1114" s="8" t="str">
        <f>DEC2BIN(INT(E1114/64),5)&amp;DEC2BIN(MOD(E1114,64),6)</f>
        <v>10001010000</v>
      </c>
      <c r="G1114" s="8" t="str">
        <f>DEC2HEX(E1114,3)</f>
        <v>450</v>
      </c>
      <c r="H1114" s="8" t="str">
        <f>IF(ROUND(D1114/$B$6,0)&gt;$B$7,"YES","NO")</f>
        <v>NO</v>
      </c>
    </row>
    <row r="1115" spans="1:8">
      <c r="A1115" s="10">
        <v>1105</v>
      </c>
      <c r="B1115" s="11">
        <f>D1114</f>
        <v>1293.75</v>
      </c>
      <c r="C1115" s="11">
        <f>$B$6</f>
        <v>1.171875</v>
      </c>
      <c r="D1115" s="11">
        <f>B1115+C1115</f>
        <v>1294.921875</v>
      </c>
      <c r="E1115" s="10">
        <f>MIN($B$7,ROUND(D1115/$B$6,0))</f>
        <v>1105</v>
      </c>
      <c r="F1115" s="10" t="str">
        <f>DEC2BIN(INT(E1115/64),5)&amp;DEC2BIN(MOD(E1115,64),6)</f>
        <v>10001010001</v>
      </c>
      <c r="G1115" s="10" t="str">
        <f>DEC2HEX(E1115,3)</f>
        <v>451</v>
      </c>
      <c r="H1115" s="10" t="str">
        <f>IF(ROUND(D1115/$B$6,0)&gt;$B$7,"YES","NO")</f>
        <v>NO</v>
      </c>
    </row>
    <row r="1116" spans="1:8">
      <c r="A1116" s="8">
        <v>1106</v>
      </c>
      <c r="B1116" s="9">
        <f>D1115</f>
        <v>1294.921875</v>
      </c>
      <c r="C1116" s="9">
        <f>$B$6</f>
        <v>1.171875</v>
      </c>
      <c r="D1116" s="9">
        <f>B1116+C1116</f>
        <v>1296.09375</v>
      </c>
      <c r="E1116" s="8">
        <f>MIN($B$7,ROUND(D1116/$B$6,0))</f>
        <v>1106</v>
      </c>
      <c r="F1116" s="8" t="str">
        <f>DEC2BIN(INT(E1116/64),5)&amp;DEC2BIN(MOD(E1116,64),6)</f>
        <v>10001010010</v>
      </c>
      <c r="G1116" s="8" t="str">
        <f>DEC2HEX(E1116,3)</f>
        <v>452</v>
      </c>
      <c r="H1116" s="8" t="str">
        <f>IF(ROUND(D1116/$B$6,0)&gt;$B$7,"YES","NO")</f>
        <v>NO</v>
      </c>
    </row>
    <row r="1117" spans="1:8">
      <c r="A1117" s="10">
        <v>1107</v>
      </c>
      <c r="B1117" s="11">
        <f>D1116</f>
        <v>1296.09375</v>
      </c>
      <c r="C1117" s="11">
        <f>$B$6</f>
        <v>1.171875</v>
      </c>
      <c r="D1117" s="11">
        <f>B1117+C1117</f>
        <v>1297.265625</v>
      </c>
      <c r="E1117" s="10">
        <f>MIN($B$7,ROUND(D1117/$B$6,0))</f>
        <v>1107</v>
      </c>
      <c r="F1117" s="10" t="str">
        <f>DEC2BIN(INT(E1117/64),5)&amp;DEC2BIN(MOD(E1117,64),6)</f>
        <v>10001010011</v>
      </c>
      <c r="G1117" s="10" t="str">
        <f>DEC2HEX(E1117,3)</f>
        <v>453</v>
      </c>
      <c r="H1117" s="10" t="str">
        <f>IF(ROUND(D1117/$B$6,0)&gt;$B$7,"YES","NO")</f>
        <v>NO</v>
      </c>
    </row>
    <row r="1118" spans="1:8">
      <c r="A1118" s="8">
        <v>1108</v>
      </c>
      <c r="B1118" s="9">
        <f>D1117</f>
        <v>1297.265625</v>
      </c>
      <c r="C1118" s="9">
        <f>$B$6</f>
        <v>1.171875</v>
      </c>
      <c r="D1118" s="9">
        <f>B1118+C1118</f>
        <v>1298.4375</v>
      </c>
      <c r="E1118" s="8">
        <f>MIN($B$7,ROUND(D1118/$B$6,0))</f>
        <v>1108</v>
      </c>
      <c r="F1118" s="8" t="str">
        <f>DEC2BIN(INT(E1118/64),5)&amp;DEC2BIN(MOD(E1118,64),6)</f>
        <v>10001010100</v>
      </c>
      <c r="G1118" s="8" t="str">
        <f>DEC2HEX(E1118,3)</f>
        <v>454</v>
      </c>
      <c r="H1118" s="8" t="str">
        <f>IF(ROUND(D1118/$B$6,0)&gt;$B$7,"YES","NO")</f>
        <v>NO</v>
      </c>
    </row>
    <row r="1119" spans="1:8">
      <c r="A1119" s="10">
        <v>1109</v>
      </c>
      <c r="B1119" s="11">
        <f>D1118</f>
        <v>1298.4375</v>
      </c>
      <c r="C1119" s="11">
        <f>$B$6</f>
        <v>1.171875</v>
      </c>
      <c r="D1119" s="11">
        <f>B1119+C1119</f>
        <v>1299.609375</v>
      </c>
      <c r="E1119" s="10">
        <f>MIN($B$7,ROUND(D1119/$B$6,0))</f>
        <v>1109</v>
      </c>
      <c r="F1119" s="10" t="str">
        <f>DEC2BIN(INT(E1119/64),5)&amp;DEC2BIN(MOD(E1119,64),6)</f>
        <v>10001010101</v>
      </c>
      <c r="G1119" s="10" t="str">
        <f>DEC2HEX(E1119,3)</f>
        <v>455</v>
      </c>
      <c r="H1119" s="10" t="str">
        <f>IF(ROUND(D1119/$B$6,0)&gt;$B$7,"YES","NO")</f>
        <v>NO</v>
      </c>
    </row>
    <row r="1120" spans="1:8">
      <c r="A1120" s="8">
        <v>1110</v>
      </c>
      <c r="B1120" s="9">
        <f>D1119</f>
        <v>1299.609375</v>
      </c>
      <c r="C1120" s="9">
        <f>$B$6</f>
        <v>1.171875</v>
      </c>
      <c r="D1120" s="9">
        <f>B1120+C1120</f>
        <v>1300.78125</v>
      </c>
      <c r="E1120" s="8">
        <f>MIN($B$7,ROUND(D1120/$B$6,0))</f>
        <v>1110</v>
      </c>
      <c r="F1120" s="8" t="str">
        <f>DEC2BIN(INT(E1120/64),5)&amp;DEC2BIN(MOD(E1120,64),6)</f>
        <v>10001010110</v>
      </c>
      <c r="G1120" s="8" t="str">
        <f>DEC2HEX(E1120,3)</f>
        <v>456</v>
      </c>
      <c r="H1120" s="8" t="str">
        <f>IF(ROUND(D1120/$B$6,0)&gt;$B$7,"YES","NO")</f>
        <v>NO</v>
      </c>
    </row>
    <row r="1121" spans="1:8">
      <c r="A1121" s="10">
        <v>1111</v>
      </c>
      <c r="B1121" s="11">
        <f>D1120</f>
        <v>1300.78125</v>
      </c>
      <c r="C1121" s="11">
        <f>$B$6</f>
        <v>1.171875</v>
      </c>
      <c r="D1121" s="11">
        <f>B1121+C1121</f>
        <v>1301.953125</v>
      </c>
      <c r="E1121" s="10">
        <f>MIN($B$7,ROUND(D1121/$B$6,0))</f>
        <v>1111</v>
      </c>
      <c r="F1121" s="10" t="str">
        <f>DEC2BIN(INT(E1121/64),5)&amp;DEC2BIN(MOD(E1121,64),6)</f>
        <v>10001010111</v>
      </c>
      <c r="G1121" s="10" t="str">
        <f>DEC2HEX(E1121,3)</f>
        <v>457</v>
      </c>
      <c r="H1121" s="10" t="str">
        <f>IF(ROUND(D1121/$B$6,0)&gt;$B$7,"YES","NO")</f>
        <v>NO</v>
      </c>
    </row>
    <row r="1122" spans="1:8">
      <c r="A1122" s="8">
        <v>1112</v>
      </c>
      <c r="B1122" s="9">
        <f>D1121</f>
        <v>1301.953125</v>
      </c>
      <c r="C1122" s="9">
        <f>$B$6</f>
        <v>1.171875</v>
      </c>
      <c r="D1122" s="9">
        <f>B1122+C1122</f>
        <v>1303.125</v>
      </c>
      <c r="E1122" s="8">
        <f>MIN($B$7,ROUND(D1122/$B$6,0))</f>
        <v>1112</v>
      </c>
      <c r="F1122" s="8" t="str">
        <f>DEC2BIN(INT(E1122/64),5)&amp;DEC2BIN(MOD(E1122,64),6)</f>
        <v>10001011000</v>
      </c>
      <c r="G1122" s="8" t="str">
        <f>DEC2HEX(E1122,3)</f>
        <v>458</v>
      </c>
      <c r="H1122" s="8" t="str">
        <f>IF(ROUND(D1122/$B$6,0)&gt;$B$7,"YES","NO")</f>
        <v>NO</v>
      </c>
    </row>
    <row r="1123" spans="1:8">
      <c r="A1123" s="10">
        <v>1113</v>
      </c>
      <c r="B1123" s="11">
        <f>D1122</f>
        <v>1303.125</v>
      </c>
      <c r="C1123" s="11">
        <f>$B$6</f>
        <v>1.171875</v>
      </c>
      <c r="D1123" s="11">
        <f>B1123+C1123</f>
        <v>1304.296875</v>
      </c>
      <c r="E1123" s="10">
        <f>MIN($B$7,ROUND(D1123/$B$6,0))</f>
        <v>1113</v>
      </c>
      <c r="F1123" s="10" t="str">
        <f>DEC2BIN(INT(E1123/64),5)&amp;DEC2BIN(MOD(E1123,64),6)</f>
        <v>10001011001</v>
      </c>
      <c r="G1123" s="10" t="str">
        <f>DEC2HEX(E1123,3)</f>
        <v>459</v>
      </c>
      <c r="H1123" s="10" t="str">
        <f>IF(ROUND(D1123/$B$6,0)&gt;$B$7,"YES","NO")</f>
        <v>NO</v>
      </c>
    </row>
    <row r="1124" spans="1:8">
      <c r="A1124" s="8">
        <v>1114</v>
      </c>
      <c r="B1124" s="9">
        <f>D1123</f>
        <v>1304.296875</v>
      </c>
      <c r="C1124" s="9">
        <f>$B$6</f>
        <v>1.171875</v>
      </c>
      <c r="D1124" s="9">
        <f>B1124+C1124</f>
        <v>1305.46875</v>
      </c>
      <c r="E1124" s="8">
        <f>MIN($B$7,ROUND(D1124/$B$6,0))</f>
        <v>1114</v>
      </c>
      <c r="F1124" s="8" t="str">
        <f>DEC2BIN(INT(E1124/64),5)&amp;DEC2BIN(MOD(E1124,64),6)</f>
        <v>10001011010</v>
      </c>
      <c r="G1124" s="8" t="str">
        <f>DEC2HEX(E1124,3)</f>
        <v>45A</v>
      </c>
      <c r="H1124" s="8" t="str">
        <f>IF(ROUND(D1124/$B$6,0)&gt;$B$7,"YES","NO")</f>
        <v>NO</v>
      </c>
    </row>
    <row r="1125" spans="1:8">
      <c r="A1125" s="10">
        <v>1115</v>
      </c>
      <c r="B1125" s="11">
        <f>D1124</f>
        <v>1305.46875</v>
      </c>
      <c r="C1125" s="11">
        <f>$B$6</f>
        <v>1.171875</v>
      </c>
      <c r="D1125" s="11">
        <f>B1125+C1125</f>
        <v>1306.640625</v>
      </c>
      <c r="E1125" s="10">
        <f>MIN($B$7,ROUND(D1125/$B$6,0))</f>
        <v>1115</v>
      </c>
      <c r="F1125" s="10" t="str">
        <f>DEC2BIN(INT(E1125/64),5)&amp;DEC2BIN(MOD(E1125,64),6)</f>
        <v>10001011011</v>
      </c>
      <c r="G1125" s="10" t="str">
        <f>DEC2HEX(E1125,3)</f>
        <v>45B</v>
      </c>
      <c r="H1125" s="10" t="str">
        <f>IF(ROUND(D1125/$B$6,0)&gt;$B$7,"YES","NO")</f>
        <v>NO</v>
      </c>
    </row>
    <row r="1126" spans="1:8">
      <c r="A1126" s="8">
        <v>1116</v>
      </c>
      <c r="B1126" s="9">
        <f>D1125</f>
        <v>1306.640625</v>
      </c>
      <c r="C1126" s="9">
        <f>$B$6</f>
        <v>1.171875</v>
      </c>
      <c r="D1126" s="9">
        <f>B1126+C1126</f>
        <v>1307.8125</v>
      </c>
      <c r="E1126" s="8">
        <f>MIN($B$7,ROUND(D1126/$B$6,0))</f>
        <v>1116</v>
      </c>
      <c r="F1126" s="8" t="str">
        <f>DEC2BIN(INT(E1126/64),5)&amp;DEC2BIN(MOD(E1126,64),6)</f>
        <v>10001011100</v>
      </c>
      <c r="G1126" s="8" t="str">
        <f>DEC2HEX(E1126,3)</f>
        <v>45C</v>
      </c>
      <c r="H1126" s="8" t="str">
        <f>IF(ROUND(D1126/$B$6,0)&gt;$B$7,"YES","NO")</f>
        <v>NO</v>
      </c>
    </row>
    <row r="1127" spans="1:8">
      <c r="A1127" s="10">
        <v>1117</v>
      </c>
      <c r="B1127" s="11">
        <f>D1126</f>
        <v>1307.8125</v>
      </c>
      <c r="C1127" s="11">
        <f>$B$6</f>
        <v>1.171875</v>
      </c>
      <c r="D1127" s="11">
        <f>B1127+C1127</f>
        <v>1308.984375</v>
      </c>
      <c r="E1127" s="10">
        <f>MIN($B$7,ROUND(D1127/$B$6,0))</f>
        <v>1117</v>
      </c>
      <c r="F1127" s="10" t="str">
        <f>DEC2BIN(INT(E1127/64),5)&amp;DEC2BIN(MOD(E1127,64),6)</f>
        <v>10001011101</v>
      </c>
      <c r="G1127" s="10" t="str">
        <f>DEC2HEX(E1127,3)</f>
        <v>45D</v>
      </c>
      <c r="H1127" s="10" t="str">
        <f>IF(ROUND(D1127/$B$6,0)&gt;$B$7,"YES","NO")</f>
        <v>NO</v>
      </c>
    </row>
    <row r="1128" spans="1:8">
      <c r="A1128" s="8">
        <v>1118</v>
      </c>
      <c r="B1128" s="9">
        <f>D1127</f>
        <v>1308.984375</v>
      </c>
      <c r="C1128" s="9">
        <f>$B$6</f>
        <v>1.171875</v>
      </c>
      <c r="D1128" s="9">
        <f>B1128+C1128</f>
        <v>1310.15625</v>
      </c>
      <c r="E1128" s="8">
        <f>MIN($B$7,ROUND(D1128/$B$6,0))</f>
        <v>1118</v>
      </c>
      <c r="F1128" s="8" t="str">
        <f>DEC2BIN(INT(E1128/64),5)&amp;DEC2BIN(MOD(E1128,64),6)</f>
        <v>10001011110</v>
      </c>
      <c r="G1128" s="8" t="str">
        <f>DEC2HEX(E1128,3)</f>
        <v>45E</v>
      </c>
      <c r="H1128" s="8" t="str">
        <f>IF(ROUND(D1128/$B$6,0)&gt;$B$7,"YES","NO")</f>
        <v>NO</v>
      </c>
    </row>
    <row r="1129" spans="1:8">
      <c r="A1129" s="10">
        <v>1119</v>
      </c>
      <c r="B1129" s="11">
        <f>D1128</f>
        <v>1310.15625</v>
      </c>
      <c r="C1129" s="11">
        <f>$B$6</f>
        <v>1.171875</v>
      </c>
      <c r="D1129" s="11">
        <f>B1129+C1129</f>
        <v>1311.328125</v>
      </c>
      <c r="E1129" s="10">
        <f>MIN($B$7,ROUND(D1129/$B$6,0))</f>
        <v>1119</v>
      </c>
      <c r="F1129" s="10" t="str">
        <f>DEC2BIN(INT(E1129/64),5)&amp;DEC2BIN(MOD(E1129,64),6)</f>
        <v>10001011111</v>
      </c>
      <c r="G1129" s="10" t="str">
        <f>DEC2HEX(E1129,3)</f>
        <v>45F</v>
      </c>
      <c r="H1129" s="10" t="str">
        <f>IF(ROUND(D1129/$B$6,0)&gt;$B$7,"YES","NO")</f>
        <v>NO</v>
      </c>
    </row>
    <row r="1130" spans="1:8">
      <c r="A1130" s="8">
        <v>1120</v>
      </c>
      <c r="B1130" s="9">
        <f>D1129</f>
        <v>1311.328125</v>
      </c>
      <c r="C1130" s="9">
        <f>$B$6</f>
        <v>1.171875</v>
      </c>
      <c r="D1130" s="9">
        <f>B1130+C1130</f>
        <v>1312.5</v>
      </c>
      <c r="E1130" s="8">
        <f>MIN($B$7,ROUND(D1130/$B$6,0))</f>
        <v>1120</v>
      </c>
      <c r="F1130" s="8" t="str">
        <f>DEC2BIN(INT(E1130/64),5)&amp;DEC2BIN(MOD(E1130,64),6)</f>
        <v>10001100000</v>
      </c>
      <c r="G1130" s="8" t="str">
        <f>DEC2HEX(E1130,3)</f>
        <v>460</v>
      </c>
      <c r="H1130" s="8" t="str">
        <f>IF(ROUND(D1130/$B$6,0)&gt;$B$7,"YES","NO")</f>
        <v>NO</v>
      </c>
    </row>
    <row r="1131" spans="1:8">
      <c r="A1131" s="10">
        <v>1121</v>
      </c>
      <c r="B1131" s="11">
        <f>D1130</f>
        <v>1312.5</v>
      </c>
      <c r="C1131" s="11">
        <f>$B$6</f>
        <v>1.171875</v>
      </c>
      <c r="D1131" s="11">
        <f>B1131+C1131</f>
        <v>1313.671875</v>
      </c>
      <c r="E1131" s="10">
        <f>MIN($B$7,ROUND(D1131/$B$6,0))</f>
        <v>1121</v>
      </c>
      <c r="F1131" s="10" t="str">
        <f>DEC2BIN(INT(E1131/64),5)&amp;DEC2BIN(MOD(E1131,64),6)</f>
        <v>10001100001</v>
      </c>
      <c r="G1131" s="10" t="str">
        <f>DEC2HEX(E1131,3)</f>
        <v>461</v>
      </c>
      <c r="H1131" s="10" t="str">
        <f>IF(ROUND(D1131/$B$6,0)&gt;$B$7,"YES","NO")</f>
        <v>NO</v>
      </c>
    </row>
    <row r="1132" spans="1:8">
      <c r="A1132" s="8">
        <v>1122</v>
      </c>
      <c r="B1132" s="9">
        <f>D1131</f>
        <v>1313.671875</v>
      </c>
      <c r="C1132" s="9">
        <f>$B$6</f>
        <v>1.171875</v>
      </c>
      <c r="D1132" s="9">
        <f>B1132+C1132</f>
        <v>1314.84375</v>
      </c>
      <c r="E1132" s="8">
        <f>MIN($B$7,ROUND(D1132/$B$6,0))</f>
        <v>1122</v>
      </c>
      <c r="F1132" s="8" t="str">
        <f>DEC2BIN(INT(E1132/64),5)&amp;DEC2BIN(MOD(E1132,64),6)</f>
        <v>10001100010</v>
      </c>
      <c r="G1132" s="8" t="str">
        <f>DEC2HEX(E1132,3)</f>
        <v>462</v>
      </c>
      <c r="H1132" s="8" t="str">
        <f>IF(ROUND(D1132/$B$6,0)&gt;$B$7,"YES","NO")</f>
        <v>NO</v>
      </c>
    </row>
    <row r="1133" spans="1:8">
      <c r="A1133" s="10">
        <v>1123</v>
      </c>
      <c r="B1133" s="11">
        <f>D1132</f>
        <v>1314.84375</v>
      </c>
      <c r="C1133" s="11">
        <f>$B$6</f>
        <v>1.171875</v>
      </c>
      <c r="D1133" s="11">
        <f>B1133+C1133</f>
        <v>1316.015625</v>
      </c>
      <c r="E1133" s="10">
        <f>MIN($B$7,ROUND(D1133/$B$6,0))</f>
        <v>1123</v>
      </c>
      <c r="F1133" s="10" t="str">
        <f>DEC2BIN(INT(E1133/64),5)&amp;DEC2BIN(MOD(E1133,64),6)</f>
        <v>10001100011</v>
      </c>
      <c r="G1133" s="10" t="str">
        <f>DEC2HEX(E1133,3)</f>
        <v>463</v>
      </c>
      <c r="H1133" s="10" t="str">
        <f>IF(ROUND(D1133/$B$6,0)&gt;$B$7,"YES","NO")</f>
        <v>NO</v>
      </c>
    </row>
    <row r="1134" spans="1:8">
      <c r="A1134" s="8">
        <v>1124</v>
      </c>
      <c r="B1134" s="9">
        <f>D1133</f>
        <v>1316.015625</v>
      </c>
      <c r="C1134" s="9">
        <f>$B$6</f>
        <v>1.171875</v>
      </c>
      <c r="D1134" s="9">
        <f>B1134+C1134</f>
        <v>1317.1875</v>
      </c>
      <c r="E1134" s="8">
        <f>MIN($B$7,ROUND(D1134/$B$6,0))</f>
        <v>1124</v>
      </c>
      <c r="F1134" s="8" t="str">
        <f>DEC2BIN(INT(E1134/64),5)&amp;DEC2BIN(MOD(E1134,64),6)</f>
        <v>10001100100</v>
      </c>
      <c r="G1134" s="8" t="str">
        <f>DEC2HEX(E1134,3)</f>
        <v>464</v>
      </c>
      <c r="H1134" s="8" t="str">
        <f>IF(ROUND(D1134/$B$6,0)&gt;$B$7,"YES","NO")</f>
        <v>NO</v>
      </c>
    </row>
    <row r="1135" spans="1:8">
      <c r="A1135" s="10">
        <v>1125</v>
      </c>
      <c r="B1135" s="11">
        <f>D1134</f>
        <v>1317.1875</v>
      </c>
      <c r="C1135" s="11">
        <f>$B$6</f>
        <v>1.171875</v>
      </c>
      <c r="D1135" s="11">
        <f>B1135+C1135</f>
        <v>1318.359375</v>
      </c>
      <c r="E1135" s="10">
        <f>MIN($B$7,ROUND(D1135/$B$6,0))</f>
        <v>1125</v>
      </c>
      <c r="F1135" s="10" t="str">
        <f>DEC2BIN(INT(E1135/64),5)&amp;DEC2BIN(MOD(E1135,64),6)</f>
        <v>10001100101</v>
      </c>
      <c r="G1135" s="10" t="str">
        <f>DEC2HEX(E1135,3)</f>
        <v>465</v>
      </c>
      <c r="H1135" s="10" t="str">
        <f>IF(ROUND(D1135/$B$6,0)&gt;$B$7,"YES","NO")</f>
        <v>NO</v>
      </c>
    </row>
    <row r="1136" spans="1:8">
      <c r="A1136" s="8">
        <v>1126</v>
      </c>
      <c r="B1136" s="9">
        <f>D1135</f>
        <v>1318.359375</v>
      </c>
      <c r="C1136" s="9">
        <f>$B$6</f>
        <v>1.171875</v>
      </c>
      <c r="D1136" s="9">
        <f>B1136+C1136</f>
        <v>1319.53125</v>
      </c>
      <c r="E1136" s="8">
        <f>MIN($B$7,ROUND(D1136/$B$6,0))</f>
        <v>1126</v>
      </c>
      <c r="F1136" s="8" t="str">
        <f>DEC2BIN(INT(E1136/64),5)&amp;DEC2BIN(MOD(E1136,64),6)</f>
        <v>10001100110</v>
      </c>
      <c r="G1136" s="8" t="str">
        <f>DEC2HEX(E1136,3)</f>
        <v>466</v>
      </c>
      <c r="H1136" s="8" t="str">
        <f>IF(ROUND(D1136/$B$6,0)&gt;$B$7,"YES","NO")</f>
        <v>NO</v>
      </c>
    </row>
    <row r="1137" spans="1:8">
      <c r="A1137" s="10">
        <v>1127</v>
      </c>
      <c r="B1137" s="11">
        <f>D1136</f>
        <v>1319.53125</v>
      </c>
      <c r="C1137" s="11">
        <f>$B$6</f>
        <v>1.171875</v>
      </c>
      <c r="D1137" s="11">
        <f>B1137+C1137</f>
        <v>1320.703125</v>
      </c>
      <c r="E1137" s="10">
        <f>MIN($B$7,ROUND(D1137/$B$6,0))</f>
        <v>1127</v>
      </c>
      <c r="F1137" s="10" t="str">
        <f>DEC2BIN(INT(E1137/64),5)&amp;DEC2BIN(MOD(E1137,64),6)</f>
        <v>10001100111</v>
      </c>
      <c r="G1137" s="10" t="str">
        <f>DEC2HEX(E1137,3)</f>
        <v>467</v>
      </c>
      <c r="H1137" s="10" t="str">
        <f>IF(ROUND(D1137/$B$6,0)&gt;$B$7,"YES","NO")</f>
        <v>NO</v>
      </c>
    </row>
    <row r="1138" spans="1:8">
      <c r="A1138" s="8">
        <v>1128</v>
      </c>
      <c r="B1138" s="9">
        <f>D1137</f>
        <v>1320.703125</v>
      </c>
      <c r="C1138" s="9">
        <f>$B$6</f>
        <v>1.171875</v>
      </c>
      <c r="D1138" s="9">
        <f>B1138+C1138</f>
        <v>1321.875</v>
      </c>
      <c r="E1138" s="8">
        <f>MIN($B$7,ROUND(D1138/$B$6,0))</f>
        <v>1128</v>
      </c>
      <c r="F1138" s="8" t="str">
        <f>DEC2BIN(INT(E1138/64),5)&amp;DEC2BIN(MOD(E1138,64),6)</f>
        <v>10001101000</v>
      </c>
      <c r="G1138" s="8" t="str">
        <f>DEC2HEX(E1138,3)</f>
        <v>468</v>
      </c>
      <c r="H1138" s="8" t="str">
        <f>IF(ROUND(D1138/$B$6,0)&gt;$B$7,"YES","NO")</f>
        <v>NO</v>
      </c>
    </row>
    <row r="1139" spans="1:8">
      <c r="A1139" s="10">
        <v>1129</v>
      </c>
      <c r="B1139" s="11">
        <f>D1138</f>
        <v>1321.875</v>
      </c>
      <c r="C1139" s="11">
        <f>$B$6</f>
        <v>1.171875</v>
      </c>
      <c r="D1139" s="11">
        <f>B1139+C1139</f>
        <v>1323.046875</v>
      </c>
      <c r="E1139" s="10">
        <f>MIN($B$7,ROUND(D1139/$B$6,0))</f>
        <v>1129</v>
      </c>
      <c r="F1139" s="10" t="str">
        <f>DEC2BIN(INT(E1139/64),5)&amp;DEC2BIN(MOD(E1139,64),6)</f>
        <v>10001101001</v>
      </c>
      <c r="G1139" s="10" t="str">
        <f>DEC2HEX(E1139,3)</f>
        <v>469</v>
      </c>
      <c r="H1139" s="10" t="str">
        <f>IF(ROUND(D1139/$B$6,0)&gt;$B$7,"YES","NO")</f>
        <v>NO</v>
      </c>
    </row>
    <row r="1140" spans="1:8">
      <c r="A1140" s="8">
        <v>1130</v>
      </c>
      <c r="B1140" s="9">
        <f>D1139</f>
        <v>1323.046875</v>
      </c>
      <c r="C1140" s="9">
        <f>$B$6</f>
        <v>1.171875</v>
      </c>
      <c r="D1140" s="9">
        <f>B1140+C1140</f>
        <v>1324.21875</v>
      </c>
      <c r="E1140" s="8">
        <f>MIN($B$7,ROUND(D1140/$B$6,0))</f>
        <v>1130</v>
      </c>
      <c r="F1140" s="8" t="str">
        <f>DEC2BIN(INT(E1140/64),5)&amp;DEC2BIN(MOD(E1140,64),6)</f>
        <v>10001101010</v>
      </c>
      <c r="G1140" s="8" t="str">
        <f>DEC2HEX(E1140,3)</f>
        <v>46A</v>
      </c>
      <c r="H1140" s="8" t="str">
        <f>IF(ROUND(D1140/$B$6,0)&gt;$B$7,"YES","NO")</f>
        <v>NO</v>
      </c>
    </row>
    <row r="1141" spans="1:8">
      <c r="A1141" s="10">
        <v>1131</v>
      </c>
      <c r="B1141" s="11">
        <f>D1140</f>
        <v>1324.21875</v>
      </c>
      <c r="C1141" s="11">
        <f>$B$6</f>
        <v>1.171875</v>
      </c>
      <c r="D1141" s="11">
        <f>B1141+C1141</f>
        <v>1325.390625</v>
      </c>
      <c r="E1141" s="10">
        <f>MIN($B$7,ROUND(D1141/$B$6,0))</f>
        <v>1131</v>
      </c>
      <c r="F1141" s="10" t="str">
        <f>DEC2BIN(INT(E1141/64),5)&amp;DEC2BIN(MOD(E1141,64),6)</f>
        <v>10001101011</v>
      </c>
      <c r="G1141" s="10" t="str">
        <f>DEC2HEX(E1141,3)</f>
        <v>46B</v>
      </c>
      <c r="H1141" s="10" t="str">
        <f>IF(ROUND(D1141/$B$6,0)&gt;$B$7,"YES","NO")</f>
        <v>NO</v>
      </c>
    </row>
    <row r="1142" spans="1:8">
      <c r="A1142" s="8">
        <v>1132</v>
      </c>
      <c r="B1142" s="9">
        <f>D1141</f>
        <v>1325.390625</v>
      </c>
      <c r="C1142" s="9">
        <f>$B$6</f>
        <v>1.171875</v>
      </c>
      <c r="D1142" s="9">
        <f>B1142+C1142</f>
        <v>1326.5625</v>
      </c>
      <c r="E1142" s="8">
        <f>MIN($B$7,ROUND(D1142/$B$6,0))</f>
        <v>1132</v>
      </c>
      <c r="F1142" s="8" t="str">
        <f>DEC2BIN(INT(E1142/64),5)&amp;DEC2BIN(MOD(E1142,64),6)</f>
        <v>10001101100</v>
      </c>
      <c r="G1142" s="8" t="str">
        <f>DEC2HEX(E1142,3)</f>
        <v>46C</v>
      </c>
      <c r="H1142" s="8" t="str">
        <f>IF(ROUND(D1142/$B$6,0)&gt;$B$7,"YES","NO")</f>
        <v>NO</v>
      </c>
    </row>
    <row r="1143" spans="1:8">
      <c r="A1143" s="10">
        <v>1133</v>
      </c>
      <c r="B1143" s="11">
        <f>D1142</f>
        <v>1326.5625</v>
      </c>
      <c r="C1143" s="11">
        <f>$B$6</f>
        <v>1.171875</v>
      </c>
      <c r="D1143" s="11">
        <f>B1143+C1143</f>
        <v>1327.734375</v>
      </c>
      <c r="E1143" s="10">
        <f>MIN($B$7,ROUND(D1143/$B$6,0))</f>
        <v>1133</v>
      </c>
      <c r="F1143" s="10" t="str">
        <f>DEC2BIN(INT(E1143/64),5)&amp;DEC2BIN(MOD(E1143,64),6)</f>
        <v>10001101101</v>
      </c>
      <c r="G1143" s="10" t="str">
        <f>DEC2HEX(E1143,3)</f>
        <v>46D</v>
      </c>
      <c r="H1143" s="10" t="str">
        <f>IF(ROUND(D1143/$B$6,0)&gt;$B$7,"YES","NO")</f>
        <v>NO</v>
      </c>
    </row>
    <row r="1144" spans="1:8">
      <c r="A1144" s="8">
        <v>1134</v>
      </c>
      <c r="B1144" s="9">
        <f>D1143</f>
        <v>1327.734375</v>
      </c>
      <c r="C1144" s="9">
        <f>$B$6</f>
        <v>1.171875</v>
      </c>
      <c r="D1144" s="9">
        <f>B1144+C1144</f>
        <v>1328.90625</v>
      </c>
      <c r="E1144" s="8">
        <f>MIN($B$7,ROUND(D1144/$B$6,0))</f>
        <v>1134</v>
      </c>
      <c r="F1144" s="8" t="str">
        <f>DEC2BIN(INT(E1144/64),5)&amp;DEC2BIN(MOD(E1144,64),6)</f>
        <v>10001101110</v>
      </c>
      <c r="G1144" s="8" t="str">
        <f>DEC2HEX(E1144,3)</f>
        <v>46E</v>
      </c>
      <c r="H1144" s="8" t="str">
        <f>IF(ROUND(D1144/$B$6,0)&gt;$B$7,"YES","NO")</f>
        <v>NO</v>
      </c>
    </row>
    <row r="1145" spans="1:8">
      <c r="A1145" s="10">
        <v>1135</v>
      </c>
      <c r="B1145" s="11">
        <f>D1144</f>
        <v>1328.90625</v>
      </c>
      <c r="C1145" s="11">
        <f>$B$6</f>
        <v>1.171875</v>
      </c>
      <c r="D1145" s="11">
        <f>B1145+C1145</f>
        <v>1330.078125</v>
      </c>
      <c r="E1145" s="10">
        <f>MIN($B$7,ROUND(D1145/$B$6,0))</f>
        <v>1135</v>
      </c>
      <c r="F1145" s="10" t="str">
        <f>DEC2BIN(INT(E1145/64),5)&amp;DEC2BIN(MOD(E1145,64),6)</f>
        <v>10001101111</v>
      </c>
      <c r="G1145" s="10" t="str">
        <f>DEC2HEX(E1145,3)</f>
        <v>46F</v>
      </c>
      <c r="H1145" s="10" t="str">
        <f>IF(ROUND(D1145/$B$6,0)&gt;$B$7,"YES","NO")</f>
        <v>NO</v>
      </c>
    </row>
    <row r="1146" spans="1:8">
      <c r="A1146" s="8">
        <v>1136</v>
      </c>
      <c r="B1146" s="9">
        <f>D1145</f>
        <v>1330.078125</v>
      </c>
      <c r="C1146" s="9">
        <f>$B$6</f>
        <v>1.171875</v>
      </c>
      <c r="D1146" s="9">
        <f>B1146+C1146</f>
        <v>1331.25</v>
      </c>
      <c r="E1146" s="8">
        <f>MIN($B$7,ROUND(D1146/$B$6,0))</f>
        <v>1136</v>
      </c>
      <c r="F1146" s="8" t="str">
        <f>DEC2BIN(INT(E1146/64),5)&amp;DEC2BIN(MOD(E1146,64),6)</f>
        <v>10001110000</v>
      </c>
      <c r="G1146" s="8" t="str">
        <f>DEC2HEX(E1146,3)</f>
        <v>470</v>
      </c>
      <c r="H1146" s="8" t="str">
        <f>IF(ROUND(D1146/$B$6,0)&gt;$B$7,"YES","NO")</f>
        <v>NO</v>
      </c>
    </row>
    <row r="1147" spans="1:8">
      <c r="A1147" s="10">
        <v>1137</v>
      </c>
      <c r="B1147" s="11">
        <f>D1146</f>
        <v>1331.25</v>
      </c>
      <c r="C1147" s="11">
        <f>$B$6</f>
        <v>1.171875</v>
      </c>
      <c r="D1147" s="11">
        <f>B1147+C1147</f>
        <v>1332.421875</v>
      </c>
      <c r="E1147" s="10">
        <f>MIN($B$7,ROUND(D1147/$B$6,0))</f>
        <v>1137</v>
      </c>
      <c r="F1147" s="10" t="str">
        <f>DEC2BIN(INT(E1147/64),5)&amp;DEC2BIN(MOD(E1147,64),6)</f>
        <v>10001110001</v>
      </c>
      <c r="G1147" s="10" t="str">
        <f>DEC2HEX(E1147,3)</f>
        <v>471</v>
      </c>
      <c r="H1147" s="10" t="str">
        <f>IF(ROUND(D1147/$B$6,0)&gt;$B$7,"YES","NO")</f>
        <v>NO</v>
      </c>
    </row>
    <row r="1148" spans="1:8">
      <c r="A1148" s="8">
        <v>1138</v>
      </c>
      <c r="B1148" s="9">
        <f>D1147</f>
        <v>1332.421875</v>
      </c>
      <c r="C1148" s="9">
        <f>$B$6</f>
        <v>1.171875</v>
      </c>
      <c r="D1148" s="9">
        <f>B1148+C1148</f>
        <v>1333.59375</v>
      </c>
      <c r="E1148" s="8">
        <f>MIN($B$7,ROUND(D1148/$B$6,0))</f>
        <v>1138</v>
      </c>
      <c r="F1148" s="8" t="str">
        <f>DEC2BIN(INT(E1148/64),5)&amp;DEC2BIN(MOD(E1148,64),6)</f>
        <v>10001110010</v>
      </c>
      <c r="G1148" s="8" t="str">
        <f>DEC2HEX(E1148,3)</f>
        <v>472</v>
      </c>
      <c r="H1148" s="8" t="str">
        <f>IF(ROUND(D1148/$B$6,0)&gt;$B$7,"YES","NO")</f>
        <v>NO</v>
      </c>
    </row>
    <row r="1149" spans="1:8">
      <c r="A1149" s="10">
        <v>1139</v>
      </c>
      <c r="B1149" s="11">
        <f>D1148</f>
        <v>1333.59375</v>
      </c>
      <c r="C1149" s="11">
        <f>$B$6</f>
        <v>1.171875</v>
      </c>
      <c r="D1149" s="11">
        <f>B1149+C1149</f>
        <v>1334.765625</v>
      </c>
      <c r="E1149" s="10">
        <f>MIN($B$7,ROUND(D1149/$B$6,0))</f>
        <v>1139</v>
      </c>
      <c r="F1149" s="10" t="str">
        <f>DEC2BIN(INT(E1149/64),5)&amp;DEC2BIN(MOD(E1149,64),6)</f>
        <v>10001110011</v>
      </c>
      <c r="G1149" s="10" t="str">
        <f>DEC2HEX(E1149,3)</f>
        <v>473</v>
      </c>
      <c r="H1149" s="10" t="str">
        <f>IF(ROUND(D1149/$B$6,0)&gt;$B$7,"YES","NO")</f>
        <v>NO</v>
      </c>
    </row>
    <row r="1150" spans="1:8">
      <c r="A1150" s="8">
        <v>1140</v>
      </c>
      <c r="B1150" s="9">
        <f>D1149</f>
        <v>1334.765625</v>
      </c>
      <c r="C1150" s="9">
        <f>$B$6</f>
        <v>1.171875</v>
      </c>
      <c r="D1150" s="9">
        <f>B1150+C1150</f>
        <v>1335.9375</v>
      </c>
      <c r="E1150" s="8">
        <f>MIN($B$7,ROUND(D1150/$B$6,0))</f>
        <v>1140</v>
      </c>
      <c r="F1150" s="8" t="str">
        <f>DEC2BIN(INT(E1150/64),5)&amp;DEC2BIN(MOD(E1150,64),6)</f>
        <v>10001110100</v>
      </c>
      <c r="G1150" s="8" t="str">
        <f>DEC2HEX(E1150,3)</f>
        <v>474</v>
      </c>
      <c r="H1150" s="8" t="str">
        <f>IF(ROUND(D1150/$B$6,0)&gt;$B$7,"YES","NO")</f>
        <v>NO</v>
      </c>
    </row>
    <row r="1151" spans="1:8">
      <c r="A1151" s="10">
        <v>1141</v>
      </c>
      <c r="B1151" s="11">
        <f>D1150</f>
        <v>1335.9375</v>
      </c>
      <c r="C1151" s="11">
        <f>$B$6</f>
        <v>1.171875</v>
      </c>
      <c r="D1151" s="11">
        <f>B1151+C1151</f>
        <v>1337.109375</v>
      </c>
      <c r="E1151" s="10">
        <f>MIN($B$7,ROUND(D1151/$B$6,0))</f>
        <v>1141</v>
      </c>
      <c r="F1151" s="10" t="str">
        <f>DEC2BIN(INT(E1151/64),5)&amp;DEC2BIN(MOD(E1151,64),6)</f>
        <v>10001110101</v>
      </c>
      <c r="G1151" s="10" t="str">
        <f>DEC2HEX(E1151,3)</f>
        <v>475</v>
      </c>
      <c r="H1151" s="10" t="str">
        <f>IF(ROUND(D1151/$B$6,0)&gt;$B$7,"YES","NO")</f>
        <v>NO</v>
      </c>
    </row>
    <row r="1152" spans="1:8">
      <c r="A1152" s="8">
        <v>1142</v>
      </c>
      <c r="B1152" s="9">
        <f>D1151</f>
        <v>1337.109375</v>
      </c>
      <c r="C1152" s="9">
        <f>$B$6</f>
        <v>1.171875</v>
      </c>
      <c r="D1152" s="9">
        <f>B1152+C1152</f>
        <v>1338.28125</v>
      </c>
      <c r="E1152" s="8">
        <f>MIN($B$7,ROUND(D1152/$B$6,0))</f>
        <v>1142</v>
      </c>
      <c r="F1152" s="8" t="str">
        <f>DEC2BIN(INT(E1152/64),5)&amp;DEC2BIN(MOD(E1152,64),6)</f>
        <v>10001110110</v>
      </c>
      <c r="G1152" s="8" t="str">
        <f>DEC2HEX(E1152,3)</f>
        <v>476</v>
      </c>
      <c r="H1152" s="8" t="str">
        <f>IF(ROUND(D1152/$B$6,0)&gt;$B$7,"YES","NO")</f>
        <v>NO</v>
      </c>
    </row>
    <row r="1153" spans="1:8">
      <c r="A1153" s="10">
        <v>1143</v>
      </c>
      <c r="B1153" s="11">
        <f>D1152</f>
        <v>1338.28125</v>
      </c>
      <c r="C1153" s="11">
        <f>$B$6</f>
        <v>1.171875</v>
      </c>
      <c r="D1153" s="11">
        <f>B1153+C1153</f>
        <v>1339.453125</v>
      </c>
      <c r="E1153" s="10">
        <f>MIN($B$7,ROUND(D1153/$B$6,0))</f>
        <v>1143</v>
      </c>
      <c r="F1153" s="10" t="str">
        <f>DEC2BIN(INT(E1153/64),5)&amp;DEC2BIN(MOD(E1153,64),6)</f>
        <v>10001110111</v>
      </c>
      <c r="G1153" s="10" t="str">
        <f>DEC2HEX(E1153,3)</f>
        <v>477</v>
      </c>
      <c r="H1153" s="10" t="str">
        <f>IF(ROUND(D1153/$B$6,0)&gt;$B$7,"YES","NO")</f>
        <v>NO</v>
      </c>
    </row>
    <row r="1154" spans="1:8">
      <c r="A1154" s="8">
        <v>1144</v>
      </c>
      <c r="B1154" s="9">
        <f>D1153</f>
        <v>1339.453125</v>
      </c>
      <c r="C1154" s="9">
        <f>$B$6</f>
        <v>1.171875</v>
      </c>
      <c r="D1154" s="9">
        <f>B1154+C1154</f>
        <v>1340.625</v>
      </c>
      <c r="E1154" s="8">
        <f>MIN($B$7,ROUND(D1154/$B$6,0))</f>
        <v>1144</v>
      </c>
      <c r="F1154" s="8" t="str">
        <f>DEC2BIN(INT(E1154/64),5)&amp;DEC2BIN(MOD(E1154,64),6)</f>
        <v>10001111000</v>
      </c>
      <c r="G1154" s="8" t="str">
        <f>DEC2HEX(E1154,3)</f>
        <v>478</v>
      </c>
      <c r="H1154" s="8" t="str">
        <f>IF(ROUND(D1154/$B$6,0)&gt;$B$7,"YES","NO")</f>
        <v>NO</v>
      </c>
    </row>
    <row r="1155" spans="1:8">
      <c r="A1155" s="10">
        <v>1145</v>
      </c>
      <c r="B1155" s="11">
        <f>D1154</f>
        <v>1340.625</v>
      </c>
      <c r="C1155" s="11">
        <f>$B$6</f>
        <v>1.171875</v>
      </c>
      <c r="D1155" s="11">
        <f>B1155+C1155</f>
        <v>1341.796875</v>
      </c>
      <c r="E1155" s="10">
        <f>MIN($B$7,ROUND(D1155/$B$6,0))</f>
        <v>1145</v>
      </c>
      <c r="F1155" s="10" t="str">
        <f>DEC2BIN(INT(E1155/64),5)&amp;DEC2BIN(MOD(E1155,64),6)</f>
        <v>10001111001</v>
      </c>
      <c r="G1155" s="10" t="str">
        <f>DEC2HEX(E1155,3)</f>
        <v>479</v>
      </c>
      <c r="H1155" s="10" t="str">
        <f>IF(ROUND(D1155/$B$6,0)&gt;$B$7,"YES","NO")</f>
        <v>NO</v>
      </c>
    </row>
    <row r="1156" spans="1:8">
      <c r="A1156" s="8">
        <v>1146</v>
      </c>
      <c r="B1156" s="9">
        <f>D1155</f>
        <v>1341.796875</v>
      </c>
      <c r="C1156" s="9">
        <f>$B$6</f>
        <v>1.171875</v>
      </c>
      <c r="D1156" s="9">
        <f>B1156+C1156</f>
        <v>1342.96875</v>
      </c>
      <c r="E1156" s="8">
        <f>MIN($B$7,ROUND(D1156/$B$6,0))</f>
        <v>1146</v>
      </c>
      <c r="F1156" s="8" t="str">
        <f>DEC2BIN(INT(E1156/64),5)&amp;DEC2BIN(MOD(E1156,64),6)</f>
        <v>10001111010</v>
      </c>
      <c r="G1156" s="8" t="str">
        <f>DEC2HEX(E1156,3)</f>
        <v>47A</v>
      </c>
      <c r="H1156" s="8" t="str">
        <f>IF(ROUND(D1156/$B$6,0)&gt;$B$7,"YES","NO")</f>
        <v>NO</v>
      </c>
    </row>
    <row r="1157" spans="1:8">
      <c r="A1157" s="10">
        <v>1147</v>
      </c>
      <c r="B1157" s="11">
        <f>D1156</f>
        <v>1342.96875</v>
      </c>
      <c r="C1157" s="11">
        <f>$B$6</f>
        <v>1.171875</v>
      </c>
      <c r="D1157" s="11">
        <f>B1157+C1157</f>
        <v>1344.140625</v>
      </c>
      <c r="E1157" s="10">
        <f>MIN($B$7,ROUND(D1157/$B$6,0))</f>
        <v>1147</v>
      </c>
      <c r="F1157" s="10" t="str">
        <f>DEC2BIN(INT(E1157/64),5)&amp;DEC2BIN(MOD(E1157,64),6)</f>
        <v>10001111011</v>
      </c>
      <c r="G1157" s="10" t="str">
        <f>DEC2HEX(E1157,3)</f>
        <v>47B</v>
      </c>
      <c r="H1157" s="10" t="str">
        <f>IF(ROUND(D1157/$B$6,0)&gt;$B$7,"YES","NO")</f>
        <v>NO</v>
      </c>
    </row>
    <row r="1158" spans="1:8">
      <c r="A1158" s="8">
        <v>1148</v>
      </c>
      <c r="B1158" s="9">
        <f>D1157</f>
        <v>1344.140625</v>
      </c>
      <c r="C1158" s="9">
        <f>$B$6</f>
        <v>1.171875</v>
      </c>
      <c r="D1158" s="9">
        <f>B1158+C1158</f>
        <v>1345.3125</v>
      </c>
      <c r="E1158" s="8">
        <f>MIN($B$7,ROUND(D1158/$B$6,0))</f>
        <v>1148</v>
      </c>
      <c r="F1158" s="8" t="str">
        <f>DEC2BIN(INT(E1158/64),5)&amp;DEC2BIN(MOD(E1158,64),6)</f>
        <v>10001111100</v>
      </c>
      <c r="G1158" s="8" t="str">
        <f>DEC2HEX(E1158,3)</f>
        <v>47C</v>
      </c>
      <c r="H1158" s="8" t="str">
        <f>IF(ROUND(D1158/$B$6,0)&gt;$B$7,"YES","NO")</f>
        <v>NO</v>
      </c>
    </row>
    <row r="1159" spans="1:8">
      <c r="A1159" s="10">
        <v>1149</v>
      </c>
      <c r="B1159" s="11">
        <f>D1158</f>
        <v>1345.3125</v>
      </c>
      <c r="C1159" s="11">
        <f>$B$6</f>
        <v>1.171875</v>
      </c>
      <c r="D1159" s="11">
        <f>B1159+C1159</f>
        <v>1346.484375</v>
      </c>
      <c r="E1159" s="10">
        <f>MIN($B$7,ROUND(D1159/$B$6,0))</f>
        <v>1149</v>
      </c>
      <c r="F1159" s="10" t="str">
        <f>DEC2BIN(INT(E1159/64),5)&amp;DEC2BIN(MOD(E1159,64),6)</f>
        <v>10001111101</v>
      </c>
      <c r="G1159" s="10" t="str">
        <f>DEC2HEX(E1159,3)</f>
        <v>47D</v>
      </c>
      <c r="H1159" s="10" t="str">
        <f>IF(ROUND(D1159/$B$6,0)&gt;$B$7,"YES","NO")</f>
        <v>NO</v>
      </c>
    </row>
    <row r="1160" spans="1:8">
      <c r="A1160" s="8">
        <v>1150</v>
      </c>
      <c r="B1160" s="9">
        <f>D1159</f>
        <v>1346.484375</v>
      </c>
      <c r="C1160" s="9">
        <f>$B$6</f>
        <v>1.171875</v>
      </c>
      <c r="D1160" s="9">
        <f>B1160+C1160</f>
        <v>1347.65625</v>
      </c>
      <c r="E1160" s="8">
        <f>MIN($B$7,ROUND(D1160/$B$6,0))</f>
        <v>1150</v>
      </c>
      <c r="F1160" s="8" t="str">
        <f>DEC2BIN(INT(E1160/64),5)&amp;DEC2BIN(MOD(E1160,64),6)</f>
        <v>10001111110</v>
      </c>
      <c r="G1160" s="8" t="str">
        <f>DEC2HEX(E1160,3)</f>
        <v>47E</v>
      </c>
      <c r="H1160" s="8" t="str">
        <f>IF(ROUND(D1160/$B$6,0)&gt;$B$7,"YES","NO")</f>
        <v>NO</v>
      </c>
    </row>
    <row r="1161" spans="1:8">
      <c r="A1161" s="10">
        <v>1151</v>
      </c>
      <c r="B1161" s="11">
        <f>D1160</f>
        <v>1347.65625</v>
      </c>
      <c r="C1161" s="11">
        <f>$B$6</f>
        <v>1.171875</v>
      </c>
      <c r="D1161" s="11">
        <f>B1161+C1161</f>
        <v>1348.828125</v>
      </c>
      <c r="E1161" s="10">
        <f>MIN($B$7,ROUND(D1161/$B$6,0))</f>
        <v>1151</v>
      </c>
      <c r="F1161" s="10" t="str">
        <f>DEC2BIN(INT(E1161/64),5)&amp;DEC2BIN(MOD(E1161,64),6)</f>
        <v>10001111111</v>
      </c>
      <c r="G1161" s="10" t="str">
        <f>DEC2HEX(E1161,3)</f>
        <v>47F</v>
      </c>
      <c r="H1161" s="10" t="str">
        <f>IF(ROUND(D1161/$B$6,0)&gt;$B$7,"YES","NO")</f>
        <v>NO</v>
      </c>
    </row>
    <row r="1162" spans="1:8">
      <c r="A1162" s="8">
        <v>1152</v>
      </c>
      <c r="B1162" s="9">
        <f>D1161</f>
        <v>1348.828125</v>
      </c>
      <c r="C1162" s="9">
        <f>$B$6</f>
        <v>1.171875</v>
      </c>
      <c r="D1162" s="9">
        <f>B1162+C1162</f>
        <v>1350</v>
      </c>
      <c r="E1162" s="8">
        <f>MIN($B$7,ROUND(D1162/$B$6,0))</f>
        <v>1152</v>
      </c>
      <c r="F1162" s="8" t="str">
        <f>DEC2BIN(INT(E1162/64),5)&amp;DEC2BIN(MOD(E1162,64),6)</f>
        <v>10010000000</v>
      </c>
      <c r="G1162" s="8" t="str">
        <f>DEC2HEX(E1162,3)</f>
        <v>480</v>
      </c>
      <c r="H1162" s="8" t="str">
        <f>IF(ROUND(D1162/$B$6,0)&gt;$B$7,"YES","NO")</f>
        <v>NO</v>
      </c>
    </row>
    <row r="1163" spans="1:8">
      <c r="A1163" s="10">
        <v>1153</v>
      </c>
      <c r="B1163" s="11">
        <f>D1162</f>
        <v>1350</v>
      </c>
      <c r="C1163" s="11">
        <f>$B$6</f>
        <v>1.171875</v>
      </c>
      <c r="D1163" s="11">
        <f>B1163+C1163</f>
        <v>1351.171875</v>
      </c>
      <c r="E1163" s="10">
        <f>MIN($B$7,ROUND(D1163/$B$6,0))</f>
        <v>1153</v>
      </c>
      <c r="F1163" s="10" t="str">
        <f>DEC2BIN(INT(E1163/64),5)&amp;DEC2BIN(MOD(E1163,64),6)</f>
        <v>10010000001</v>
      </c>
      <c r="G1163" s="10" t="str">
        <f>DEC2HEX(E1163,3)</f>
        <v>481</v>
      </c>
      <c r="H1163" s="10" t="str">
        <f>IF(ROUND(D1163/$B$6,0)&gt;$B$7,"YES","NO")</f>
        <v>NO</v>
      </c>
    </row>
    <row r="1164" spans="1:8">
      <c r="A1164" s="8">
        <v>1154</v>
      </c>
      <c r="B1164" s="9">
        <f>D1163</f>
        <v>1351.171875</v>
      </c>
      <c r="C1164" s="9">
        <f>$B$6</f>
        <v>1.171875</v>
      </c>
      <c r="D1164" s="9">
        <f>B1164+C1164</f>
        <v>1352.34375</v>
      </c>
      <c r="E1164" s="8">
        <f>MIN($B$7,ROUND(D1164/$B$6,0))</f>
        <v>1154</v>
      </c>
      <c r="F1164" s="8" t="str">
        <f>DEC2BIN(INT(E1164/64),5)&amp;DEC2BIN(MOD(E1164,64),6)</f>
        <v>10010000010</v>
      </c>
      <c r="G1164" s="8" t="str">
        <f>DEC2HEX(E1164,3)</f>
        <v>482</v>
      </c>
      <c r="H1164" s="8" t="str">
        <f>IF(ROUND(D1164/$B$6,0)&gt;$B$7,"YES","NO")</f>
        <v>NO</v>
      </c>
    </row>
    <row r="1165" spans="1:8">
      <c r="A1165" s="10">
        <v>1155</v>
      </c>
      <c r="B1165" s="11">
        <f>D1164</f>
        <v>1352.34375</v>
      </c>
      <c r="C1165" s="11">
        <f>$B$6</f>
        <v>1.171875</v>
      </c>
      <c r="D1165" s="11">
        <f>B1165+C1165</f>
        <v>1353.515625</v>
      </c>
      <c r="E1165" s="10">
        <f>MIN($B$7,ROUND(D1165/$B$6,0))</f>
        <v>1155</v>
      </c>
      <c r="F1165" s="10" t="str">
        <f>DEC2BIN(INT(E1165/64),5)&amp;DEC2BIN(MOD(E1165,64),6)</f>
        <v>10010000011</v>
      </c>
      <c r="G1165" s="10" t="str">
        <f>DEC2HEX(E1165,3)</f>
        <v>483</v>
      </c>
      <c r="H1165" s="10" t="str">
        <f>IF(ROUND(D1165/$B$6,0)&gt;$B$7,"YES","NO")</f>
        <v>NO</v>
      </c>
    </row>
    <row r="1166" spans="1:8">
      <c r="A1166" s="8">
        <v>1156</v>
      </c>
      <c r="B1166" s="9">
        <f>D1165</f>
        <v>1353.515625</v>
      </c>
      <c r="C1166" s="9">
        <f>$B$6</f>
        <v>1.171875</v>
      </c>
      <c r="D1166" s="9">
        <f>B1166+C1166</f>
        <v>1354.6875</v>
      </c>
      <c r="E1166" s="8">
        <f>MIN($B$7,ROUND(D1166/$B$6,0))</f>
        <v>1156</v>
      </c>
      <c r="F1166" s="8" t="str">
        <f>DEC2BIN(INT(E1166/64),5)&amp;DEC2BIN(MOD(E1166,64),6)</f>
        <v>10010000100</v>
      </c>
      <c r="G1166" s="8" t="str">
        <f>DEC2HEX(E1166,3)</f>
        <v>484</v>
      </c>
      <c r="H1166" s="8" t="str">
        <f>IF(ROUND(D1166/$B$6,0)&gt;$B$7,"YES","NO")</f>
        <v>NO</v>
      </c>
    </row>
    <row r="1167" spans="1:8">
      <c r="A1167" s="10">
        <v>1157</v>
      </c>
      <c r="B1167" s="11">
        <f>D1166</f>
        <v>1354.6875</v>
      </c>
      <c r="C1167" s="11">
        <f>$B$6</f>
        <v>1.171875</v>
      </c>
      <c r="D1167" s="11">
        <f>B1167+C1167</f>
        <v>1355.859375</v>
      </c>
      <c r="E1167" s="10">
        <f>MIN($B$7,ROUND(D1167/$B$6,0))</f>
        <v>1157</v>
      </c>
      <c r="F1167" s="10" t="str">
        <f>DEC2BIN(INT(E1167/64),5)&amp;DEC2BIN(MOD(E1167,64),6)</f>
        <v>10010000101</v>
      </c>
      <c r="G1167" s="10" t="str">
        <f>DEC2HEX(E1167,3)</f>
        <v>485</v>
      </c>
      <c r="H1167" s="10" t="str">
        <f>IF(ROUND(D1167/$B$6,0)&gt;$B$7,"YES","NO")</f>
        <v>NO</v>
      </c>
    </row>
    <row r="1168" spans="1:8">
      <c r="A1168" s="8">
        <v>1158</v>
      </c>
      <c r="B1168" s="9">
        <f>D1167</f>
        <v>1355.859375</v>
      </c>
      <c r="C1168" s="9">
        <f>$B$6</f>
        <v>1.171875</v>
      </c>
      <c r="D1168" s="9">
        <f>B1168+C1168</f>
        <v>1357.03125</v>
      </c>
      <c r="E1168" s="8">
        <f>MIN($B$7,ROUND(D1168/$B$6,0))</f>
        <v>1158</v>
      </c>
      <c r="F1168" s="8" t="str">
        <f>DEC2BIN(INT(E1168/64),5)&amp;DEC2BIN(MOD(E1168,64),6)</f>
        <v>10010000110</v>
      </c>
      <c r="G1168" s="8" t="str">
        <f>DEC2HEX(E1168,3)</f>
        <v>486</v>
      </c>
      <c r="H1168" s="8" t="str">
        <f>IF(ROUND(D1168/$B$6,0)&gt;$B$7,"YES","NO")</f>
        <v>NO</v>
      </c>
    </row>
    <row r="1169" spans="1:8">
      <c r="A1169" s="10">
        <v>1159</v>
      </c>
      <c r="B1169" s="11">
        <f>D1168</f>
        <v>1357.03125</v>
      </c>
      <c r="C1169" s="11">
        <f>$B$6</f>
        <v>1.171875</v>
      </c>
      <c r="D1169" s="11">
        <f>B1169+C1169</f>
        <v>1358.203125</v>
      </c>
      <c r="E1169" s="10">
        <f>MIN($B$7,ROUND(D1169/$B$6,0))</f>
        <v>1159</v>
      </c>
      <c r="F1169" s="10" t="str">
        <f>DEC2BIN(INT(E1169/64),5)&amp;DEC2BIN(MOD(E1169,64),6)</f>
        <v>10010000111</v>
      </c>
      <c r="G1169" s="10" t="str">
        <f>DEC2HEX(E1169,3)</f>
        <v>487</v>
      </c>
      <c r="H1169" s="10" t="str">
        <f>IF(ROUND(D1169/$B$6,0)&gt;$B$7,"YES","NO")</f>
        <v>NO</v>
      </c>
    </row>
    <row r="1170" spans="1:8">
      <c r="A1170" s="8">
        <v>1160</v>
      </c>
      <c r="B1170" s="9">
        <f>D1169</f>
        <v>1358.203125</v>
      </c>
      <c r="C1170" s="9">
        <f>$B$6</f>
        <v>1.171875</v>
      </c>
      <c r="D1170" s="9">
        <f>B1170+C1170</f>
        <v>1359.375</v>
      </c>
      <c r="E1170" s="8">
        <f>MIN($B$7,ROUND(D1170/$B$6,0))</f>
        <v>1160</v>
      </c>
      <c r="F1170" s="8" t="str">
        <f>DEC2BIN(INT(E1170/64),5)&amp;DEC2BIN(MOD(E1170,64),6)</f>
        <v>10010001000</v>
      </c>
      <c r="G1170" s="8" t="str">
        <f>DEC2HEX(E1170,3)</f>
        <v>488</v>
      </c>
      <c r="H1170" s="8" t="str">
        <f>IF(ROUND(D1170/$B$6,0)&gt;$B$7,"YES","NO")</f>
        <v>NO</v>
      </c>
    </row>
    <row r="1171" spans="1:8">
      <c r="A1171" s="10">
        <v>1161</v>
      </c>
      <c r="B1171" s="11">
        <f>D1170</f>
        <v>1359.375</v>
      </c>
      <c r="C1171" s="11">
        <f>$B$6</f>
        <v>1.171875</v>
      </c>
      <c r="D1171" s="11">
        <f>B1171+C1171</f>
        <v>1360.546875</v>
      </c>
      <c r="E1171" s="10">
        <f>MIN($B$7,ROUND(D1171/$B$6,0))</f>
        <v>1161</v>
      </c>
      <c r="F1171" s="10" t="str">
        <f>DEC2BIN(INT(E1171/64),5)&amp;DEC2BIN(MOD(E1171,64),6)</f>
        <v>10010001001</v>
      </c>
      <c r="G1171" s="10" t="str">
        <f>DEC2HEX(E1171,3)</f>
        <v>489</v>
      </c>
      <c r="H1171" s="10" t="str">
        <f>IF(ROUND(D1171/$B$6,0)&gt;$B$7,"YES","NO")</f>
        <v>NO</v>
      </c>
    </row>
    <row r="1172" spans="1:8">
      <c r="A1172" s="8">
        <v>1162</v>
      </c>
      <c r="B1172" s="9">
        <f>D1171</f>
        <v>1360.546875</v>
      </c>
      <c r="C1172" s="9">
        <f>$B$6</f>
        <v>1.171875</v>
      </c>
      <c r="D1172" s="9">
        <f>B1172+C1172</f>
        <v>1361.71875</v>
      </c>
      <c r="E1172" s="8">
        <f>MIN($B$7,ROUND(D1172/$B$6,0))</f>
        <v>1162</v>
      </c>
      <c r="F1172" s="8" t="str">
        <f>DEC2BIN(INT(E1172/64),5)&amp;DEC2BIN(MOD(E1172,64),6)</f>
        <v>10010001010</v>
      </c>
      <c r="G1172" s="8" t="str">
        <f>DEC2HEX(E1172,3)</f>
        <v>48A</v>
      </c>
      <c r="H1172" s="8" t="str">
        <f>IF(ROUND(D1172/$B$6,0)&gt;$B$7,"YES","NO")</f>
        <v>NO</v>
      </c>
    </row>
    <row r="1173" spans="1:8">
      <c r="A1173" s="10">
        <v>1163</v>
      </c>
      <c r="B1173" s="11">
        <f>D1172</f>
        <v>1361.71875</v>
      </c>
      <c r="C1173" s="11">
        <f>$B$6</f>
        <v>1.171875</v>
      </c>
      <c r="D1173" s="11">
        <f>B1173+C1173</f>
        <v>1362.890625</v>
      </c>
      <c r="E1173" s="10">
        <f>MIN($B$7,ROUND(D1173/$B$6,0))</f>
        <v>1163</v>
      </c>
      <c r="F1173" s="10" t="str">
        <f>DEC2BIN(INT(E1173/64),5)&amp;DEC2BIN(MOD(E1173,64),6)</f>
        <v>10010001011</v>
      </c>
      <c r="G1173" s="10" t="str">
        <f>DEC2HEX(E1173,3)</f>
        <v>48B</v>
      </c>
      <c r="H1173" s="10" t="str">
        <f>IF(ROUND(D1173/$B$6,0)&gt;$B$7,"YES","NO")</f>
        <v>NO</v>
      </c>
    </row>
    <row r="1174" spans="1:8">
      <c r="A1174" s="8">
        <v>1164</v>
      </c>
      <c r="B1174" s="9">
        <f>D1173</f>
        <v>1362.890625</v>
      </c>
      <c r="C1174" s="9">
        <f>$B$6</f>
        <v>1.171875</v>
      </c>
      <c r="D1174" s="9">
        <f>B1174+C1174</f>
        <v>1364.0625</v>
      </c>
      <c r="E1174" s="8">
        <f>MIN($B$7,ROUND(D1174/$B$6,0))</f>
        <v>1164</v>
      </c>
      <c r="F1174" s="8" t="str">
        <f>DEC2BIN(INT(E1174/64),5)&amp;DEC2BIN(MOD(E1174,64),6)</f>
        <v>10010001100</v>
      </c>
      <c r="G1174" s="8" t="str">
        <f>DEC2HEX(E1174,3)</f>
        <v>48C</v>
      </c>
      <c r="H1174" s="8" t="str">
        <f>IF(ROUND(D1174/$B$6,0)&gt;$B$7,"YES","NO")</f>
        <v>NO</v>
      </c>
    </row>
    <row r="1175" spans="1:8">
      <c r="A1175" s="10">
        <v>1165</v>
      </c>
      <c r="B1175" s="11">
        <f>D1174</f>
        <v>1364.0625</v>
      </c>
      <c r="C1175" s="11">
        <f>$B$6</f>
        <v>1.171875</v>
      </c>
      <c r="D1175" s="11">
        <f>B1175+C1175</f>
        <v>1365.234375</v>
      </c>
      <c r="E1175" s="10">
        <f>MIN($B$7,ROUND(D1175/$B$6,0))</f>
        <v>1165</v>
      </c>
      <c r="F1175" s="10" t="str">
        <f>DEC2BIN(INT(E1175/64),5)&amp;DEC2BIN(MOD(E1175,64),6)</f>
        <v>10010001101</v>
      </c>
      <c r="G1175" s="10" t="str">
        <f>DEC2HEX(E1175,3)</f>
        <v>48D</v>
      </c>
      <c r="H1175" s="10" t="str">
        <f>IF(ROUND(D1175/$B$6,0)&gt;$B$7,"YES","NO")</f>
        <v>NO</v>
      </c>
    </row>
    <row r="1176" spans="1:8">
      <c r="A1176" s="8">
        <v>1166</v>
      </c>
      <c r="B1176" s="9">
        <f>D1175</f>
        <v>1365.234375</v>
      </c>
      <c r="C1176" s="9">
        <f>$B$6</f>
        <v>1.171875</v>
      </c>
      <c r="D1176" s="9">
        <f>B1176+C1176</f>
        <v>1366.40625</v>
      </c>
      <c r="E1176" s="8">
        <f>MIN($B$7,ROUND(D1176/$B$6,0))</f>
        <v>1166</v>
      </c>
      <c r="F1176" s="8" t="str">
        <f>DEC2BIN(INT(E1176/64),5)&amp;DEC2BIN(MOD(E1176,64),6)</f>
        <v>10010001110</v>
      </c>
      <c r="G1176" s="8" t="str">
        <f>DEC2HEX(E1176,3)</f>
        <v>48E</v>
      </c>
      <c r="H1176" s="8" t="str">
        <f>IF(ROUND(D1176/$B$6,0)&gt;$B$7,"YES","NO")</f>
        <v>NO</v>
      </c>
    </row>
    <row r="1177" spans="1:8">
      <c r="A1177" s="10">
        <v>1167</v>
      </c>
      <c r="B1177" s="11">
        <f>D1176</f>
        <v>1366.40625</v>
      </c>
      <c r="C1177" s="11">
        <f>$B$6</f>
        <v>1.171875</v>
      </c>
      <c r="D1177" s="11">
        <f>B1177+C1177</f>
        <v>1367.578125</v>
      </c>
      <c r="E1177" s="10">
        <f>MIN($B$7,ROUND(D1177/$B$6,0))</f>
        <v>1167</v>
      </c>
      <c r="F1177" s="10" t="str">
        <f>DEC2BIN(INT(E1177/64),5)&amp;DEC2BIN(MOD(E1177,64),6)</f>
        <v>10010001111</v>
      </c>
      <c r="G1177" s="10" t="str">
        <f>DEC2HEX(E1177,3)</f>
        <v>48F</v>
      </c>
      <c r="H1177" s="10" t="str">
        <f>IF(ROUND(D1177/$B$6,0)&gt;$B$7,"YES","NO")</f>
        <v>NO</v>
      </c>
    </row>
    <row r="1178" spans="1:8">
      <c r="A1178" s="8">
        <v>1168</v>
      </c>
      <c r="B1178" s="9">
        <f>D1177</f>
        <v>1367.578125</v>
      </c>
      <c r="C1178" s="9">
        <f>$B$6</f>
        <v>1.171875</v>
      </c>
      <c r="D1178" s="9">
        <f>B1178+C1178</f>
        <v>1368.75</v>
      </c>
      <c r="E1178" s="8">
        <f>MIN($B$7,ROUND(D1178/$B$6,0))</f>
        <v>1168</v>
      </c>
      <c r="F1178" s="8" t="str">
        <f>DEC2BIN(INT(E1178/64),5)&amp;DEC2BIN(MOD(E1178,64),6)</f>
        <v>10010010000</v>
      </c>
      <c r="G1178" s="8" t="str">
        <f>DEC2HEX(E1178,3)</f>
        <v>490</v>
      </c>
      <c r="H1178" s="8" t="str">
        <f>IF(ROUND(D1178/$B$6,0)&gt;$B$7,"YES","NO")</f>
        <v>NO</v>
      </c>
    </row>
    <row r="1179" spans="1:8">
      <c r="A1179" s="10">
        <v>1169</v>
      </c>
      <c r="B1179" s="11">
        <f>D1178</f>
        <v>1368.75</v>
      </c>
      <c r="C1179" s="11">
        <f>$B$6</f>
        <v>1.171875</v>
      </c>
      <c r="D1179" s="11">
        <f>B1179+C1179</f>
        <v>1369.921875</v>
      </c>
      <c r="E1179" s="10">
        <f>MIN($B$7,ROUND(D1179/$B$6,0))</f>
        <v>1169</v>
      </c>
      <c r="F1179" s="10" t="str">
        <f>DEC2BIN(INT(E1179/64),5)&amp;DEC2BIN(MOD(E1179,64),6)</f>
        <v>10010010001</v>
      </c>
      <c r="G1179" s="10" t="str">
        <f>DEC2HEX(E1179,3)</f>
        <v>491</v>
      </c>
      <c r="H1179" s="10" t="str">
        <f>IF(ROUND(D1179/$B$6,0)&gt;$B$7,"YES","NO")</f>
        <v>NO</v>
      </c>
    </row>
    <row r="1180" spans="1:8">
      <c r="A1180" s="8">
        <v>1170</v>
      </c>
      <c r="B1180" s="9">
        <f>D1179</f>
        <v>1369.921875</v>
      </c>
      <c r="C1180" s="9">
        <f>$B$6</f>
        <v>1.171875</v>
      </c>
      <c r="D1180" s="9">
        <f>B1180+C1180</f>
        <v>1371.09375</v>
      </c>
      <c r="E1180" s="8">
        <f>MIN($B$7,ROUND(D1180/$B$6,0))</f>
        <v>1170</v>
      </c>
      <c r="F1180" s="8" t="str">
        <f>DEC2BIN(INT(E1180/64),5)&amp;DEC2BIN(MOD(E1180,64),6)</f>
        <v>10010010010</v>
      </c>
      <c r="G1180" s="8" t="str">
        <f>DEC2HEX(E1180,3)</f>
        <v>492</v>
      </c>
      <c r="H1180" s="8" t="str">
        <f>IF(ROUND(D1180/$B$6,0)&gt;$B$7,"YES","NO")</f>
        <v>NO</v>
      </c>
    </row>
    <row r="1181" spans="1:8">
      <c r="A1181" s="10">
        <v>1171</v>
      </c>
      <c r="B1181" s="11">
        <f>D1180</f>
        <v>1371.09375</v>
      </c>
      <c r="C1181" s="11">
        <f>$B$6</f>
        <v>1.171875</v>
      </c>
      <c r="D1181" s="11">
        <f>B1181+C1181</f>
        <v>1372.265625</v>
      </c>
      <c r="E1181" s="10">
        <f>MIN($B$7,ROUND(D1181/$B$6,0))</f>
        <v>1171</v>
      </c>
      <c r="F1181" s="10" t="str">
        <f>DEC2BIN(INT(E1181/64),5)&amp;DEC2BIN(MOD(E1181,64),6)</f>
        <v>10010010011</v>
      </c>
      <c r="G1181" s="10" t="str">
        <f>DEC2HEX(E1181,3)</f>
        <v>493</v>
      </c>
      <c r="H1181" s="10" t="str">
        <f>IF(ROUND(D1181/$B$6,0)&gt;$B$7,"YES","NO")</f>
        <v>NO</v>
      </c>
    </row>
    <row r="1182" spans="1:8">
      <c r="A1182" s="8">
        <v>1172</v>
      </c>
      <c r="B1182" s="9">
        <f>D1181</f>
        <v>1372.265625</v>
      </c>
      <c r="C1182" s="9">
        <f>$B$6</f>
        <v>1.171875</v>
      </c>
      <c r="D1182" s="9">
        <f>B1182+C1182</f>
        <v>1373.4375</v>
      </c>
      <c r="E1182" s="8">
        <f>MIN($B$7,ROUND(D1182/$B$6,0))</f>
        <v>1172</v>
      </c>
      <c r="F1182" s="8" t="str">
        <f>DEC2BIN(INT(E1182/64),5)&amp;DEC2BIN(MOD(E1182,64),6)</f>
        <v>10010010100</v>
      </c>
      <c r="G1182" s="8" t="str">
        <f>DEC2HEX(E1182,3)</f>
        <v>494</v>
      </c>
      <c r="H1182" s="8" t="str">
        <f>IF(ROUND(D1182/$B$6,0)&gt;$B$7,"YES","NO")</f>
        <v>NO</v>
      </c>
    </row>
    <row r="1183" spans="1:8">
      <c r="A1183" s="10">
        <v>1173</v>
      </c>
      <c r="B1183" s="11">
        <f>D1182</f>
        <v>1373.4375</v>
      </c>
      <c r="C1183" s="11">
        <f>$B$6</f>
        <v>1.171875</v>
      </c>
      <c r="D1183" s="11">
        <f>B1183+C1183</f>
        <v>1374.609375</v>
      </c>
      <c r="E1183" s="10">
        <f>MIN($B$7,ROUND(D1183/$B$6,0))</f>
        <v>1173</v>
      </c>
      <c r="F1183" s="10" t="str">
        <f>DEC2BIN(INT(E1183/64),5)&amp;DEC2BIN(MOD(E1183,64),6)</f>
        <v>10010010101</v>
      </c>
      <c r="G1183" s="10" t="str">
        <f>DEC2HEX(E1183,3)</f>
        <v>495</v>
      </c>
      <c r="H1183" s="10" t="str">
        <f>IF(ROUND(D1183/$B$6,0)&gt;$B$7,"YES","NO")</f>
        <v>NO</v>
      </c>
    </row>
    <row r="1184" spans="1:8">
      <c r="A1184" s="8">
        <v>1174</v>
      </c>
      <c r="B1184" s="9">
        <f>D1183</f>
        <v>1374.609375</v>
      </c>
      <c r="C1184" s="9">
        <f>$B$6</f>
        <v>1.171875</v>
      </c>
      <c r="D1184" s="9">
        <f>B1184+C1184</f>
        <v>1375.78125</v>
      </c>
      <c r="E1184" s="8">
        <f>MIN($B$7,ROUND(D1184/$B$6,0))</f>
        <v>1174</v>
      </c>
      <c r="F1184" s="8" t="str">
        <f>DEC2BIN(INT(E1184/64),5)&amp;DEC2BIN(MOD(E1184,64),6)</f>
        <v>10010010110</v>
      </c>
      <c r="G1184" s="8" t="str">
        <f>DEC2HEX(E1184,3)</f>
        <v>496</v>
      </c>
      <c r="H1184" s="8" t="str">
        <f>IF(ROUND(D1184/$B$6,0)&gt;$B$7,"YES","NO")</f>
        <v>NO</v>
      </c>
    </row>
    <row r="1185" spans="1:8">
      <c r="A1185" s="10">
        <v>1175</v>
      </c>
      <c r="B1185" s="11">
        <f>D1184</f>
        <v>1375.78125</v>
      </c>
      <c r="C1185" s="11">
        <f>$B$6</f>
        <v>1.171875</v>
      </c>
      <c r="D1185" s="11">
        <f>B1185+C1185</f>
        <v>1376.953125</v>
      </c>
      <c r="E1185" s="10">
        <f>MIN($B$7,ROUND(D1185/$B$6,0))</f>
        <v>1175</v>
      </c>
      <c r="F1185" s="10" t="str">
        <f>DEC2BIN(INT(E1185/64),5)&amp;DEC2BIN(MOD(E1185,64),6)</f>
        <v>10010010111</v>
      </c>
      <c r="G1185" s="10" t="str">
        <f>DEC2HEX(E1185,3)</f>
        <v>497</v>
      </c>
      <c r="H1185" s="10" t="str">
        <f>IF(ROUND(D1185/$B$6,0)&gt;$B$7,"YES","NO")</f>
        <v>NO</v>
      </c>
    </row>
    <row r="1186" spans="1:8">
      <c r="A1186" s="8">
        <v>1176</v>
      </c>
      <c r="B1186" s="9">
        <f>D1185</f>
        <v>1376.953125</v>
      </c>
      <c r="C1186" s="9">
        <f>$B$6</f>
        <v>1.171875</v>
      </c>
      <c r="D1186" s="9">
        <f>B1186+C1186</f>
        <v>1378.125</v>
      </c>
      <c r="E1186" s="8">
        <f>MIN($B$7,ROUND(D1186/$B$6,0))</f>
        <v>1176</v>
      </c>
      <c r="F1186" s="8" t="str">
        <f>DEC2BIN(INT(E1186/64),5)&amp;DEC2BIN(MOD(E1186,64),6)</f>
        <v>10010011000</v>
      </c>
      <c r="G1186" s="8" t="str">
        <f>DEC2HEX(E1186,3)</f>
        <v>498</v>
      </c>
      <c r="H1186" s="8" t="str">
        <f>IF(ROUND(D1186/$B$6,0)&gt;$B$7,"YES","NO")</f>
        <v>NO</v>
      </c>
    </row>
    <row r="1187" spans="1:8">
      <c r="A1187" s="10">
        <v>1177</v>
      </c>
      <c r="B1187" s="11">
        <f>D1186</f>
        <v>1378.125</v>
      </c>
      <c r="C1187" s="11">
        <f>$B$6</f>
        <v>1.171875</v>
      </c>
      <c r="D1187" s="11">
        <f>B1187+C1187</f>
        <v>1379.296875</v>
      </c>
      <c r="E1187" s="10">
        <f>MIN($B$7,ROUND(D1187/$B$6,0))</f>
        <v>1177</v>
      </c>
      <c r="F1187" s="10" t="str">
        <f>DEC2BIN(INT(E1187/64),5)&amp;DEC2BIN(MOD(E1187,64),6)</f>
        <v>10010011001</v>
      </c>
      <c r="G1187" s="10" t="str">
        <f>DEC2HEX(E1187,3)</f>
        <v>499</v>
      </c>
      <c r="H1187" s="10" t="str">
        <f>IF(ROUND(D1187/$B$6,0)&gt;$B$7,"YES","NO")</f>
        <v>NO</v>
      </c>
    </row>
    <row r="1188" spans="1:8">
      <c r="A1188" s="8">
        <v>1178</v>
      </c>
      <c r="B1188" s="9">
        <f>D1187</f>
        <v>1379.296875</v>
      </c>
      <c r="C1188" s="9">
        <f>$B$6</f>
        <v>1.171875</v>
      </c>
      <c r="D1188" s="9">
        <f>B1188+C1188</f>
        <v>1380.46875</v>
      </c>
      <c r="E1188" s="8">
        <f>MIN($B$7,ROUND(D1188/$B$6,0))</f>
        <v>1178</v>
      </c>
      <c r="F1188" s="8" t="str">
        <f>DEC2BIN(INT(E1188/64),5)&amp;DEC2BIN(MOD(E1188,64),6)</f>
        <v>10010011010</v>
      </c>
      <c r="G1188" s="8" t="str">
        <f>DEC2HEX(E1188,3)</f>
        <v>49A</v>
      </c>
      <c r="H1188" s="8" t="str">
        <f>IF(ROUND(D1188/$B$6,0)&gt;$B$7,"YES","NO")</f>
        <v>NO</v>
      </c>
    </row>
    <row r="1189" spans="1:8">
      <c r="A1189" s="10">
        <v>1179</v>
      </c>
      <c r="B1189" s="11">
        <f>D1188</f>
        <v>1380.46875</v>
      </c>
      <c r="C1189" s="11">
        <f>$B$6</f>
        <v>1.171875</v>
      </c>
      <c r="D1189" s="11">
        <f>B1189+C1189</f>
        <v>1381.640625</v>
      </c>
      <c r="E1189" s="10">
        <f>MIN($B$7,ROUND(D1189/$B$6,0))</f>
        <v>1179</v>
      </c>
      <c r="F1189" s="10" t="str">
        <f>DEC2BIN(INT(E1189/64),5)&amp;DEC2BIN(MOD(E1189,64),6)</f>
        <v>10010011011</v>
      </c>
      <c r="G1189" s="10" t="str">
        <f>DEC2HEX(E1189,3)</f>
        <v>49B</v>
      </c>
      <c r="H1189" s="10" t="str">
        <f>IF(ROUND(D1189/$B$6,0)&gt;$B$7,"YES","NO")</f>
        <v>NO</v>
      </c>
    </row>
    <row r="1190" spans="1:8">
      <c r="A1190" s="8">
        <v>1180</v>
      </c>
      <c r="B1190" s="9">
        <f>D1189</f>
        <v>1381.640625</v>
      </c>
      <c r="C1190" s="9">
        <f>$B$6</f>
        <v>1.171875</v>
      </c>
      <c r="D1190" s="9">
        <f>B1190+C1190</f>
        <v>1382.8125</v>
      </c>
      <c r="E1190" s="8">
        <f>MIN($B$7,ROUND(D1190/$B$6,0))</f>
        <v>1180</v>
      </c>
      <c r="F1190" s="8" t="str">
        <f>DEC2BIN(INT(E1190/64),5)&amp;DEC2BIN(MOD(E1190,64),6)</f>
        <v>10010011100</v>
      </c>
      <c r="G1190" s="8" t="str">
        <f>DEC2HEX(E1190,3)</f>
        <v>49C</v>
      </c>
      <c r="H1190" s="8" t="str">
        <f>IF(ROUND(D1190/$B$6,0)&gt;$B$7,"YES","NO")</f>
        <v>NO</v>
      </c>
    </row>
    <row r="1191" spans="1:8">
      <c r="A1191" s="10">
        <v>1181</v>
      </c>
      <c r="B1191" s="11">
        <f>D1190</f>
        <v>1382.8125</v>
      </c>
      <c r="C1191" s="11">
        <f>$B$6</f>
        <v>1.171875</v>
      </c>
      <c r="D1191" s="11">
        <f>B1191+C1191</f>
        <v>1383.984375</v>
      </c>
      <c r="E1191" s="10">
        <f>MIN($B$7,ROUND(D1191/$B$6,0))</f>
        <v>1181</v>
      </c>
      <c r="F1191" s="10" t="str">
        <f>DEC2BIN(INT(E1191/64),5)&amp;DEC2BIN(MOD(E1191,64),6)</f>
        <v>10010011101</v>
      </c>
      <c r="G1191" s="10" t="str">
        <f>DEC2HEX(E1191,3)</f>
        <v>49D</v>
      </c>
      <c r="H1191" s="10" t="str">
        <f>IF(ROUND(D1191/$B$6,0)&gt;$B$7,"YES","NO")</f>
        <v>NO</v>
      </c>
    </row>
    <row r="1192" spans="1:8">
      <c r="A1192" s="8">
        <v>1182</v>
      </c>
      <c r="B1192" s="9">
        <f>D1191</f>
        <v>1383.984375</v>
      </c>
      <c r="C1192" s="9">
        <f>$B$6</f>
        <v>1.171875</v>
      </c>
      <c r="D1192" s="9">
        <f>B1192+C1192</f>
        <v>1385.15625</v>
      </c>
      <c r="E1192" s="8">
        <f>MIN($B$7,ROUND(D1192/$B$6,0))</f>
        <v>1182</v>
      </c>
      <c r="F1192" s="8" t="str">
        <f>DEC2BIN(INT(E1192/64),5)&amp;DEC2BIN(MOD(E1192,64),6)</f>
        <v>10010011110</v>
      </c>
      <c r="G1192" s="8" t="str">
        <f>DEC2HEX(E1192,3)</f>
        <v>49E</v>
      </c>
      <c r="H1192" s="8" t="str">
        <f>IF(ROUND(D1192/$B$6,0)&gt;$B$7,"YES","NO")</f>
        <v>NO</v>
      </c>
    </row>
    <row r="1193" spans="1:8">
      <c r="A1193" s="10">
        <v>1183</v>
      </c>
      <c r="B1193" s="11">
        <f>D1192</f>
        <v>1385.15625</v>
      </c>
      <c r="C1193" s="11">
        <f>$B$6</f>
        <v>1.171875</v>
      </c>
      <c r="D1193" s="11">
        <f>B1193+C1193</f>
        <v>1386.328125</v>
      </c>
      <c r="E1193" s="10">
        <f>MIN($B$7,ROUND(D1193/$B$6,0))</f>
        <v>1183</v>
      </c>
      <c r="F1193" s="10" t="str">
        <f>DEC2BIN(INT(E1193/64),5)&amp;DEC2BIN(MOD(E1193,64),6)</f>
        <v>10010011111</v>
      </c>
      <c r="G1193" s="10" t="str">
        <f>DEC2HEX(E1193,3)</f>
        <v>49F</v>
      </c>
      <c r="H1193" s="10" t="str">
        <f>IF(ROUND(D1193/$B$6,0)&gt;$B$7,"YES","NO")</f>
        <v>NO</v>
      </c>
    </row>
    <row r="1194" spans="1:8">
      <c r="A1194" s="8">
        <v>1184</v>
      </c>
      <c r="B1194" s="9">
        <f>D1193</f>
        <v>1386.328125</v>
      </c>
      <c r="C1194" s="9">
        <f>$B$6</f>
        <v>1.171875</v>
      </c>
      <c r="D1194" s="9">
        <f>B1194+C1194</f>
        <v>1387.5</v>
      </c>
      <c r="E1194" s="8">
        <f>MIN($B$7,ROUND(D1194/$B$6,0))</f>
        <v>1184</v>
      </c>
      <c r="F1194" s="8" t="str">
        <f>DEC2BIN(INT(E1194/64),5)&amp;DEC2BIN(MOD(E1194,64),6)</f>
        <v>10010100000</v>
      </c>
      <c r="G1194" s="8" t="str">
        <f>DEC2HEX(E1194,3)</f>
        <v>4A0</v>
      </c>
      <c r="H1194" s="8" t="str">
        <f>IF(ROUND(D1194/$B$6,0)&gt;$B$7,"YES","NO")</f>
        <v>NO</v>
      </c>
    </row>
    <row r="1195" spans="1:8">
      <c r="A1195" s="10">
        <v>1185</v>
      </c>
      <c r="B1195" s="11">
        <f>D1194</f>
        <v>1387.5</v>
      </c>
      <c r="C1195" s="11">
        <f>$B$6</f>
        <v>1.171875</v>
      </c>
      <c r="D1195" s="11">
        <f>B1195+C1195</f>
        <v>1388.671875</v>
      </c>
      <c r="E1195" s="10">
        <f>MIN($B$7,ROUND(D1195/$B$6,0))</f>
        <v>1185</v>
      </c>
      <c r="F1195" s="10" t="str">
        <f>DEC2BIN(INT(E1195/64),5)&amp;DEC2BIN(MOD(E1195,64),6)</f>
        <v>10010100001</v>
      </c>
      <c r="G1195" s="10" t="str">
        <f>DEC2HEX(E1195,3)</f>
        <v>4A1</v>
      </c>
      <c r="H1195" s="10" t="str">
        <f>IF(ROUND(D1195/$B$6,0)&gt;$B$7,"YES","NO")</f>
        <v>NO</v>
      </c>
    </row>
    <row r="1196" spans="1:8">
      <c r="A1196" s="8">
        <v>1186</v>
      </c>
      <c r="B1196" s="9">
        <f>D1195</f>
        <v>1388.671875</v>
      </c>
      <c r="C1196" s="9">
        <f>$B$6</f>
        <v>1.171875</v>
      </c>
      <c r="D1196" s="9">
        <f>B1196+C1196</f>
        <v>1389.84375</v>
      </c>
      <c r="E1196" s="8">
        <f>MIN($B$7,ROUND(D1196/$B$6,0))</f>
        <v>1186</v>
      </c>
      <c r="F1196" s="8" t="str">
        <f>DEC2BIN(INT(E1196/64),5)&amp;DEC2BIN(MOD(E1196,64),6)</f>
        <v>10010100010</v>
      </c>
      <c r="G1196" s="8" t="str">
        <f>DEC2HEX(E1196,3)</f>
        <v>4A2</v>
      </c>
      <c r="H1196" s="8" t="str">
        <f>IF(ROUND(D1196/$B$6,0)&gt;$B$7,"YES","NO")</f>
        <v>NO</v>
      </c>
    </row>
    <row r="1197" spans="1:8">
      <c r="A1197" s="10">
        <v>1187</v>
      </c>
      <c r="B1197" s="11">
        <f>D1196</f>
        <v>1389.84375</v>
      </c>
      <c r="C1197" s="11">
        <f>$B$6</f>
        <v>1.171875</v>
      </c>
      <c r="D1197" s="11">
        <f>B1197+C1197</f>
        <v>1391.015625</v>
      </c>
      <c r="E1197" s="10">
        <f>MIN($B$7,ROUND(D1197/$B$6,0))</f>
        <v>1187</v>
      </c>
      <c r="F1197" s="10" t="str">
        <f>DEC2BIN(INT(E1197/64),5)&amp;DEC2BIN(MOD(E1197,64),6)</f>
        <v>10010100011</v>
      </c>
      <c r="G1197" s="10" t="str">
        <f>DEC2HEX(E1197,3)</f>
        <v>4A3</v>
      </c>
      <c r="H1197" s="10" t="str">
        <f>IF(ROUND(D1197/$B$6,0)&gt;$B$7,"YES","NO")</f>
        <v>NO</v>
      </c>
    </row>
    <row r="1198" spans="1:8">
      <c r="A1198" s="8">
        <v>1188</v>
      </c>
      <c r="B1198" s="9">
        <f>D1197</f>
        <v>1391.015625</v>
      </c>
      <c r="C1198" s="9">
        <f>$B$6</f>
        <v>1.171875</v>
      </c>
      <c r="D1198" s="9">
        <f>B1198+C1198</f>
        <v>1392.1875</v>
      </c>
      <c r="E1198" s="8">
        <f>MIN($B$7,ROUND(D1198/$B$6,0))</f>
        <v>1188</v>
      </c>
      <c r="F1198" s="8" t="str">
        <f>DEC2BIN(INT(E1198/64),5)&amp;DEC2BIN(MOD(E1198,64),6)</f>
        <v>10010100100</v>
      </c>
      <c r="G1198" s="8" t="str">
        <f>DEC2HEX(E1198,3)</f>
        <v>4A4</v>
      </c>
      <c r="H1198" s="8" t="str">
        <f>IF(ROUND(D1198/$B$6,0)&gt;$B$7,"YES","NO")</f>
        <v>NO</v>
      </c>
    </row>
    <row r="1199" spans="1:8">
      <c r="A1199" s="10">
        <v>1189</v>
      </c>
      <c r="B1199" s="11">
        <f>D1198</f>
        <v>1392.1875</v>
      </c>
      <c r="C1199" s="11">
        <f>$B$6</f>
        <v>1.171875</v>
      </c>
      <c r="D1199" s="11">
        <f>B1199+C1199</f>
        <v>1393.359375</v>
      </c>
      <c r="E1199" s="10">
        <f>MIN($B$7,ROUND(D1199/$B$6,0))</f>
        <v>1189</v>
      </c>
      <c r="F1199" s="10" t="str">
        <f>DEC2BIN(INT(E1199/64),5)&amp;DEC2BIN(MOD(E1199,64),6)</f>
        <v>10010100101</v>
      </c>
      <c r="G1199" s="10" t="str">
        <f>DEC2HEX(E1199,3)</f>
        <v>4A5</v>
      </c>
      <c r="H1199" s="10" t="str">
        <f>IF(ROUND(D1199/$B$6,0)&gt;$B$7,"YES","NO")</f>
        <v>NO</v>
      </c>
    </row>
    <row r="1200" spans="1:8">
      <c r="A1200" s="8">
        <v>1190</v>
      </c>
      <c r="B1200" s="9">
        <f>D1199</f>
        <v>1393.359375</v>
      </c>
      <c r="C1200" s="9">
        <f>$B$6</f>
        <v>1.171875</v>
      </c>
      <c r="D1200" s="9">
        <f>B1200+C1200</f>
        <v>1394.53125</v>
      </c>
      <c r="E1200" s="8">
        <f>MIN($B$7,ROUND(D1200/$B$6,0))</f>
        <v>1190</v>
      </c>
      <c r="F1200" s="8" t="str">
        <f>DEC2BIN(INT(E1200/64),5)&amp;DEC2BIN(MOD(E1200,64),6)</f>
        <v>10010100110</v>
      </c>
      <c r="G1200" s="8" t="str">
        <f>DEC2HEX(E1200,3)</f>
        <v>4A6</v>
      </c>
      <c r="H1200" s="8" t="str">
        <f>IF(ROUND(D1200/$B$6,0)&gt;$B$7,"YES","NO")</f>
        <v>NO</v>
      </c>
    </row>
    <row r="1201" spans="1:8">
      <c r="A1201" s="10">
        <v>1191</v>
      </c>
      <c r="B1201" s="11">
        <f>D1200</f>
        <v>1394.53125</v>
      </c>
      <c r="C1201" s="11">
        <f>$B$6</f>
        <v>1.171875</v>
      </c>
      <c r="D1201" s="11">
        <f>B1201+C1201</f>
        <v>1395.703125</v>
      </c>
      <c r="E1201" s="10">
        <f>MIN($B$7,ROUND(D1201/$B$6,0))</f>
        <v>1191</v>
      </c>
      <c r="F1201" s="10" t="str">
        <f>DEC2BIN(INT(E1201/64),5)&amp;DEC2BIN(MOD(E1201,64),6)</f>
        <v>10010100111</v>
      </c>
      <c r="G1201" s="10" t="str">
        <f>DEC2HEX(E1201,3)</f>
        <v>4A7</v>
      </c>
      <c r="H1201" s="10" t="str">
        <f>IF(ROUND(D1201/$B$6,0)&gt;$B$7,"YES","NO")</f>
        <v>NO</v>
      </c>
    </row>
    <row r="1202" spans="1:8">
      <c r="A1202" s="8">
        <v>1192</v>
      </c>
      <c r="B1202" s="9">
        <f>D1201</f>
        <v>1395.703125</v>
      </c>
      <c r="C1202" s="9">
        <f>$B$6</f>
        <v>1.171875</v>
      </c>
      <c r="D1202" s="9">
        <f>B1202+C1202</f>
        <v>1396.875</v>
      </c>
      <c r="E1202" s="8">
        <f>MIN($B$7,ROUND(D1202/$B$6,0))</f>
        <v>1192</v>
      </c>
      <c r="F1202" s="8" t="str">
        <f>DEC2BIN(INT(E1202/64),5)&amp;DEC2BIN(MOD(E1202,64),6)</f>
        <v>10010101000</v>
      </c>
      <c r="G1202" s="8" t="str">
        <f>DEC2HEX(E1202,3)</f>
        <v>4A8</v>
      </c>
      <c r="H1202" s="8" t="str">
        <f>IF(ROUND(D1202/$B$6,0)&gt;$B$7,"YES","NO")</f>
        <v>NO</v>
      </c>
    </row>
    <row r="1203" spans="1:8">
      <c r="A1203" s="10">
        <v>1193</v>
      </c>
      <c r="B1203" s="11">
        <f>D1202</f>
        <v>1396.875</v>
      </c>
      <c r="C1203" s="11">
        <f>$B$6</f>
        <v>1.171875</v>
      </c>
      <c r="D1203" s="11">
        <f>B1203+C1203</f>
        <v>1398.046875</v>
      </c>
      <c r="E1203" s="10">
        <f>MIN($B$7,ROUND(D1203/$B$6,0))</f>
        <v>1193</v>
      </c>
      <c r="F1203" s="10" t="str">
        <f>DEC2BIN(INT(E1203/64),5)&amp;DEC2BIN(MOD(E1203,64),6)</f>
        <v>10010101001</v>
      </c>
      <c r="G1203" s="10" t="str">
        <f>DEC2HEX(E1203,3)</f>
        <v>4A9</v>
      </c>
      <c r="H1203" s="10" t="str">
        <f>IF(ROUND(D1203/$B$6,0)&gt;$B$7,"YES","NO")</f>
        <v>NO</v>
      </c>
    </row>
    <row r="1204" spans="1:8">
      <c r="A1204" s="8">
        <v>1194</v>
      </c>
      <c r="B1204" s="9">
        <f>D1203</f>
        <v>1398.046875</v>
      </c>
      <c r="C1204" s="9">
        <f>$B$6</f>
        <v>1.171875</v>
      </c>
      <c r="D1204" s="9">
        <f>B1204+C1204</f>
        <v>1399.21875</v>
      </c>
      <c r="E1204" s="8">
        <f>MIN($B$7,ROUND(D1204/$B$6,0))</f>
        <v>1194</v>
      </c>
      <c r="F1204" s="8" t="str">
        <f>DEC2BIN(INT(E1204/64),5)&amp;DEC2BIN(MOD(E1204,64),6)</f>
        <v>10010101010</v>
      </c>
      <c r="G1204" s="8" t="str">
        <f>DEC2HEX(E1204,3)</f>
        <v>4AA</v>
      </c>
      <c r="H1204" s="8" t="str">
        <f>IF(ROUND(D1204/$B$6,0)&gt;$B$7,"YES","NO")</f>
        <v>NO</v>
      </c>
    </row>
    <row r="1205" spans="1:8">
      <c r="A1205" s="10">
        <v>1195</v>
      </c>
      <c r="B1205" s="11">
        <f>D1204</f>
        <v>1399.21875</v>
      </c>
      <c r="C1205" s="11">
        <f>$B$6</f>
        <v>1.171875</v>
      </c>
      <c r="D1205" s="11">
        <f>B1205+C1205</f>
        <v>1400.390625</v>
      </c>
      <c r="E1205" s="10">
        <f>MIN($B$7,ROUND(D1205/$B$6,0))</f>
        <v>1195</v>
      </c>
      <c r="F1205" s="10" t="str">
        <f>DEC2BIN(INT(E1205/64),5)&amp;DEC2BIN(MOD(E1205,64),6)</f>
        <v>10010101011</v>
      </c>
      <c r="G1205" s="10" t="str">
        <f>DEC2HEX(E1205,3)</f>
        <v>4AB</v>
      </c>
      <c r="H1205" s="10" t="str">
        <f>IF(ROUND(D1205/$B$6,0)&gt;$B$7,"YES","NO")</f>
        <v>NO</v>
      </c>
    </row>
    <row r="1206" spans="1:8">
      <c r="A1206" s="8">
        <v>1196</v>
      </c>
      <c r="B1206" s="9">
        <f>D1205</f>
        <v>1400.390625</v>
      </c>
      <c r="C1206" s="9">
        <f>$B$6</f>
        <v>1.171875</v>
      </c>
      <c r="D1206" s="9">
        <f>B1206+C1206</f>
        <v>1401.5625</v>
      </c>
      <c r="E1206" s="8">
        <f>MIN($B$7,ROUND(D1206/$B$6,0))</f>
        <v>1196</v>
      </c>
      <c r="F1206" s="8" t="str">
        <f>DEC2BIN(INT(E1206/64),5)&amp;DEC2BIN(MOD(E1206,64),6)</f>
        <v>10010101100</v>
      </c>
      <c r="G1206" s="8" t="str">
        <f>DEC2HEX(E1206,3)</f>
        <v>4AC</v>
      </c>
      <c r="H1206" s="8" t="str">
        <f>IF(ROUND(D1206/$B$6,0)&gt;$B$7,"YES","NO")</f>
        <v>NO</v>
      </c>
    </row>
    <row r="1207" spans="1:8">
      <c r="A1207" s="10">
        <v>1197</v>
      </c>
      <c r="B1207" s="11">
        <f>D1206</f>
        <v>1401.5625</v>
      </c>
      <c r="C1207" s="11">
        <f>$B$6</f>
        <v>1.171875</v>
      </c>
      <c r="D1207" s="11">
        <f>B1207+C1207</f>
        <v>1402.734375</v>
      </c>
      <c r="E1207" s="10">
        <f>MIN($B$7,ROUND(D1207/$B$6,0))</f>
        <v>1197</v>
      </c>
      <c r="F1207" s="10" t="str">
        <f>DEC2BIN(INT(E1207/64),5)&amp;DEC2BIN(MOD(E1207,64),6)</f>
        <v>10010101101</v>
      </c>
      <c r="G1207" s="10" t="str">
        <f>DEC2HEX(E1207,3)</f>
        <v>4AD</v>
      </c>
      <c r="H1207" s="10" t="str">
        <f>IF(ROUND(D1207/$B$6,0)&gt;$B$7,"YES","NO")</f>
        <v>NO</v>
      </c>
    </row>
    <row r="1208" spans="1:8">
      <c r="A1208" s="8">
        <v>1198</v>
      </c>
      <c r="B1208" s="9">
        <f>D1207</f>
        <v>1402.734375</v>
      </c>
      <c r="C1208" s="9">
        <f>$B$6</f>
        <v>1.171875</v>
      </c>
      <c r="D1208" s="9">
        <f>B1208+C1208</f>
        <v>1403.90625</v>
      </c>
      <c r="E1208" s="8">
        <f>MIN($B$7,ROUND(D1208/$B$6,0))</f>
        <v>1198</v>
      </c>
      <c r="F1208" s="8" t="str">
        <f>DEC2BIN(INT(E1208/64),5)&amp;DEC2BIN(MOD(E1208,64),6)</f>
        <v>10010101110</v>
      </c>
      <c r="G1208" s="8" t="str">
        <f>DEC2HEX(E1208,3)</f>
        <v>4AE</v>
      </c>
      <c r="H1208" s="8" t="str">
        <f>IF(ROUND(D1208/$B$6,0)&gt;$B$7,"YES","NO")</f>
        <v>NO</v>
      </c>
    </row>
    <row r="1209" spans="1:8">
      <c r="A1209" s="10">
        <v>1199</v>
      </c>
      <c r="B1209" s="11">
        <f>D1208</f>
        <v>1403.90625</v>
      </c>
      <c r="C1209" s="11">
        <f>$B$6</f>
        <v>1.171875</v>
      </c>
      <c r="D1209" s="11">
        <f>B1209+C1209</f>
        <v>1405.078125</v>
      </c>
      <c r="E1209" s="10">
        <f>MIN($B$7,ROUND(D1209/$B$6,0))</f>
        <v>1199</v>
      </c>
      <c r="F1209" s="10" t="str">
        <f>DEC2BIN(INT(E1209/64),5)&amp;DEC2BIN(MOD(E1209,64),6)</f>
        <v>10010101111</v>
      </c>
      <c r="G1209" s="10" t="str">
        <f>DEC2HEX(E1209,3)</f>
        <v>4AF</v>
      </c>
      <c r="H1209" s="10" t="str">
        <f>IF(ROUND(D1209/$B$6,0)&gt;$B$7,"YES","NO")</f>
        <v>NO</v>
      </c>
    </row>
    <row r="1210" spans="1:8">
      <c r="A1210" s="8">
        <v>1200</v>
      </c>
      <c r="B1210" s="9">
        <f>D1209</f>
        <v>1405.078125</v>
      </c>
      <c r="C1210" s="9">
        <f>$B$6</f>
        <v>1.171875</v>
      </c>
      <c r="D1210" s="9">
        <f>B1210+C1210</f>
        <v>1406.25</v>
      </c>
      <c r="E1210" s="8">
        <f>MIN($B$7,ROUND(D1210/$B$6,0))</f>
        <v>1200</v>
      </c>
      <c r="F1210" s="8" t="str">
        <f>DEC2BIN(INT(E1210/64),5)&amp;DEC2BIN(MOD(E1210,64),6)</f>
        <v>10010110000</v>
      </c>
      <c r="G1210" s="8" t="str">
        <f>DEC2HEX(E1210,3)</f>
        <v>4B0</v>
      </c>
      <c r="H1210" s="8" t="str">
        <f>IF(ROUND(D1210/$B$6,0)&gt;$B$7,"YES","NO")</f>
        <v>NO</v>
      </c>
    </row>
    <row r="1211" spans="1:8">
      <c r="A1211" s="10">
        <v>1201</v>
      </c>
      <c r="B1211" s="11">
        <f>D1210</f>
        <v>1406.25</v>
      </c>
      <c r="C1211" s="11">
        <f>$B$6</f>
        <v>1.171875</v>
      </c>
      <c r="D1211" s="11">
        <f>B1211+C1211</f>
        <v>1407.421875</v>
      </c>
      <c r="E1211" s="10">
        <f>MIN($B$7,ROUND(D1211/$B$6,0))</f>
        <v>1201</v>
      </c>
      <c r="F1211" s="10" t="str">
        <f>DEC2BIN(INT(E1211/64),5)&amp;DEC2BIN(MOD(E1211,64),6)</f>
        <v>10010110001</v>
      </c>
      <c r="G1211" s="10" t="str">
        <f>DEC2HEX(E1211,3)</f>
        <v>4B1</v>
      </c>
      <c r="H1211" s="10" t="str">
        <f>IF(ROUND(D1211/$B$6,0)&gt;$B$7,"YES","NO")</f>
        <v>NO</v>
      </c>
    </row>
    <row r="1212" spans="1:8">
      <c r="A1212" s="8">
        <v>1202</v>
      </c>
      <c r="B1212" s="9">
        <f>D1211</f>
        <v>1407.421875</v>
      </c>
      <c r="C1212" s="9">
        <f>$B$6</f>
        <v>1.171875</v>
      </c>
      <c r="D1212" s="9">
        <f>B1212+C1212</f>
        <v>1408.59375</v>
      </c>
      <c r="E1212" s="8">
        <f>MIN($B$7,ROUND(D1212/$B$6,0))</f>
        <v>1202</v>
      </c>
      <c r="F1212" s="8" t="str">
        <f>DEC2BIN(INT(E1212/64),5)&amp;DEC2BIN(MOD(E1212,64),6)</f>
        <v>10010110010</v>
      </c>
      <c r="G1212" s="8" t="str">
        <f>DEC2HEX(E1212,3)</f>
        <v>4B2</v>
      </c>
      <c r="H1212" s="8" t="str">
        <f>IF(ROUND(D1212/$B$6,0)&gt;$B$7,"YES","NO")</f>
        <v>NO</v>
      </c>
    </row>
    <row r="1213" spans="1:8">
      <c r="A1213" s="10">
        <v>1203</v>
      </c>
      <c r="B1213" s="11">
        <f>D1212</f>
        <v>1408.59375</v>
      </c>
      <c r="C1213" s="11">
        <f>$B$6</f>
        <v>1.171875</v>
      </c>
      <c r="D1213" s="11">
        <f>B1213+C1213</f>
        <v>1409.765625</v>
      </c>
      <c r="E1213" s="10">
        <f>MIN($B$7,ROUND(D1213/$B$6,0))</f>
        <v>1203</v>
      </c>
      <c r="F1213" s="10" t="str">
        <f>DEC2BIN(INT(E1213/64),5)&amp;DEC2BIN(MOD(E1213,64),6)</f>
        <v>10010110011</v>
      </c>
      <c r="G1213" s="10" t="str">
        <f>DEC2HEX(E1213,3)</f>
        <v>4B3</v>
      </c>
      <c r="H1213" s="10" t="str">
        <f>IF(ROUND(D1213/$B$6,0)&gt;$B$7,"YES","NO")</f>
        <v>NO</v>
      </c>
    </row>
    <row r="1214" spans="1:8">
      <c r="A1214" s="8">
        <v>1204</v>
      </c>
      <c r="B1214" s="9">
        <f>D1213</f>
        <v>1409.765625</v>
      </c>
      <c r="C1214" s="9">
        <f>$B$6</f>
        <v>1.171875</v>
      </c>
      <c r="D1214" s="9">
        <f>B1214+C1214</f>
        <v>1410.9375</v>
      </c>
      <c r="E1214" s="8">
        <f>MIN($B$7,ROUND(D1214/$B$6,0))</f>
        <v>1204</v>
      </c>
      <c r="F1214" s="8" t="str">
        <f>DEC2BIN(INT(E1214/64),5)&amp;DEC2BIN(MOD(E1214,64),6)</f>
        <v>10010110100</v>
      </c>
      <c r="G1214" s="8" t="str">
        <f>DEC2HEX(E1214,3)</f>
        <v>4B4</v>
      </c>
      <c r="H1214" s="8" t="str">
        <f>IF(ROUND(D1214/$B$6,0)&gt;$B$7,"YES","NO")</f>
        <v>NO</v>
      </c>
    </row>
    <row r="1215" spans="1:8">
      <c r="A1215" s="10">
        <v>1205</v>
      </c>
      <c r="B1215" s="11">
        <f>D1214</f>
        <v>1410.9375</v>
      </c>
      <c r="C1215" s="11">
        <f>$B$6</f>
        <v>1.171875</v>
      </c>
      <c r="D1215" s="11">
        <f>B1215+C1215</f>
        <v>1412.109375</v>
      </c>
      <c r="E1215" s="10">
        <f>MIN($B$7,ROUND(D1215/$B$6,0))</f>
        <v>1205</v>
      </c>
      <c r="F1215" s="10" t="str">
        <f>DEC2BIN(INT(E1215/64),5)&amp;DEC2BIN(MOD(E1215,64),6)</f>
        <v>10010110101</v>
      </c>
      <c r="G1215" s="10" t="str">
        <f>DEC2HEX(E1215,3)</f>
        <v>4B5</v>
      </c>
      <c r="H1215" s="10" t="str">
        <f>IF(ROUND(D1215/$B$6,0)&gt;$B$7,"YES","NO")</f>
        <v>NO</v>
      </c>
    </row>
    <row r="1216" spans="1:8">
      <c r="A1216" s="8">
        <v>1206</v>
      </c>
      <c r="B1216" s="9">
        <f>D1215</f>
        <v>1412.109375</v>
      </c>
      <c r="C1216" s="9">
        <f>$B$6</f>
        <v>1.171875</v>
      </c>
      <c r="D1216" s="9">
        <f>B1216+C1216</f>
        <v>1413.28125</v>
      </c>
      <c r="E1216" s="8">
        <f>MIN($B$7,ROUND(D1216/$B$6,0))</f>
        <v>1206</v>
      </c>
      <c r="F1216" s="8" t="str">
        <f>DEC2BIN(INT(E1216/64),5)&amp;DEC2BIN(MOD(E1216,64),6)</f>
        <v>10010110110</v>
      </c>
      <c r="G1216" s="8" t="str">
        <f>DEC2HEX(E1216,3)</f>
        <v>4B6</v>
      </c>
      <c r="H1216" s="8" t="str">
        <f>IF(ROUND(D1216/$B$6,0)&gt;$B$7,"YES","NO")</f>
        <v>NO</v>
      </c>
    </row>
    <row r="1217" spans="1:8">
      <c r="A1217" s="10">
        <v>1207</v>
      </c>
      <c r="B1217" s="11">
        <f>D1216</f>
        <v>1413.28125</v>
      </c>
      <c r="C1217" s="11">
        <f>$B$6</f>
        <v>1.171875</v>
      </c>
      <c r="D1217" s="11">
        <f>B1217+C1217</f>
        <v>1414.453125</v>
      </c>
      <c r="E1217" s="10">
        <f>MIN($B$7,ROUND(D1217/$B$6,0))</f>
        <v>1207</v>
      </c>
      <c r="F1217" s="10" t="str">
        <f>DEC2BIN(INT(E1217/64),5)&amp;DEC2BIN(MOD(E1217,64),6)</f>
        <v>10010110111</v>
      </c>
      <c r="G1217" s="10" t="str">
        <f>DEC2HEX(E1217,3)</f>
        <v>4B7</v>
      </c>
      <c r="H1217" s="10" t="str">
        <f>IF(ROUND(D1217/$B$6,0)&gt;$B$7,"YES","NO")</f>
        <v>NO</v>
      </c>
    </row>
    <row r="1218" spans="1:8">
      <c r="A1218" s="8">
        <v>1208</v>
      </c>
      <c r="B1218" s="9">
        <f>D1217</f>
        <v>1414.453125</v>
      </c>
      <c r="C1218" s="9">
        <f>$B$6</f>
        <v>1.171875</v>
      </c>
      <c r="D1218" s="9">
        <f>B1218+C1218</f>
        <v>1415.625</v>
      </c>
      <c r="E1218" s="8">
        <f>MIN($B$7,ROUND(D1218/$B$6,0))</f>
        <v>1208</v>
      </c>
      <c r="F1218" s="8" t="str">
        <f>DEC2BIN(INT(E1218/64),5)&amp;DEC2BIN(MOD(E1218,64),6)</f>
        <v>10010111000</v>
      </c>
      <c r="G1218" s="8" t="str">
        <f>DEC2HEX(E1218,3)</f>
        <v>4B8</v>
      </c>
      <c r="H1218" s="8" t="str">
        <f>IF(ROUND(D1218/$B$6,0)&gt;$B$7,"YES","NO")</f>
        <v>NO</v>
      </c>
    </row>
    <row r="1219" spans="1:8">
      <c r="A1219" s="10">
        <v>1209</v>
      </c>
      <c r="B1219" s="11">
        <f>D1218</f>
        <v>1415.625</v>
      </c>
      <c r="C1219" s="11">
        <f>$B$6</f>
        <v>1.171875</v>
      </c>
      <c r="D1219" s="11">
        <f>B1219+C1219</f>
        <v>1416.796875</v>
      </c>
      <c r="E1219" s="10">
        <f>MIN($B$7,ROUND(D1219/$B$6,0))</f>
        <v>1209</v>
      </c>
      <c r="F1219" s="10" t="str">
        <f>DEC2BIN(INT(E1219/64),5)&amp;DEC2BIN(MOD(E1219,64),6)</f>
        <v>10010111001</v>
      </c>
      <c r="G1219" s="10" t="str">
        <f>DEC2HEX(E1219,3)</f>
        <v>4B9</v>
      </c>
      <c r="H1219" s="10" t="str">
        <f>IF(ROUND(D1219/$B$6,0)&gt;$B$7,"YES","NO")</f>
        <v>NO</v>
      </c>
    </row>
    <row r="1220" spans="1:8">
      <c r="A1220" s="8">
        <v>1210</v>
      </c>
      <c r="B1220" s="9">
        <f>D1219</f>
        <v>1416.796875</v>
      </c>
      <c r="C1220" s="9">
        <f>$B$6</f>
        <v>1.171875</v>
      </c>
      <c r="D1220" s="9">
        <f>B1220+C1220</f>
        <v>1417.96875</v>
      </c>
      <c r="E1220" s="8">
        <f>MIN($B$7,ROUND(D1220/$B$6,0))</f>
        <v>1210</v>
      </c>
      <c r="F1220" s="8" t="str">
        <f>DEC2BIN(INT(E1220/64),5)&amp;DEC2BIN(MOD(E1220,64),6)</f>
        <v>10010111010</v>
      </c>
      <c r="G1220" s="8" t="str">
        <f>DEC2HEX(E1220,3)</f>
        <v>4BA</v>
      </c>
      <c r="H1220" s="8" t="str">
        <f>IF(ROUND(D1220/$B$6,0)&gt;$B$7,"YES","NO")</f>
        <v>NO</v>
      </c>
    </row>
    <row r="1221" spans="1:8">
      <c r="A1221" s="10">
        <v>1211</v>
      </c>
      <c r="B1221" s="11">
        <f>D1220</f>
        <v>1417.96875</v>
      </c>
      <c r="C1221" s="11">
        <f>$B$6</f>
        <v>1.171875</v>
      </c>
      <c r="D1221" s="11">
        <f>B1221+C1221</f>
        <v>1419.140625</v>
      </c>
      <c r="E1221" s="10">
        <f>MIN($B$7,ROUND(D1221/$B$6,0))</f>
        <v>1211</v>
      </c>
      <c r="F1221" s="10" t="str">
        <f>DEC2BIN(INT(E1221/64),5)&amp;DEC2BIN(MOD(E1221,64),6)</f>
        <v>10010111011</v>
      </c>
      <c r="G1221" s="10" t="str">
        <f>DEC2HEX(E1221,3)</f>
        <v>4BB</v>
      </c>
      <c r="H1221" s="10" t="str">
        <f>IF(ROUND(D1221/$B$6,0)&gt;$B$7,"YES","NO")</f>
        <v>NO</v>
      </c>
    </row>
    <row r="1222" spans="1:8">
      <c r="A1222" s="8">
        <v>1212</v>
      </c>
      <c r="B1222" s="9">
        <f>D1221</f>
        <v>1419.140625</v>
      </c>
      <c r="C1222" s="9">
        <f>$B$6</f>
        <v>1.171875</v>
      </c>
      <c r="D1222" s="9">
        <f>B1222+C1222</f>
        <v>1420.3125</v>
      </c>
      <c r="E1222" s="8">
        <f>MIN($B$7,ROUND(D1222/$B$6,0))</f>
        <v>1212</v>
      </c>
      <c r="F1222" s="8" t="str">
        <f>DEC2BIN(INT(E1222/64),5)&amp;DEC2BIN(MOD(E1222,64),6)</f>
        <v>10010111100</v>
      </c>
      <c r="G1222" s="8" t="str">
        <f>DEC2HEX(E1222,3)</f>
        <v>4BC</v>
      </c>
      <c r="H1222" s="8" t="str">
        <f>IF(ROUND(D1222/$B$6,0)&gt;$B$7,"YES","NO")</f>
        <v>NO</v>
      </c>
    </row>
    <row r="1223" spans="1:8">
      <c r="A1223" s="10">
        <v>1213</v>
      </c>
      <c r="B1223" s="11">
        <f>D1222</f>
        <v>1420.3125</v>
      </c>
      <c r="C1223" s="11">
        <f>$B$6</f>
        <v>1.171875</v>
      </c>
      <c r="D1223" s="11">
        <f>B1223+C1223</f>
        <v>1421.484375</v>
      </c>
      <c r="E1223" s="10">
        <f>MIN($B$7,ROUND(D1223/$B$6,0))</f>
        <v>1213</v>
      </c>
      <c r="F1223" s="10" t="str">
        <f>DEC2BIN(INT(E1223/64),5)&amp;DEC2BIN(MOD(E1223,64),6)</f>
        <v>10010111101</v>
      </c>
      <c r="G1223" s="10" t="str">
        <f>DEC2HEX(E1223,3)</f>
        <v>4BD</v>
      </c>
      <c r="H1223" s="10" t="str">
        <f>IF(ROUND(D1223/$B$6,0)&gt;$B$7,"YES","NO")</f>
        <v>NO</v>
      </c>
    </row>
    <row r="1224" spans="1:8">
      <c r="A1224" s="8">
        <v>1214</v>
      </c>
      <c r="B1224" s="9">
        <f>D1223</f>
        <v>1421.484375</v>
      </c>
      <c r="C1224" s="9">
        <f>$B$6</f>
        <v>1.171875</v>
      </c>
      <c r="D1224" s="9">
        <f>B1224+C1224</f>
        <v>1422.65625</v>
      </c>
      <c r="E1224" s="8">
        <f>MIN($B$7,ROUND(D1224/$B$6,0))</f>
        <v>1214</v>
      </c>
      <c r="F1224" s="8" t="str">
        <f>DEC2BIN(INT(E1224/64),5)&amp;DEC2BIN(MOD(E1224,64),6)</f>
        <v>10010111110</v>
      </c>
      <c r="G1224" s="8" t="str">
        <f>DEC2HEX(E1224,3)</f>
        <v>4BE</v>
      </c>
      <c r="H1224" s="8" t="str">
        <f>IF(ROUND(D1224/$B$6,0)&gt;$B$7,"YES","NO")</f>
        <v>NO</v>
      </c>
    </row>
    <row r="1225" spans="1:8">
      <c r="A1225" s="10">
        <v>1215</v>
      </c>
      <c r="B1225" s="11">
        <f>D1224</f>
        <v>1422.65625</v>
      </c>
      <c r="C1225" s="11">
        <f>$B$6</f>
        <v>1.171875</v>
      </c>
      <c r="D1225" s="11">
        <f>B1225+C1225</f>
        <v>1423.828125</v>
      </c>
      <c r="E1225" s="10">
        <f>MIN($B$7,ROUND(D1225/$B$6,0))</f>
        <v>1215</v>
      </c>
      <c r="F1225" s="10" t="str">
        <f>DEC2BIN(INT(E1225/64),5)&amp;DEC2BIN(MOD(E1225,64),6)</f>
        <v>10010111111</v>
      </c>
      <c r="G1225" s="10" t="str">
        <f>DEC2HEX(E1225,3)</f>
        <v>4BF</v>
      </c>
      <c r="H1225" s="10" t="str">
        <f>IF(ROUND(D1225/$B$6,0)&gt;$B$7,"YES","NO")</f>
        <v>NO</v>
      </c>
    </row>
    <row r="1226" spans="1:8">
      <c r="A1226" s="8">
        <v>1216</v>
      </c>
      <c r="B1226" s="9">
        <f>D1225</f>
        <v>1423.828125</v>
      </c>
      <c r="C1226" s="9">
        <f>$B$6</f>
        <v>1.171875</v>
      </c>
      <c r="D1226" s="9">
        <f>B1226+C1226</f>
        <v>1425</v>
      </c>
      <c r="E1226" s="8">
        <f>MIN($B$7,ROUND(D1226/$B$6,0))</f>
        <v>1216</v>
      </c>
      <c r="F1226" s="8" t="str">
        <f>DEC2BIN(INT(E1226/64),5)&amp;DEC2BIN(MOD(E1226,64),6)</f>
        <v>10011000000</v>
      </c>
      <c r="G1226" s="8" t="str">
        <f>DEC2HEX(E1226,3)</f>
        <v>4C0</v>
      </c>
      <c r="H1226" s="8" t="str">
        <f>IF(ROUND(D1226/$B$6,0)&gt;$B$7,"YES","NO")</f>
        <v>NO</v>
      </c>
    </row>
    <row r="1227" spans="1:8">
      <c r="A1227" s="10">
        <v>1217</v>
      </c>
      <c r="B1227" s="11">
        <f>D1226</f>
        <v>1425</v>
      </c>
      <c r="C1227" s="11">
        <f>$B$6</f>
        <v>1.171875</v>
      </c>
      <c r="D1227" s="11">
        <f>B1227+C1227</f>
        <v>1426.171875</v>
      </c>
      <c r="E1227" s="10">
        <f>MIN($B$7,ROUND(D1227/$B$6,0))</f>
        <v>1217</v>
      </c>
      <c r="F1227" s="10" t="str">
        <f>DEC2BIN(INT(E1227/64),5)&amp;DEC2BIN(MOD(E1227,64),6)</f>
        <v>10011000001</v>
      </c>
      <c r="G1227" s="10" t="str">
        <f>DEC2HEX(E1227,3)</f>
        <v>4C1</v>
      </c>
      <c r="H1227" s="10" t="str">
        <f>IF(ROUND(D1227/$B$6,0)&gt;$B$7,"YES","NO")</f>
        <v>NO</v>
      </c>
    </row>
    <row r="1228" spans="1:8">
      <c r="A1228" s="8">
        <v>1218</v>
      </c>
      <c r="B1228" s="9">
        <f>D1227</f>
        <v>1426.171875</v>
      </c>
      <c r="C1228" s="9">
        <f>$B$6</f>
        <v>1.171875</v>
      </c>
      <c r="D1228" s="9">
        <f>B1228+C1228</f>
        <v>1427.34375</v>
      </c>
      <c r="E1228" s="8">
        <f>MIN($B$7,ROUND(D1228/$B$6,0))</f>
        <v>1218</v>
      </c>
      <c r="F1228" s="8" t="str">
        <f>DEC2BIN(INT(E1228/64),5)&amp;DEC2BIN(MOD(E1228,64),6)</f>
        <v>10011000010</v>
      </c>
      <c r="G1228" s="8" t="str">
        <f>DEC2HEX(E1228,3)</f>
        <v>4C2</v>
      </c>
      <c r="H1228" s="8" t="str">
        <f>IF(ROUND(D1228/$B$6,0)&gt;$B$7,"YES","NO")</f>
        <v>NO</v>
      </c>
    </row>
    <row r="1229" spans="1:8">
      <c r="A1229" s="10">
        <v>1219</v>
      </c>
      <c r="B1229" s="11">
        <f>D1228</f>
        <v>1427.34375</v>
      </c>
      <c r="C1229" s="11">
        <f>$B$6</f>
        <v>1.171875</v>
      </c>
      <c r="D1229" s="11">
        <f>B1229+C1229</f>
        <v>1428.515625</v>
      </c>
      <c r="E1229" s="10">
        <f>MIN($B$7,ROUND(D1229/$B$6,0))</f>
        <v>1219</v>
      </c>
      <c r="F1229" s="10" t="str">
        <f>DEC2BIN(INT(E1229/64),5)&amp;DEC2BIN(MOD(E1229,64),6)</f>
        <v>10011000011</v>
      </c>
      <c r="G1229" s="10" t="str">
        <f>DEC2HEX(E1229,3)</f>
        <v>4C3</v>
      </c>
      <c r="H1229" s="10" t="str">
        <f>IF(ROUND(D1229/$B$6,0)&gt;$B$7,"YES","NO")</f>
        <v>NO</v>
      </c>
    </row>
    <row r="1230" spans="1:8">
      <c r="A1230" s="8">
        <v>1220</v>
      </c>
      <c r="B1230" s="9">
        <f>D1229</f>
        <v>1428.515625</v>
      </c>
      <c r="C1230" s="9">
        <f>$B$6</f>
        <v>1.171875</v>
      </c>
      <c r="D1230" s="9">
        <f>B1230+C1230</f>
        <v>1429.6875</v>
      </c>
      <c r="E1230" s="8">
        <f>MIN($B$7,ROUND(D1230/$B$6,0))</f>
        <v>1220</v>
      </c>
      <c r="F1230" s="8" t="str">
        <f>DEC2BIN(INT(E1230/64),5)&amp;DEC2BIN(MOD(E1230,64),6)</f>
        <v>10011000100</v>
      </c>
      <c r="G1230" s="8" t="str">
        <f>DEC2HEX(E1230,3)</f>
        <v>4C4</v>
      </c>
      <c r="H1230" s="8" t="str">
        <f>IF(ROUND(D1230/$B$6,0)&gt;$B$7,"YES","NO")</f>
        <v>NO</v>
      </c>
    </row>
    <row r="1231" spans="1:8">
      <c r="A1231" s="10">
        <v>1221</v>
      </c>
      <c r="B1231" s="11">
        <f>D1230</f>
        <v>1429.6875</v>
      </c>
      <c r="C1231" s="11">
        <f>$B$6</f>
        <v>1.171875</v>
      </c>
      <c r="D1231" s="11">
        <f>B1231+C1231</f>
        <v>1430.859375</v>
      </c>
      <c r="E1231" s="10">
        <f>MIN($B$7,ROUND(D1231/$B$6,0))</f>
        <v>1221</v>
      </c>
      <c r="F1231" s="10" t="str">
        <f>DEC2BIN(INT(E1231/64),5)&amp;DEC2BIN(MOD(E1231,64),6)</f>
        <v>10011000101</v>
      </c>
      <c r="G1231" s="10" t="str">
        <f>DEC2HEX(E1231,3)</f>
        <v>4C5</v>
      </c>
      <c r="H1231" s="10" t="str">
        <f>IF(ROUND(D1231/$B$6,0)&gt;$B$7,"YES","NO")</f>
        <v>NO</v>
      </c>
    </row>
    <row r="1232" spans="1:8">
      <c r="A1232" s="8">
        <v>1222</v>
      </c>
      <c r="B1232" s="9">
        <f>D1231</f>
        <v>1430.859375</v>
      </c>
      <c r="C1232" s="9">
        <f>$B$6</f>
        <v>1.171875</v>
      </c>
      <c r="D1232" s="9">
        <f>B1232+C1232</f>
        <v>1432.03125</v>
      </c>
      <c r="E1232" s="8">
        <f>MIN($B$7,ROUND(D1232/$B$6,0))</f>
        <v>1222</v>
      </c>
      <c r="F1232" s="8" t="str">
        <f>DEC2BIN(INT(E1232/64),5)&amp;DEC2BIN(MOD(E1232,64),6)</f>
        <v>10011000110</v>
      </c>
      <c r="G1232" s="8" t="str">
        <f>DEC2HEX(E1232,3)</f>
        <v>4C6</v>
      </c>
      <c r="H1232" s="8" t="str">
        <f>IF(ROUND(D1232/$B$6,0)&gt;$B$7,"YES","NO")</f>
        <v>NO</v>
      </c>
    </row>
    <row r="1233" spans="1:8">
      <c r="A1233" s="10">
        <v>1223</v>
      </c>
      <c r="B1233" s="11">
        <f>D1232</f>
        <v>1432.03125</v>
      </c>
      <c r="C1233" s="11">
        <f>$B$6</f>
        <v>1.171875</v>
      </c>
      <c r="D1233" s="11">
        <f>B1233+C1233</f>
        <v>1433.203125</v>
      </c>
      <c r="E1233" s="10">
        <f>MIN($B$7,ROUND(D1233/$B$6,0))</f>
        <v>1223</v>
      </c>
      <c r="F1233" s="10" t="str">
        <f>DEC2BIN(INT(E1233/64),5)&amp;DEC2BIN(MOD(E1233,64),6)</f>
        <v>10011000111</v>
      </c>
      <c r="G1233" s="10" t="str">
        <f>DEC2HEX(E1233,3)</f>
        <v>4C7</v>
      </c>
      <c r="H1233" s="10" t="str">
        <f>IF(ROUND(D1233/$B$6,0)&gt;$B$7,"YES","NO")</f>
        <v>NO</v>
      </c>
    </row>
    <row r="1234" spans="1:8">
      <c r="A1234" s="8">
        <v>1224</v>
      </c>
      <c r="B1234" s="9">
        <f>D1233</f>
        <v>1433.203125</v>
      </c>
      <c r="C1234" s="9">
        <f>$B$6</f>
        <v>1.171875</v>
      </c>
      <c r="D1234" s="9">
        <f>B1234+C1234</f>
        <v>1434.375</v>
      </c>
      <c r="E1234" s="8">
        <f>MIN($B$7,ROUND(D1234/$B$6,0))</f>
        <v>1224</v>
      </c>
      <c r="F1234" s="8" t="str">
        <f>DEC2BIN(INT(E1234/64),5)&amp;DEC2BIN(MOD(E1234,64),6)</f>
        <v>10011001000</v>
      </c>
      <c r="G1234" s="8" t="str">
        <f>DEC2HEX(E1234,3)</f>
        <v>4C8</v>
      </c>
      <c r="H1234" s="8" t="str">
        <f>IF(ROUND(D1234/$B$6,0)&gt;$B$7,"YES","NO")</f>
        <v>NO</v>
      </c>
    </row>
    <row r="1235" spans="1:8">
      <c r="A1235" s="10">
        <v>1225</v>
      </c>
      <c r="B1235" s="11">
        <f>D1234</f>
        <v>1434.375</v>
      </c>
      <c r="C1235" s="11">
        <f>$B$6</f>
        <v>1.171875</v>
      </c>
      <c r="D1235" s="11">
        <f>B1235+C1235</f>
        <v>1435.546875</v>
      </c>
      <c r="E1235" s="10">
        <f>MIN($B$7,ROUND(D1235/$B$6,0))</f>
        <v>1225</v>
      </c>
      <c r="F1235" s="10" t="str">
        <f>DEC2BIN(INT(E1235/64),5)&amp;DEC2BIN(MOD(E1235,64),6)</f>
        <v>10011001001</v>
      </c>
      <c r="G1235" s="10" t="str">
        <f>DEC2HEX(E1235,3)</f>
        <v>4C9</v>
      </c>
      <c r="H1235" s="10" t="str">
        <f>IF(ROUND(D1235/$B$6,0)&gt;$B$7,"YES","NO")</f>
        <v>NO</v>
      </c>
    </row>
    <row r="1236" spans="1:8">
      <c r="A1236" s="8">
        <v>1226</v>
      </c>
      <c r="B1236" s="9">
        <f>D1235</f>
        <v>1435.546875</v>
      </c>
      <c r="C1236" s="9">
        <f>$B$6</f>
        <v>1.171875</v>
      </c>
      <c r="D1236" s="9">
        <f>B1236+C1236</f>
        <v>1436.71875</v>
      </c>
      <c r="E1236" s="8">
        <f>MIN($B$7,ROUND(D1236/$B$6,0))</f>
        <v>1226</v>
      </c>
      <c r="F1236" s="8" t="str">
        <f>DEC2BIN(INT(E1236/64),5)&amp;DEC2BIN(MOD(E1236,64),6)</f>
        <v>10011001010</v>
      </c>
      <c r="G1236" s="8" t="str">
        <f>DEC2HEX(E1236,3)</f>
        <v>4CA</v>
      </c>
      <c r="H1236" s="8" t="str">
        <f>IF(ROUND(D1236/$B$6,0)&gt;$B$7,"YES","NO")</f>
        <v>NO</v>
      </c>
    </row>
    <row r="1237" spans="1:8">
      <c r="A1237" s="10">
        <v>1227</v>
      </c>
      <c r="B1237" s="11">
        <f>D1236</f>
        <v>1436.71875</v>
      </c>
      <c r="C1237" s="11">
        <f>$B$6</f>
        <v>1.171875</v>
      </c>
      <c r="D1237" s="11">
        <f>B1237+C1237</f>
        <v>1437.890625</v>
      </c>
      <c r="E1237" s="10">
        <f>MIN($B$7,ROUND(D1237/$B$6,0))</f>
        <v>1227</v>
      </c>
      <c r="F1237" s="10" t="str">
        <f>DEC2BIN(INT(E1237/64),5)&amp;DEC2BIN(MOD(E1237,64),6)</f>
        <v>10011001011</v>
      </c>
      <c r="G1237" s="10" t="str">
        <f>DEC2HEX(E1237,3)</f>
        <v>4CB</v>
      </c>
      <c r="H1237" s="10" t="str">
        <f>IF(ROUND(D1237/$B$6,0)&gt;$B$7,"YES","NO")</f>
        <v>NO</v>
      </c>
    </row>
    <row r="1238" spans="1:8">
      <c r="A1238" s="8">
        <v>1228</v>
      </c>
      <c r="B1238" s="9">
        <f>D1237</f>
        <v>1437.890625</v>
      </c>
      <c r="C1238" s="9">
        <f>$B$6</f>
        <v>1.171875</v>
      </c>
      <c r="D1238" s="9">
        <f>B1238+C1238</f>
        <v>1439.0625</v>
      </c>
      <c r="E1238" s="8">
        <f>MIN($B$7,ROUND(D1238/$B$6,0))</f>
        <v>1228</v>
      </c>
      <c r="F1238" s="8" t="str">
        <f>DEC2BIN(INT(E1238/64),5)&amp;DEC2BIN(MOD(E1238,64),6)</f>
        <v>10011001100</v>
      </c>
      <c r="G1238" s="8" t="str">
        <f>DEC2HEX(E1238,3)</f>
        <v>4CC</v>
      </c>
      <c r="H1238" s="8" t="str">
        <f>IF(ROUND(D1238/$B$6,0)&gt;$B$7,"YES","NO")</f>
        <v>NO</v>
      </c>
    </row>
    <row r="1239" spans="1:8">
      <c r="A1239" s="10">
        <v>1229</v>
      </c>
      <c r="B1239" s="11">
        <f>D1238</f>
        <v>1439.0625</v>
      </c>
      <c r="C1239" s="11">
        <f>$B$6</f>
        <v>1.171875</v>
      </c>
      <c r="D1239" s="11">
        <f>B1239+C1239</f>
        <v>1440.234375</v>
      </c>
      <c r="E1239" s="10">
        <f>MIN($B$7,ROUND(D1239/$B$6,0))</f>
        <v>1229</v>
      </c>
      <c r="F1239" s="10" t="str">
        <f>DEC2BIN(INT(E1239/64),5)&amp;DEC2BIN(MOD(E1239,64),6)</f>
        <v>10011001101</v>
      </c>
      <c r="G1239" s="10" t="str">
        <f>DEC2HEX(E1239,3)</f>
        <v>4CD</v>
      </c>
      <c r="H1239" s="10" t="str">
        <f>IF(ROUND(D1239/$B$6,0)&gt;$B$7,"YES","NO")</f>
        <v>NO</v>
      </c>
    </row>
    <row r="1240" spans="1:8">
      <c r="A1240" s="8">
        <v>1230</v>
      </c>
      <c r="B1240" s="9">
        <f>D1239</f>
        <v>1440.234375</v>
      </c>
      <c r="C1240" s="9">
        <f>$B$6</f>
        <v>1.171875</v>
      </c>
      <c r="D1240" s="9">
        <f>B1240+C1240</f>
        <v>1441.40625</v>
      </c>
      <c r="E1240" s="8">
        <f>MIN($B$7,ROUND(D1240/$B$6,0))</f>
        <v>1230</v>
      </c>
      <c r="F1240" s="8" t="str">
        <f>DEC2BIN(INT(E1240/64),5)&amp;DEC2BIN(MOD(E1240,64),6)</f>
        <v>10011001110</v>
      </c>
      <c r="G1240" s="8" t="str">
        <f>DEC2HEX(E1240,3)</f>
        <v>4CE</v>
      </c>
      <c r="H1240" s="8" t="str">
        <f>IF(ROUND(D1240/$B$6,0)&gt;$B$7,"YES","NO")</f>
        <v>NO</v>
      </c>
    </row>
    <row r="1241" spans="1:8">
      <c r="A1241" s="10">
        <v>1231</v>
      </c>
      <c r="B1241" s="11">
        <f>D1240</f>
        <v>1441.40625</v>
      </c>
      <c r="C1241" s="11">
        <f>$B$6</f>
        <v>1.171875</v>
      </c>
      <c r="D1241" s="11">
        <f>B1241+C1241</f>
        <v>1442.578125</v>
      </c>
      <c r="E1241" s="10">
        <f>MIN($B$7,ROUND(D1241/$B$6,0))</f>
        <v>1231</v>
      </c>
      <c r="F1241" s="10" t="str">
        <f>DEC2BIN(INT(E1241/64),5)&amp;DEC2BIN(MOD(E1241,64),6)</f>
        <v>10011001111</v>
      </c>
      <c r="G1241" s="10" t="str">
        <f>DEC2HEX(E1241,3)</f>
        <v>4CF</v>
      </c>
      <c r="H1241" s="10" t="str">
        <f>IF(ROUND(D1241/$B$6,0)&gt;$B$7,"YES","NO")</f>
        <v>NO</v>
      </c>
    </row>
    <row r="1242" spans="1:8">
      <c r="A1242" s="8">
        <v>1232</v>
      </c>
      <c r="B1242" s="9">
        <f>D1241</f>
        <v>1442.578125</v>
      </c>
      <c r="C1242" s="9">
        <f>$B$6</f>
        <v>1.171875</v>
      </c>
      <c r="D1242" s="9">
        <f>B1242+C1242</f>
        <v>1443.75</v>
      </c>
      <c r="E1242" s="8">
        <f>MIN($B$7,ROUND(D1242/$B$6,0))</f>
        <v>1232</v>
      </c>
      <c r="F1242" s="8" t="str">
        <f>DEC2BIN(INT(E1242/64),5)&amp;DEC2BIN(MOD(E1242,64),6)</f>
        <v>10011010000</v>
      </c>
      <c r="G1242" s="8" t="str">
        <f>DEC2HEX(E1242,3)</f>
        <v>4D0</v>
      </c>
      <c r="H1242" s="8" t="str">
        <f>IF(ROUND(D1242/$B$6,0)&gt;$B$7,"YES","NO")</f>
        <v>NO</v>
      </c>
    </row>
    <row r="1243" spans="1:8">
      <c r="A1243" s="10">
        <v>1233</v>
      </c>
      <c r="B1243" s="11">
        <f>D1242</f>
        <v>1443.75</v>
      </c>
      <c r="C1243" s="11">
        <f>$B$6</f>
        <v>1.171875</v>
      </c>
      <c r="D1243" s="11">
        <f>B1243+C1243</f>
        <v>1444.921875</v>
      </c>
      <c r="E1243" s="10">
        <f>MIN($B$7,ROUND(D1243/$B$6,0))</f>
        <v>1233</v>
      </c>
      <c r="F1243" s="10" t="str">
        <f>DEC2BIN(INT(E1243/64),5)&amp;DEC2BIN(MOD(E1243,64),6)</f>
        <v>10011010001</v>
      </c>
      <c r="G1243" s="10" t="str">
        <f>DEC2HEX(E1243,3)</f>
        <v>4D1</v>
      </c>
      <c r="H1243" s="10" t="str">
        <f>IF(ROUND(D1243/$B$6,0)&gt;$B$7,"YES","NO")</f>
        <v>NO</v>
      </c>
    </row>
    <row r="1244" spans="1:8">
      <c r="A1244" s="8">
        <v>1234</v>
      </c>
      <c r="B1244" s="9">
        <f>D1243</f>
        <v>1444.921875</v>
      </c>
      <c r="C1244" s="9">
        <f>$B$6</f>
        <v>1.171875</v>
      </c>
      <c r="D1244" s="9">
        <f>B1244+C1244</f>
        <v>1446.09375</v>
      </c>
      <c r="E1244" s="8">
        <f>MIN($B$7,ROUND(D1244/$B$6,0))</f>
        <v>1234</v>
      </c>
      <c r="F1244" s="8" t="str">
        <f>DEC2BIN(INT(E1244/64),5)&amp;DEC2BIN(MOD(E1244,64),6)</f>
        <v>10011010010</v>
      </c>
      <c r="G1244" s="8" t="str">
        <f>DEC2HEX(E1244,3)</f>
        <v>4D2</v>
      </c>
      <c r="H1244" s="8" t="str">
        <f>IF(ROUND(D1244/$B$6,0)&gt;$B$7,"YES","NO")</f>
        <v>NO</v>
      </c>
    </row>
    <row r="1245" spans="1:8">
      <c r="A1245" s="10">
        <v>1235</v>
      </c>
      <c r="B1245" s="11">
        <f>D1244</f>
        <v>1446.09375</v>
      </c>
      <c r="C1245" s="11">
        <f>$B$6</f>
        <v>1.171875</v>
      </c>
      <c r="D1245" s="11">
        <f>B1245+C1245</f>
        <v>1447.265625</v>
      </c>
      <c r="E1245" s="10">
        <f>MIN($B$7,ROUND(D1245/$B$6,0))</f>
        <v>1235</v>
      </c>
      <c r="F1245" s="10" t="str">
        <f>DEC2BIN(INT(E1245/64),5)&amp;DEC2BIN(MOD(E1245,64),6)</f>
        <v>10011010011</v>
      </c>
      <c r="G1245" s="10" t="str">
        <f>DEC2HEX(E1245,3)</f>
        <v>4D3</v>
      </c>
      <c r="H1245" s="10" t="str">
        <f>IF(ROUND(D1245/$B$6,0)&gt;$B$7,"YES","NO")</f>
        <v>NO</v>
      </c>
    </row>
    <row r="1246" spans="1:8">
      <c r="A1246" s="8">
        <v>1236</v>
      </c>
      <c r="B1246" s="9">
        <f>D1245</f>
        <v>1447.265625</v>
      </c>
      <c r="C1246" s="9">
        <f>$B$6</f>
        <v>1.171875</v>
      </c>
      <c r="D1246" s="9">
        <f>B1246+C1246</f>
        <v>1448.4375</v>
      </c>
      <c r="E1246" s="8">
        <f>MIN($B$7,ROUND(D1246/$B$6,0))</f>
        <v>1236</v>
      </c>
      <c r="F1246" s="8" t="str">
        <f>DEC2BIN(INT(E1246/64),5)&amp;DEC2BIN(MOD(E1246,64),6)</f>
        <v>10011010100</v>
      </c>
      <c r="G1246" s="8" t="str">
        <f>DEC2HEX(E1246,3)</f>
        <v>4D4</v>
      </c>
      <c r="H1246" s="8" t="str">
        <f>IF(ROUND(D1246/$B$6,0)&gt;$B$7,"YES","NO")</f>
        <v>NO</v>
      </c>
    </row>
    <row r="1247" spans="1:8">
      <c r="A1247" s="10">
        <v>1237</v>
      </c>
      <c r="B1247" s="11">
        <f>D1246</f>
        <v>1448.4375</v>
      </c>
      <c r="C1247" s="11">
        <f>$B$6</f>
        <v>1.171875</v>
      </c>
      <c r="D1247" s="11">
        <f>B1247+C1247</f>
        <v>1449.609375</v>
      </c>
      <c r="E1247" s="10">
        <f>MIN($B$7,ROUND(D1247/$B$6,0))</f>
        <v>1237</v>
      </c>
      <c r="F1247" s="10" t="str">
        <f>DEC2BIN(INT(E1247/64),5)&amp;DEC2BIN(MOD(E1247,64),6)</f>
        <v>10011010101</v>
      </c>
      <c r="G1247" s="10" t="str">
        <f>DEC2HEX(E1247,3)</f>
        <v>4D5</v>
      </c>
      <c r="H1247" s="10" t="str">
        <f>IF(ROUND(D1247/$B$6,0)&gt;$B$7,"YES","NO")</f>
        <v>NO</v>
      </c>
    </row>
    <row r="1248" spans="1:8">
      <c r="A1248" s="8">
        <v>1238</v>
      </c>
      <c r="B1248" s="9">
        <f>D1247</f>
        <v>1449.609375</v>
      </c>
      <c r="C1248" s="9">
        <f>$B$6</f>
        <v>1.171875</v>
      </c>
      <c r="D1248" s="9">
        <f>B1248+C1248</f>
        <v>1450.78125</v>
      </c>
      <c r="E1248" s="8">
        <f>MIN($B$7,ROUND(D1248/$B$6,0))</f>
        <v>1238</v>
      </c>
      <c r="F1248" s="8" t="str">
        <f>DEC2BIN(INT(E1248/64),5)&amp;DEC2BIN(MOD(E1248,64),6)</f>
        <v>10011010110</v>
      </c>
      <c r="G1248" s="8" t="str">
        <f>DEC2HEX(E1248,3)</f>
        <v>4D6</v>
      </c>
      <c r="H1248" s="8" t="str">
        <f>IF(ROUND(D1248/$B$6,0)&gt;$B$7,"YES","NO")</f>
        <v>NO</v>
      </c>
    </row>
    <row r="1249" spans="1:8">
      <c r="A1249" s="10">
        <v>1239</v>
      </c>
      <c r="B1249" s="11">
        <f>D1248</f>
        <v>1450.78125</v>
      </c>
      <c r="C1249" s="11">
        <f>$B$6</f>
        <v>1.171875</v>
      </c>
      <c r="D1249" s="11">
        <f>B1249+C1249</f>
        <v>1451.953125</v>
      </c>
      <c r="E1249" s="10">
        <f>MIN($B$7,ROUND(D1249/$B$6,0))</f>
        <v>1239</v>
      </c>
      <c r="F1249" s="10" t="str">
        <f>DEC2BIN(INT(E1249/64),5)&amp;DEC2BIN(MOD(E1249,64),6)</f>
        <v>10011010111</v>
      </c>
      <c r="G1249" s="10" t="str">
        <f>DEC2HEX(E1249,3)</f>
        <v>4D7</v>
      </c>
      <c r="H1249" s="10" t="str">
        <f>IF(ROUND(D1249/$B$6,0)&gt;$B$7,"YES","NO")</f>
        <v>NO</v>
      </c>
    </row>
    <row r="1250" spans="1:8">
      <c r="A1250" s="8">
        <v>1240</v>
      </c>
      <c r="B1250" s="9">
        <f>D1249</f>
        <v>1451.953125</v>
      </c>
      <c r="C1250" s="9">
        <f>$B$6</f>
        <v>1.171875</v>
      </c>
      <c r="D1250" s="9">
        <f>B1250+C1250</f>
        <v>1453.125</v>
      </c>
      <c r="E1250" s="8">
        <f>MIN($B$7,ROUND(D1250/$B$6,0))</f>
        <v>1240</v>
      </c>
      <c r="F1250" s="8" t="str">
        <f>DEC2BIN(INT(E1250/64),5)&amp;DEC2BIN(MOD(E1250,64),6)</f>
        <v>10011011000</v>
      </c>
      <c r="G1250" s="8" t="str">
        <f>DEC2HEX(E1250,3)</f>
        <v>4D8</v>
      </c>
      <c r="H1250" s="8" t="str">
        <f>IF(ROUND(D1250/$B$6,0)&gt;$B$7,"YES","NO")</f>
        <v>NO</v>
      </c>
    </row>
    <row r="1251" spans="1:8">
      <c r="A1251" s="10">
        <v>1241</v>
      </c>
      <c r="B1251" s="11">
        <f>D1250</f>
        <v>1453.125</v>
      </c>
      <c r="C1251" s="11">
        <f>$B$6</f>
        <v>1.171875</v>
      </c>
      <c r="D1251" s="11">
        <f>B1251+C1251</f>
        <v>1454.296875</v>
      </c>
      <c r="E1251" s="10">
        <f>MIN($B$7,ROUND(D1251/$B$6,0))</f>
        <v>1241</v>
      </c>
      <c r="F1251" s="10" t="str">
        <f>DEC2BIN(INT(E1251/64),5)&amp;DEC2BIN(MOD(E1251,64),6)</f>
        <v>10011011001</v>
      </c>
      <c r="G1251" s="10" t="str">
        <f>DEC2HEX(E1251,3)</f>
        <v>4D9</v>
      </c>
      <c r="H1251" s="10" t="str">
        <f>IF(ROUND(D1251/$B$6,0)&gt;$B$7,"YES","NO")</f>
        <v>NO</v>
      </c>
    </row>
    <row r="1252" spans="1:8">
      <c r="A1252" s="8">
        <v>1242</v>
      </c>
      <c r="B1252" s="9">
        <f>D1251</f>
        <v>1454.296875</v>
      </c>
      <c r="C1252" s="9">
        <f>$B$6</f>
        <v>1.171875</v>
      </c>
      <c r="D1252" s="9">
        <f>B1252+C1252</f>
        <v>1455.46875</v>
      </c>
      <c r="E1252" s="8">
        <f>MIN($B$7,ROUND(D1252/$B$6,0))</f>
        <v>1242</v>
      </c>
      <c r="F1252" s="8" t="str">
        <f>DEC2BIN(INT(E1252/64),5)&amp;DEC2BIN(MOD(E1252,64),6)</f>
        <v>10011011010</v>
      </c>
      <c r="G1252" s="8" t="str">
        <f>DEC2HEX(E1252,3)</f>
        <v>4DA</v>
      </c>
      <c r="H1252" s="8" t="str">
        <f>IF(ROUND(D1252/$B$6,0)&gt;$B$7,"YES","NO")</f>
        <v>NO</v>
      </c>
    </row>
    <row r="1253" spans="1:8">
      <c r="A1253" s="10">
        <v>1243</v>
      </c>
      <c r="B1253" s="11">
        <f>D1252</f>
        <v>1455.46875</v>
      </c>
      <c r="C1253" s="11">
        <f>$B$6</f>
        <v>1.171875</v>
      </c>
      <c r="D1253" s="11">
        <f>B1253+C1253</f>
        <v>1456.640625</v>
      </c>
      <c r="E1253" s="10">
        <f>MIN($B$7,ROUND(D1253/$B$6,0))</f>
        <v>1243</v>
      </c>
      <c r="F1253" s="10" t="str">
        <f>DEC2BIN(INT(E1253/64),5)&amp;DEC2BIN(MOD(E1253,64),6)</f>
        <v>10011011011</v>
      </c>
      <c r="G1253" s="10" t="str">
        <f>DEC2HEX(E1253,3)</f>
        <v>4DB</v>
      </c>
      <c r="H1253" s="10" t="str">
        <f>IF(ROUND(D1253/$B$6,0)&gt;$B$7,"YES","NO")</f>
        <v>NO</v>
      </c>
    </row>
    <row r="1254" spans="1:8">
      <c r="A1254" s="8">
        <v>1244</v>
      </c>
      <c r="B1254" s="9">
        <f>D1253</f>
        <v>1456.640625</v>
      </c>
      <c r="C1254" s="9">
        <f>$B$6</f>
        <v>1.171875</v>
      </c>
      <c r="D1254" s="9">
        <f>B1254+C1254</f>
        <v>1457.8125</v>
      </c>
      <c r="E1254" s="8">
        <f>MIN($B$7,ROUND(D1254/$B$6,0))</f>
        <v>1244</v>
      </c>
      <c r="F1254" s="8" t="str">
        <f>DEC2BIN(INT(E1254/64),5)&amp;DEC2BIN(MOD(E1254,64),6)</f>
        <v>10011011100</v>
      </c>
      <c r="G1254" s="8" t="str">
        <f>DEC2HEX(E1254,3)</f>
        <v>4DC</v>
      </c>
      <c r="H1254" s="8" t="str">
        <f>IF(ROUND(D1254/$B$6,0)&gt;$B$7,"YES","NO")</f>
        <v>NO</v>
      </c>
    </row>
    <row r="1255" spans="1:8">
      <c r="A1255" s="10">
        <v>1245</v>
      </c>
      <c r="B1255" s="11">
        <f>D1254</f>
        <v>1457.8125</v>
      </c>
      <c r="C1255" s="11">
        <f>$B$6</f>
        <v>1.171875</v>
      </c>
      <c r="D1255" s="11">
        <f>B1255+C1255</f>
        <v>1458.984375</v>
      </c>
      <c r="E1255" s="10">
        <f>MIN($B$7,ROUND(D1255/$B$6,0))</f>
        <v>1245</v>
      </c>
      <c r="F1255" s="10" t="str">
        <f>DEC2BIN(INT(E1255/64),5)&amp;DEC2BIN(MOD(E1255,64),6)</f>
        <v>10011011101</v>
      </c>
      <c r="G1255" s="10" t="str">
        <f>DEC2HEX(E1255,3)</f>
        <v>4DD</v>
      </c>
      <c r="H1255" s="10" t="str">
        <f>IF(ROUND(D1255/$B$6,0)&gt;$B$7,"YES","NO")</f>
        <v>NO</v>
      </c>
    </row>
    <row r="1256" spans="1:8">
      <c r="A1256" s="8">
        <v>1246</v>
      </c>
      <c r="B1256" s="9">
        <f>D1255</f>
        <v>1458.984375</v>
      </c>
      <c r="C1256" s="9">
        <f>$B$6</f>
        <v>1.171875</v>
      </c>
      <c r="D1256" s="9">
        <f>B1256+C1256</f>
        <v>1460.15625</v>
      </c>
      <c r="E1256" s="8">
        <f>MIN($B$7,ROUND(D1256/$B$6,0))</f>
        <v>1246</v>
      </c>
      <c r="F1256" s="8" t="str">
        <f>DEC2BIN(INT(E1256/64),5)&amp;DEC2BIN(MOD(E1256,64),6)</f>
        <v>10011011110</v>
      </c>
      <c r="G1256" s="8" t="str">
        <f>DEC2HEX(E1256,3)</f>
        <v>4DE</v>
      </c>
      <c r="H1256" s="8" t="str">
        <f>IF(ROUND(D1256/$B$6,0)&gt;$B$7,"YES","NO")</f>
        <v>NO</v>
      </c>
    </row>
    <row r="1257" spans="1:8">
      <c r="A1257" s="10">
        <v>1247</v>
      </c>
      <c r="B1257" s="11">
        <f>D1256</f>
        <v>1460.15625</v>
      </c>
      <c r="C1257" s="11">
        <f>$B$6</f>
        <v>1.171875</v>
      </c>
      <c r="D1257" s="11">
        <f>B1257+C1257</f>
        <v>1461.328125</v>
      </c>
      <c r="E1257" s="10">
        <f>MIN($B$7,ROUND(D1257/$B$6,0))</f>
        <v>1247</v>
      </c>
      <c r="F1257" s="10" t="str">
        <f>DEC2BIN(INT(E1257/64),5)&amp;DEC2BIN(MOD(E1257,64),6)</f>
        <v>10011011111</v>
      </c>
      <c r="G1257" s="10" t="str">
        <f>DEC2HEX(E1257,3)</f>
        <v>4DF</v>
      </c>
      <c r="H1257" s="10" t="str">
        <f>IF(ROUND(D1257/$B$6,0)&gt;$B$7,"YES","NO")</f>
        <v>NO</v>
      </c>
    </row>
    <row r="1258" spans="1:8">
      <c r="A1258" s="8">
        <v>1248</v>
      </c>
      <c r="B1258" s="9">
        <f>D1257</f>
        <v>1461.328125</v>
      </c>
      <c r="C1258" s="9">
        <f>$B$6</f>
        <v>1.171875</v>
      </c>
      <c r="D1258" s="9">
        <f>B1258+C1258</f>
        <v>1462.5</v>
      </c>
      <c r="E1258" s="8">
        <f>MIN($B$7,ROUND(D1258/$B$6,0))</f>
        <v>1248</v>
      </c>
      <c r="F1258" s="8" t="str">
        <f>DEC2BIN(INT(E1258/64),5)&amp;DEC2BIN(MOD(E1258,64),6)</f>
        <v>10011100000</v>
      </c>
      <c r="G1258" s="8" t="str">
        <f>DEC2HEX(E1258,3)</f>
        <v>4E0</v>
      </c>
      <c r="H1258" s="8" t="str">
        <f>IF(ROUND(D1258/$B$6,0)&gt;$B$7,"YES","NO")</f>
        <v>NO</v>
      </c>
    </row>
    <row r="1259" spans="1:8">
      <c r="A1259" s="10">
        <v>1249</v>
      </c>
      <c r="B1259" s="11">
        <f>D1258</f>
        <v>1462.5</v>
      </c>
      <c r="C1259" s="11">
        <f>$B$6</f>
        <v>1.171875</v>
      </c>
      <c r="D1259" s="11">
        <f>B1259+C1259</f>
        <v>1463.671875</v>
      </c>
      <c r="E1259" s="10">
        <f>MIN($B$7,ROUND(D1259/$B$6,0))</f>
        <v>1249</v>
      </c>
      <c r="F1259" s="10" t="str">
        <f>DEC2BIN(INT(E1259/64),5)&amp;DEC2BIN(MOD(E1259,64),6)</f>
        <v>10011100001</v>
      </c>
      <c r="G1259" s="10" t="str">
        <f>DEC2HEX(E1259,3)</f>
        <v>4E1</v>
      </c>
      <c r="H1259" s="10" t="str">
        <f>IF(ROUND(D1259/$B$6,0)&gt;$B$7,"YES","NO")</f>
        <v>NO</v>
      </c>
    </row>
    <row r="1260" spans="1:8">
      <c r="A1260" s="8">
        <v>1250</v>
      </c>
      <c r="B1260" s="9">
        <f>D1259</f>
        <v>1463.671875</v>
      </c>
      <c r="C1260" s="9">
        <f>$B$6</f>
        <v>1.171875</v>
      </c>
      <c r="D1260" s="9">
        <f>B1260+C1260</f>
        <v>1464.84375</v>
      </c>
      <c r="E1260" s="8">
        <f>MIN($B$7,ROUND(D1260/$B$6,0))</f>
        <v>1250</v>
      </c>
      <c r="F1260" s="8" t="str">
        <f>DEC2BIN(INT(E1260/64),5)&amp;DEC2BIN(MOD(E1260,64),6)</f>
        <v>10011100010</v>
      </c>
      <c r="G1260" s="8" t="str">
        <f>DEC2HEX(E1260,3)</f>
        <v>4E2</v>
      </c>
      <c r="H1260" s="8" t="str">
        <f>IF(ROUND(D1260/$B$6,0)&gt;$B$7,"YES","NO")</f>
        <v>NO</v>
      </c>
    </row>
    <row r="1261" spans="1:8">
      <c r="A1261" s="10">
        <v>1251</v>
      </c>
      <c r="B1261" s="11">
        <f>D1260</f>
        <v>1464.84375</v>
      </c>
      <c r="C1261" s="11">
        <f>$B$6</f>
        <v>1.171875</v>
      </c>
      <c r="D1261" s="11">
        <f>B1261+C1261</f>
        <v>1466.015625</v>
      </c>
      <c r="E1261" s="10">
        <f>MIN($B$7,ROUND(D1261/$B$6,0))</f>
        <v>1251</v>
      </c>
      <c r="F1261" s="10" t="str">
        <f>DEC2BIN(INT(E1261/64),5)&amp;DEC2BIN(MOD(E1261,64),6)</f>
        <v>10011100011</v>
      </c>
      <c r="G1261" s="10" t="str">
        <f>DEC2HEX(E1261,3)</f>
        <v>4E3</v>
      </c>
      <c r="H1261" s="10" t="str">
        <f>IF(ROUND(D1261/$B$6,0)&gt;$B$7,"YES","NO")</f>
        <v>NO</v>
      </c>
    </row>
    <row r="1262" spans="1:8">
      <c r="A1262" s="8">
        <v>1252</v>
      </c>
      <c r="B1262" s="9">
        <f>D1261</f>
        <v>1466.015625</v>
      </c>
      <c r="C1262" s="9">
        <f>$B$6</f>
        <v>1.171875</v>
      </c>
      <c r="D1262" s="9">
        <f>B1262+C1262</f>
        <v>1467.1875</v>
      </c>
      <c r="E1262" s="8">
        <f>MIN($B$7,ROUND(D1262/$B$6,0))</f>
        <v>1252</v>
      </c>
      <c r="F1262" s="8" t="str">
        <f>DEC2BIN(INT(E1262/64),5)&amp;DEC2BIN(MOD(E1262,64),6)</f>
        <v>10011100100</v>
      </c>
      <c r="G1262" s="8" t="str">
        <f>DEC2HEX(E1262,3)</f>
        <v>4E4</v>
      </c>
      <c r="H1262" s="8" t="str">
        <f>IF(ROUND(D1262/$B$6,0)&gt;$B$7,"YES","NO")</f>
        <v>NO</v>
      </c>
    </row>
    <row r="1263" spans="1:8">
      <c r="A1263" s="10">
        <v>1253</v>
      </c>
      <c r="B1263" s="11">
        <f>D1262</f>
        <v>1467.1875</v>
      </c>
      <c r="C1263" s="11">
        <f>$B$6</f>
        <v>1.171875</v>
      </c>
      <c r="D1263" s="11">
        <f>B1263+C1263</f>
        <v>1468.359375</v>
      </c>
      <c r="E1263" s="10">
        <f>MIN($B$7,ROUND(D1263/$B$6,0))</f>
        <v>1253</v>
      </c>
      <c r="F1263" s="10" t="str">
        <f>DEC2BIN(INT(E1263/64),5)&amp;DEC2BIN(MOD(E1263,64),6)</f>
        <v>10011100101</v>
      </c>
      <c r="G1263" s="10" t="str">
        <f>DEC2HEX(E1263,3)</f>
        <v>4E5</v>
      </c>
      <c r="H1263" s="10" t="str">
        <f>IF(ROUND(D1263/$B$6,0)&gt;$B$7,"YES","NO")</f>
        <v>NO</v>
      </c>
    </row>
    <row r="1264" spans="1:8">
      <c r="A1264" s="8">
        <v>1254</v>
      </c>
      <c r="B1264" s="9">
        <f>D1263</f>
        <v>1468.359375</v>
      </c>
      <c r="C1264" s="9">
        <f>$B$6</f>
        <v>1.171875</v>
      </c>
      <c r="D1264" s="9">
        <f>B1264+C1264</f>
        <v>1469.53125</v>
      </c>
      <c r="E1264" s="8">
        <f>MIN($B$7,ROUND(D1264/$B$6,0))</f>
        <v>1254</v>
      </c>
      <c r="F1264" s="8" t="str">
        <f>DEC2BIN(INT(E1264/64),5)&amp;DEC2BIN(MOD(E1264,64),6)</f>
        <v>10011100110</v>
      </c>
      <c r="G1264" s="8" t="str">
        <f>DEC2HEX(E1264,3)</f>
        <v>4E6</v>
      </c>
      <c r="H1264" s="8" t="str">
        <f>IF(ROUND(D1264/$B$6,0)&gt;$B$7,"YES","NO")</f>
        <v>NO</v>
      </c>
    </row>
    <row r="1265" spans="1:8">
      <c r="A1265" s="10">
        <v>1255</v>
      </c>
      <c r="B1265" s="11">
        <f>D1264</f>
        <v>1469.53125</v>
      </c>
      <c r="C1265" s="11">
        <f>$B$6</f>
        <v>1.171875</v>
      </c>
      <c r="D1265" s="11">
        <f>B1265+C1265</f>
        <v>1470.703125</v>
      </c>
      <c r="E1265" s="10">
        <f>MIN($B$7,ROUND(D1265/$B$6,0))</f>
        <v>1255</v>
      </c>
      <c r="F1265" s="10" t="str">
        <f>DEC2BIN(INT(E1265/64),5)&amp;DEC2BIN(MOD(E1265,64),6)</f>
        <v>10011100111</v>
      </c>
      <c r="G1265" s="10" t="str">
        <f>DEC2HEX(E1265,3)</f>
        <v>4E7</v>
      </c>
      <c r="H1265" s="10" t="str">
        <f>IF(ROUND(D1265/$B$6,0)&gt;$B$7,"YES","NO")</f>
        <v>NO</v>
      </c>
    </row>
    <row r="1266" spans="1:8">
      <c r="A1266" s="8">
        <v>1256</v>
      </c>
      <c r="B1266" s="9">
        <f>D1265</f>
        <v>1470.703125</v>
      </c>
      <c r="C1266" s="9">
        <f>$B$6</f>
        <v>1.171875</v>
      </c>
      <c r="D1266" s="9">
        <f>B1266+C1266</f>
        <v>1471.875</v>
      </c>
      <c r="E1266" s="8">
        <f>MIN($B$7,ROUND(D1266/$B$6,0))</f>
        <v>1256</v>
      </c>
      <c r="F1266" s="8" t="str">
        <f>DEC2BIN(INT(E1266/64),5)&amp;DEC2BIN(MOD(E1266,64),6)</f>
        <v>10011101000</v>
      </c>
      <c r="G1266" s="8" t="str">
        <f>DEC2HEX(E1266,3)</f>
        <v>4E8</v>
      </c>
      <c r="H1266" s="8" t="str">
        <f>IF(ROUND(D1266/$B$6,0)&gt;$B$7,"YES","NO")</f>
        <v>NO</v>
      </c>
    </row>
    <row r="1267" spans="1:8">
      <c r="A1267" s="10">
        <v>1257</v>
      </c>
      <c r="B1267" s="11">
        <f>D1266</f>
        <v>1471.875</v>
      </c>
      <c r="C1267" s="11">
        <f>$B$6</f>
        <v>1.171875</v>
      </c>
      <c r="D1267" s="11">
        <f>B1267+C1267</f>
        <v>1473.046875</v>
      </c>
      <c r="E1267" s="10">
        <f>MIN($B$7,ROUND(D1267/$B$6,0))</f>
        <v>1257</v>
      </c>
      <c r="F1267" s="10" t="str">
        <f>DEC2BIN(INT(E1267/64),5)&amp;DEC2BIN(MOD(E1267,64),6)</f>
        <v>10011101001</v>
      </c>
      <c r="G1267" s="10" t="str">
        <f>DEC2HEX(E1267,3)</f>
        <v>4E9</v>
      </c>
      <c r="H1267" s="10" t="str">
        <f>IF(ROUND(D1267/$B$6,0)&gt;$B$7,"YES","NO")</f>
        <v>NO</v>
      </c>
    </row>
    <row r="1268" spans="1:8">
      <c r="A1268" s="8">
        <v>1258</v>
      </c>
      <c r="B1268" s="9">
        <f>D1267</f>
        <v>1473.046875</v>
      </c>
      <c r="C1268" s="9">
        <f>$B$6</f>
        <v>1.171875</v>
      </c>
      <c r="D1268" s="9">
        <f>B1268+C1268</f>
        <v>1474.21875</v>
      </c>
      <c r="E1268" s="8">
        <f>MIN($B$7,ROUND(D1268/$B$6,0))</f>
        <v>1258</v>
      </c>
      <c r="F1268" s="8" t="str">
        <f>DEC2BIN(INT(E1268/64),5)&amp;DEC2BIN(MOD(E1268,64),6)</f>
        <v>10011101010</v>
      </c>
      <c r="G1268" s="8" t="str">
        <f>DEC2HEX(E1268,3)</f>
        <v>4EA</v>
      </c>
      <c r="H1268" s="8" t="str">
        <f>IF(ROUND(D1268/$B$6,0)&gt;$B$7,"YES","NO")</f>
        <v>NO</v>
      </c>
    </row>
    <row r="1269" spans="1:8">
      <c r="A1269" s="10">
        <v>1259</v>
      </c>
      <c r="B1269" s="11">
        <f>D1268</f>
        <v>1474.21875</v>
      </c>
      <c r="C1269" s="11">
        <f>$B$6</f>
        <v>1.171875</v>
      </c>
      <c r="D1269" s="11">
        <f>B1269+C1269</f>
        <v>1475.390625</v>
      </c>
      <c r="E1269" s="10">
        <f>MIN($B$7,ROUND(D1269/$B$6,0))</f>
        <v>1259</v>
      </c>
      <c r="F1269" s="10" t="str">
        <f>DEC2BIN(INT(E1269/64),5)&amp;DEC2BIN(MOD(E1269,64),6)</f>
        <v>10011101011</v>
      </c>
      <c r="G1269" s="10" t="str">
        <f>DEC2HEX(E1269,3)</f>
        <v>4EB</v>
      </c>
      <c r="H1269" s="10" t="str">
        <f>IF(ROUND(D1269/$B$6,0)&gt;$B$7,"YES","NO")</f>
        <v>NO</v>
      </c>
    </row>
    <row r="1270" spans="1:8">
      <c r="A1270" s="8">
        <v>1260</v>
      </c>
      <c r="B1270" s="9">
        <f>D1269</f>
        <v>1475.390625</v>
      </c>
      <c r="C1270" s="9">
        <f>$B$6</f>
        <v>1.171875</v>
      </c>
      <c r="D1270" s="9">
        <f>B1270+C1270</f>
        <v>1476.5625</v>
      </c>
      <c r="E1270" s="8">
        <f>MIN($B$7,ROUND(D1270/$B$6,0))</f>
        <v>1260</v>
      </c>
      <c r="F1270" s="8" t="str">
        <f>DEC2BIN(INT(E1270/64),5)&amp;DEC2BIN(MOD(E1270,64),6)</f>
        <v>10011101100</v>
      </c>
      <c r="G1270" s="8" t="str">
        <f>DEC2HEX(E1270,3)</f>
        <v>4EC</v>
      </c>
      <c r="H1270" s="8" t="str">
        <f>IF(ROUND(D1270/$B$6,0)&gt;$B$7,"YES","NO")</f>
        <v>NO</v>
      </c>
    </row>
    <row r="1271" spans="1:8">
      <c r="A1271" s="10">
        <v>1261</v>
      </c>
      <c r="B1271" s="11">
        <f>D1270</f>
        <v>1476.5625</v>
      </c>
      <c r="C1271" s="11">
        <f>$B$6</f>
        <v>1.171875</v>
      </c>
      <c r="D1271" s="11">
        <f>B1271+C1271</f>
        <v>1477.734375</v>
      </c>
      <c r="E1271" s="10">
        <f>MIN($B$7,ROUND(D1271/$B$6,0))</f>
        <v>1261</v>
      </c>
      <c r="F1271" s="10" t="str">
        <f>DEC2BIN(INT(E1271/64),5)&amp;DEC2BIN(MOD(E1271,64),6)</f>
        <v>10011101101</v>
      </c>
      <c r="G1271" s="10" t="str">
        <f>DEC2HEX(E1271,3)</f>
        <v>4ED</v>
      </c>
      <c r="H1271" s="10" t="str">
        <f>IF(ROUND(D1271/$B$6,0)&gt;$B$7,"YES","NO")</f>
        <v>NO</v>
      </c>
    </row>
    <row r="1272" spans="1:8">
      <c r="A1272" s="8">
        <v>1262</v>
      </c>
      <c r="B1272" s="9">
        <f>D1271</f>
        <v>1477.734375</v>
      </c>
      <c r="C1272" s="9">
        <f>$B$6</f>
        <v>1.171875</v>
      </c>
      <c r="D1272" s="9">
        <f>B1272+C1272</f>
        <v>1478.90625</v>
      </c>
      <c r="E1272" s="8">
        <f>MIN($B$7,ROUND(D1272/$B$6,0))</f>
        <v>1262</v>
      </c>
      <c r="F1272" s="8" t="str">
        <f>DEC2BIN(INT(E1272/64),5)&amp;DEC2BIN(MOD(E1272,64),6)</f>
        <v>10011101110</v>
      </c>
      <c r="G1272" s="8" t="str">
        <f>DEC2HEX(E1272,3)</f>
        <v>4EE</v>
      </c>
      <c r="H1272" s="8" t="str">
        <f>IF(ROUND(D1272/$B$6,0)&gt;$B$7,"YES","NO")</f>
        <v>NO</v>
      </c>
    </row>
    <row r="1273" spans="1:8">
      <c r="A1273" s="10">
        <v>1263</v>
      </c>
      <c r="B1273" s="11">
        <f>D1272</f>
        <v>1478.90625</v>
      </c>
      <c r="C1273" s="11">
        <f>$B$6</f>
        <v>1.171875</v>
      </c>
      <c r="D1273" s="11">
        <f>B1273+C1273</f>
        <v>1480.078125</v>
      </c>
      <c r="E1273" s="10">
        <f>MIN($B$7,ROUND(D1273/$B$6,0))</f>
        <v>1263</v>
      </c>
      <c r="F1273" s="10" t="str">
        <f>DEC2BIN(INT(E1273/64),5)&amp;DEC2BIN(MOD(E1273,64),6)</f>
        <v>10011101111</v>
      </c>
      <c r="G1273" s="10" t="str">
        <f>DEC2HEX(E1273,3)</f>
        <v>4EF</v>
      </c>
      <c r="H1273" s="10" t="str">
        <f>IF(ROUND(D1273/$B$6,0)&gt;$B$7,"YES","NO")</f>
        <v>NO</v>
      </c>
    </row>
    <row r="1274" spans="1:8">
      <c r="A1274" s="8">
        <v>1264</v>
      </c>
      <c r="B1274" s="9">
        <f>D1273</f>
        <v>1480.078125</v>
      </c>
      <c r="C1274" s="9">
        <f>$B$6</f>
        <v>1.171875</v>
      </c>
      <c r="D1274" s="9">
        <f>B1274+C1274</f>
        <v>1481.25</v>
      </c>
      <c r="E1274" s="8">
        <f>MIN($B$7,ROUND(D1274/$B$6,0))</f>
        <v>1264</v>
      </c>
      <c r="F1274" s="8" t="str">
        <f>DEC2BIN(INT(E1274/64),5)&amp;DEC2BIN(MOD(E1274,64),6)</f>
        <v>10011110000</v>
      </c>
      <c r="G1274" s="8" t="str">
        <f>DEC2HEX(E1274,3)</f>
        <v>4F0</v>
      </c>
      <c r="H1274" s="8" t="str">
        <f>IF(ROUND(D1274/$B$6,0)&gt;$B$7,"YES","NO")</f>
        <v>NO</v>
      </c>
    </row>
    <row r="1275" spans="1:8">
      <c r="A1275" s="10">
        <v>1265</v>
      </c>
      <c r="B1275" s="11">
        <f>D1274</f>
        <v>1481.25</v>
      </c>
      <c r="C1275" s="11">
        <f>$B$6</f>
        <v>1.171875</v>
      </c>
      <c r="D1275" s="11">
        <f>B1275+C1275</f>
        <v>1482.421875</v>
      </c>
      <c r="E1275" s="10">
        <f>MIN($B$7,ROUND(D1275/$B$6,0))</f>
        <v>1265</v>
      </c>
      <c r="F1275" s="10" t="str">
        <f>DEC2BIN(INT(E1275/64),5)&amp;DEC2BIN(MOD(E1275,64),6)</f>
        <v>10011110001</v>
      </c>
      <c r="G1275" s="10" t="str">
        <f>DEC2HEX(E1275,3)</f>
        <v>4F1</v>
      </c>
      <c r="H1275" s="10" t="str">
        <f>IF(ROUND(D1275/$B$6,0)&gt;$B$7,"YES","NO")</f>
        <v>NO</v>
      </c>
    </row>
    <row r="1276" spans="1:8">
      <c r="A1276" s="8">
        <v>1266</v>
      </c>
      <c r="B1276" s="9">
        <f>D1275</f>
        <v>1482.421875</v>
      </c>
      <c r="C1276" s="9">
        <f>$B$6</f>
        <v>1.171875</v>
      </c>
      <c r="D1276" s="9">
        <f>B1276+C1276</f>
        <v>1483.59375</v>
      </c>
      <c r="E1276" s="8">
        <f>MIN($B$7,ROUND(D1276/$B$6,0))</f>
        <v>1266</v>
      </c>
      <c r="F1276" s="8" t="str">
        <f>DEC2BIN(INT(E1276/64),5)&amp;DEC2BIN(MOD(E1276,64),6)</f>
        <v>10011110010</v>
      </c>
      <c r="G1276" s="8" t="str">
        <f>DEC2HEX(E1276,3)</f>
        <v>4F2</v>
      </c>
      <c r="H1276" s="8" t="str">
        <f>IF(ROUND(D1276/$B$6,0)&gt;$B$7,"YES","NO")</f>
        <v>NO</v>
      </c>
    </row>
    <row r="1277" spans="1:8">
      <c r="A1277" s="10">
        <v>1267</v>
      </c>
      <c r="B1277" s="11">
        <f>D1276</f>
        <v>1483.59375</v>
      </c>
      <c r="C1277" s="11">
        <f>$B$6</f>
        <v>1.171875</v>
      </c>
      <c r="D1277" s="11">
        <f>B1277+C1277</f>
        <v>1484.765625</v>
      </c>
      <c r="E1277" s="10">
        <f>MIN($B$7,ROUND(D1277/$B$6,0))</f>
        <v>1267</v>
      </c>
      <c r="F1277" s="10" t="str">
        <f>DEC2BIN(INT(E1277/64),5)&amp;DEC2BIN(MOD(E1277,64),6)</f>
        <v>10011110011</v>
      </c>
      <c r="G1277" s="10" t="str">
        <f>DEC2HEX(E1277,3)</f>
        <v>4F3</v>
      </c>
      <c r="H1277" s="10" t="str">
        <f>IF(ROUND(D1277/$B$6,0)&gt;$B$7,"YES","NO")</f>
        <v>NO</v>
      </c>
    </row>
    <row r="1278" spans="1:8">
      <c r="A1278" s="8">
        <v>1268</v>
      </c>
      <c r="B1278" s="9">
        <f>D1277</f>
        <v>1484.765625</v>
      </c>
      <c r="C1278" s="9">
        <f>$B$6</f>
        <v>1.171875</v>
      </c>
      <c r="D1278" s="9">
        <f>B1278+C1278</f>
        <v>1485.9375</v>
      </c>
      <c r="E1278" s="8">
        <f>MIN($B$7,ROUND(D1278/$B$6,0))</f>
        <v>1268</v>
      </c>
      <c r="F1278" s="8" t="str">
        <f>DEC2BIN(INT(E1278/64),5)&amp;DEC2BIN(MOD(E1278,64),6)</f>
        <v>10011110100</v>
      </c>
      <c r="G1278" s="8" t="str">
        <f>DEC2HEX(E1278,3)</f>
        <v>4F4</v>
      </c>
      <c r="H1278" s="8" t="str">
        <f>IF(ROUND(D1278/$B$6,0)&gt;$B$7,"YES","NO")</f>
        <v>NO</v>
      </c>
    </row>
    <row r="1279" spans="1:8">
      <c r="A1279" s="10">
        <v>1269</v>
      </c>
      <c r="B1279" s="11">
        <f>D1278</f>
        <v>1485.9375</v>
      </c>
      <c r="C1279" s="11">
        <f>$B$6</f>
        <v>1.171875</v>
      </c>
      <c r="D1279" s="11">
        <f>B1279+C1279</f>
        <v>1487.109375</v>
      </c>
      <c r="E1279" s="10">
        <f>MIN($B$7,ROUND(D1279/$B$6,0))</f>
        <v>1269</v>
      </c>
      <c r="F1279" s="10" t="str">
        <f>DEC2BIN(INT(E1279/64),5)&amp;DEC2BIN(MOD(E1279,64),6)</f>
        <v>10011110101</v>
      </c>
      <c r="G1279" s="10" t="str">
        <f>DEC2HEX(E1279,3)</f>
        <v>4F5</v>
      </c>
      <c r="H1279" s="10" t="str">
        <f>IF(ROUND(D1279/$B$6,0)&gt;$B$7,"YES","NO")</f>
        <v>NO</v>
      </c>
    </row>
    <row r="1280" spans="1:8">
      <c r="A1280" s="8">
        <v>1270</v>
      </c>
      <c r="B1280" s="9">
        <f>D1279</f>
        <v>1487.109375</v>
      </c>
      <c r="C1280" s="9">
        <f>$B$6</f>
        <v>1.171875</v>
      </c>
      <c r="D1280" s="9">
        <f>B1280+C1280</f>
        <v>1488.28125</v>
      </c>
      <c r="E1280" s="8">
        <f>MIN($B$7,ROUND(D1280/$B$6,0))</f>
        <v>1270</v>
      </c>
      <c r="F1280" s="8" t="str">
        <f>DEC2BIN(INT(E1280/64),5)&amp;DEC2BIN(MOD(E1280,64),6)</f>
        <v>10011110110</v>
      </c>
      <c r="G1280" s="8" t="str">
        <f>DEC2HEX(E1280,3)</f>
        <v>4F6</v>
      </c>
      <c r="H1280" s="8" t="str">
        <f>IF(ROUND(D1280/$B$6,0)&gt;$B$7,"YES","NO")</f>
        <v>NO</v>
      </c>
    </row>
    <row r="1281" spans="1:8">
      <c r="A1281" s="10">
        <v>1271</v>
      </c>
      <c r="B1281" s="11">
        <f>D1280</f>
        <v>1488.28125</v>
      </c>
      <c r="C1281" s="11">
        <f>$B$6</f>
        <v>1.171875</v>
      </c>
      <c r="D1281" s="11">
        <f>B1281+C1281</f>
        <v>1489.453125</v>
      </c>
      <c r="E1281" s="10">
        <f>MIN($B$7,ROUND(D1281/$B$6,0))</f>
        <v>1271</v>
      </c>
      <c r="F1281" s="10" t="str">
        <f>DEC2BIN(INT(E1281/64),5)&amp;DEC2BIN(MOD(E1281,64),6)</f>
        <v>10011110111</v>
      </c>
      <c r="G1281" s="10" t="str">
        <f>DEC2HEX(E1281,3)</f>
        <v>4F7</v>
      </c>
      <c r="H1281" s="10" t="str">
        <f>IF(ROUND(D1281/$B$6,0)&gt;$B$7,"YES","NO")</f>
        <v>NO</v>
      </c>
    </row>
    <row r="1282" spans="1:8">
      <c r="A1282" s="8">
        <v>1272</v>
      </c>
      <c r="B1282" s="9">
        <f>D1281</f>
        <v>1489.453125</v>
      </c>
      <c r="C1282" s="9">
        <f>$B$6</f>
        <v>1.171875</v>
      </c>
      <c r="D1282" s="9">
        <f>B1282+C1282</f>
        <v>1490.625</v>
      </c>
      <c r="E1282" s="8">
        <f>MIN($B$7,ROUND(D1282/$B$6,0))</f>
        <v>1272</v>
      </c>
      <c r="F1282" s="8" t="str">
        <f>DEC2BIN(INT(E1282/64),5)&amp;DEC2BIN(MOD(E1282,64),6)</f>
        <v>10011111000</v>
      </c>
      <c r="G1282" s="8" t="str">
        <f>DEC2HEX(E1282,3)</f>
        <v>4F8</v>
      </c>
      <c r="H1282" s="8" t="str">
        <f>IF(ROUND(D1282/$B$6,0)&gt;$B$7,"YES","NO")</f>
        <v>NO</v>
      </c>
    </row>
    <row r="1283" spans="1:8">
      <c r="A1283" s="10">
        <v>1273</v>
      </c>
      <c r="B1283" s="11">
        <f>D1282</f>
        <v>1490.625</v>
      </c>
      <c r="C1283" s="11">
        <f>$B$6</f>
        <v>1.171875</v>
      </c>
      <c r="D1283" s="11">
        <f>B1283+C1283</f>
        <v>1491.796875</v>
      </c>
      <c r="E1283" s="10">
        <f>MIN($B$7,ROUND(D1283/$B$6,0))</f>
        <v>1273</v>
      </c>
      <c r="F1283" s="10" t="str">
        <f>DEC2BIN(INT(E1283/64),5)&amp;DEC2BIN(MOD(E1283,64),6)</f>
        <v>10011111001</v>
      </c>
      <c r="G1283" s="10" t="str">
        <f>DEC2HEX(E1283,3)</f>
        <v>4F9</v>
      </c>
      <c r="H1283" s="10" t="str">
        <f>IF(ROUND(D1283/$B$6,0)&gt;$B$7,"YES","NO")</f>
        <v>NO</v>
      </c>
    </row>
    <row r="1284" spans="1:8">
      <c r="A1284" s="8">
        <v>1274</v>
      </c>
      <c r="B1284" s="9">
        <f>D1283</f>
        <v>1491.796875</v>
      </c>
      <c r="C1284" s="9">
        <f>$B$6</f>
        <v>1.171875</v>
      </c>
      <c r="D1284" s="9">
        <f>B1284+C1284</f>
        <v>1492.96875</v>
      </c>
      <c r="E1284" s="8">
        <f>MIN($B$7,ROUND(D1284/$B$6,0))</f>
        <v>1274</v>
      </c>
      <c r="F1284" s="8" t="str">
        <f>DEC2BIN(INT(E1284/64),5)&amp;DEC2BIN(MOD(E1284,64),6)</f>
        <v>10011111010</v>
      </c>
      <c r="G1284" s="8" t="str">
        <f>DEC2HEX(E1284,3)</f>
        <v>4FA</v>
      </c>
      <c r="H1284" s="8" t="str">
        <f>IF(ROUND(D1284/$B$6,0)&gt;$B$7,"YES","NO")</f>
        <v>NO</v>
      </c>
    </row>
    <row r="1285" spans="1:8">
      <c r="A1285" s="10">
        <v>1275</v>
      </c>
      <c r="B1285" s="11">
        <f>D1284</f>
        <v>1492.96875</v>
      </c>
      <c r="C1285" s="11">
        <f>$B$6</f>
        <v>1.171875</v>
      </c>
      <c r="D1285" s="11">
        <f>B1285+C1285</f>
        <v>1494.140625</v>
      </c>
      <c r="E1285" s="10">
        <f>MIN($B$7,ROUND(D1285/$B$6,0))</f>
        <v>1275</v>
      </c>
      <c r="F1285" s="10" t="str">
        <f>DEC2BIN(INT(E1285/64),5)&amp;DEC2BIN(MOD(E1285,64),6)</f>
        <v>10011111011</v>
      </c>
      <c r="G1285" s="10" t="str">
        <f>DEC2HEX(E1285,3)</f>
        <v>4FB</v>
      </c>
      <c r="H1285" s="10" t="str">
        <f>IF(ROUND(D1285/$B$6,0)&gt;$B$7,"YES","NO")</f>
        <v>NO</v>
      </c>
    </row>
    <row r="1286" spans="1:8">
      <c r="A1286" s="8">
        <v>1276</v>
      </c>
      <c r="B1286" s="9">
        <f>D1285</f>
        <v>1494.140625</v>
      </c>
      <c r="C1286" s="9">
        <f>$B$6</f>
        <v>1.171875</v>
      </c>
      <c r="D1286" s="9">
        <f>B1286+C1286</f>
        <v>1495.3125</v>
      </c>
      <c r="E1286" s="8">
        <f>MIN($B$7,ROUND(D1286/$B$6,0))</f>
        <v>1276</v>
      </c>
      <c r="F1286" s="8" t="str">
        <f>DEC2BIN(INT(E1286/64),5)&amp;DEC2BIN(MOD(E1286,64),6)</f>
        <v>10011111100</v>
      </c>
      <c r="G1286" s="8" t="str">
        <f>DEC2HEX(E1286,3)</f>
        <v>4FC</v>
      </c>
      <c r="H1286" s="8" t="str">
        <f>IF(ROUND(D1286/$B$6,0)&gt;$B$7,"YES","NO")</f>
        <v>NO</v>
      </c>
    </row>
    <row r="1287" spans="1:8">
      <c r="A1287" s="10">
        <v>1277</v>
      </c>
      <c r="B1287" s="11">
        <f>D1286</f>
        <v>1495.3125</v>
      </c>
      <c r="C1287" s="11">
        <f>$B$6</f>
        <v>1.171875</v>
      </c>
      <c r="D1287" s="11">
        <f>B1287+C1287</f>
        <v>1496.484375</v>
      </c>
      <c r="E1287" s="10">
        <f>MIN($B$7,ROUND(D1287/$B$6,0))</f>
        <v>1277</v>
      </c>
      <c r="F1287" s="10" t="str">
        <f>DEC2BIN(INT(E1287/64),5)&amp;DEC2BIN(MOD(E1287,64),6)</f>
        <v>10011111101</v>
      </c>
      <c r="G1287" s="10" t="str">
        <f>DEC2HEX(E1287,3)</f>
        <v>4FD</v>
      </c>
      <c r="H1287" s="10" t="str">
        <f>IF(ROUND(D1287/$B$6,0)&gt;$B$7,"YES","NO")</f>
        <v>NO</v>
      </c>
    </row>
    <row r="1288" spans="1:8">
      <c r="A1288" s="8">
        <v>1278</v>
      </c>
      <c r="B1288" s="9">
        <f>D1287</f>
        <v>1496.484375</v>
      </c>
      <c r="C1288" s="9">
        <f>$B$6</f>
        <v>1.171875</v>
      </c>
      <c r="D1288" s="9">
        <f>B1288+C1288</f>
        <v>1497.65625</v>
      </c>
      <c r="E1288" s="8">
        <f>MIN($B$7,ROUND(D1288/$B$6,0))</f>
        <v>1278</v>
      </c>
      <c r="F1288" s="8" t="str">
        <f>DEC2BIN(INT(E1288/64),5)&amp;DEC2BIN(MOD(E1288,64),6)</f>
        <v>10011111110</v>
      </c>
      <c r="G1288" s="8" t="str">
        <f>DEC2HEX(E1288,3)</f>
        <v>4FE</v>
      </c>
      <c r="H1288" s="8" t="str">
        <f>IF(ROUND(D1288/$B$6,0)&gt;$B$7,"YES","NO")</f>
        <v>NO</v>
      </c>
    </row>
    <row r="1289" spans="1:8">
      <c r="A1289" s="10">
        <v>1279</v>
      </c>
      <c r="B1289" s="11">
        <f>D1288</f>
        <v>1497.65625</v>
      </c>
      <c r="C1289" s="11">
        <f>$B$6</f>
        <v>1.171875</v>
      </c>
      <c r="D1289" s="11">
        <f>B1289+C1289</f>
        <v>1498.828125</v>
      </c>
      <c r="E1289" s="10">
        <f>MIN($B$7,ROUND(D1289/$B$6,0))</f>
        <v>1279</v>
      </c>
      <c r="F1289" s="10" t="str">
        <f>DEC2BIN(INT(E1289/64),5)&amp;DEC2BIN(MOD(E1289,64),6)</f>
        <v>10011111111</v>
      </c>
      <c r="G1289" s="10" t="str">
        <f>DEC2HEX(E1289,3)</f>
        <v>4FF</v>
      </c>
      <c r="H1289" s="10" t="str">
        <f>IF(ROUND(D1289/$B$6,0)&gt;$B$7,"YES","NO")</f>
        <v>NO</v>
      </c>
    </row>
    <row r="1290" spans="1:8">
      <c r="A1290" s="8">
        <v>1280</v>
      </c>
      <c r="B1290" s="9">
        <f>D1289</f>
        <v>1498.828125</v>
      </c>
      <c r="C1290" s="9">
        <f>$B$6</f>
        <v>1.171875</v>
      </c>
      <c r="D1290" s="9">
        <f>B1290+C1290</f>
        <v>1500</v>
      </c>
      <c r="E1290" s="8">
        <f>MIN($B$7,ROUND(D1290/$B$6,0))</f>
        <v>1280</v>
      </c>
      <c r="F1290" s="8" t="str">
        <f>DEC2BIN(INT(E1290/64),5)&amp;DEC2BIN(MOD(E1290,64),6)</f>
        <v>10100000000</v>
      </c>
      <c r="G1290" s="8" t="str">
        <f>DEC2HEX(E1290,3)</f>
        <v>500</v>
      </c>
      <c r="H1290" s="8" t="str">
        <f>IF(ROUND(D1290/$B$6,0)&gt;$B$7,"YES","NO")</f>
        <v>NO</v>
      </c>
    </row>
    <row r="1291" spans="1:8">
      <c r="A1291" s="10">
        <v>1281</v>
      </c>
      <c r="B1291" s="11">
        <f>D1290</f>
        <v>1500</v>
      </c>
      <c r="C1291" s="11">
        <f>$B$6</f>
        <v>1.171875</v>
      </c>
      <c r="D1291" s="11">
        <f>B1291+C1291</f>
        <v>1501.171875</v>
      </c>
      <c r="E1291" s="10">
        <f>MIN($B$7,ROUND(D1291/$B$6,0))</f>
        <v>1281</v>
      </c>
      <c r="F1291" s="10" t="str">
        <f>DEC2BIN(INT(E1291/64),5)&amp;DEC2BIN(MOD(E1291,64),6)</f>
        <v>10100000001</v>
      </c>
      <c r="G1291" s="10" t="str">
        <f>DEC2HEX(E1291,3)</f>
        <v>501</v>
      </c>
      <c r="H1291" s="10" t="str">
        <f>IF(ROUND(D1291/$B$6,0)&gt;$B$7,"YES","NO")</f>
        <v>NO</v>
      </c>
    </row>
    <row r="1292" spans="1:8">
      <c r="A1292" s="8">
        <v>1282</v>
      </c>
      <c r="B1292" s="9">
        <f>D1291</f>
        <v>1501.171875</v>
      </c>
      <c r="C1292" s="9">
        <f>$B$6</f>
        <v>1.171875</v>
      </c>
      <c r="D1292" s="9">
        <f>B1292+C1292</f>
        <v>1502.34375</v>
      </c>
      <c r="E1292" s="8">
        <f>MIN($B$7,ROUND(D1292/$B$6,0))</f>
        <v>1282</v>
      </c>
      <c r="F1292" s="8" t="str">
        <f>DEC2BIN(INT(E1292/64),5)&amp;DEC2BIN(MOD(E1292,64),6)</f>
        <v>10100000010</v>
      </c>
      <c r="G1292" s="8" t="str">
        <f>DEC2HEX(E1292,3)</f>
        <v>502</v>
      </c>
      <c r="H1292" s="8" t="str">
        <f>IF(ROUND(D1292/$B$6,0)&gt;$B$7,"YES","NO")</f>
        <v>NO</v>
      </c>
    </row>
    <row r="1293" spans="1:8">
      <c r="A1293" s="10">
        <v>1283</v>
      </c>
      <c r="B1293" s="11">
        <f>D1292</f>
        <v>1502.34375</v>
      </c>
      <c r="C1293" s="11">
        <f>$B$6</f>
        <v>1.171875</v>
      </c>
      <c r="D1293" s="11">
        <f>B1293+C1293</f>
        <v>1503.515625</v>
      </c>
      <c r="E1293" s="10">
        <f>MIN($B$7,ROUND(D1293/$B$6,0))</f>
        <v>1283</v>
      </c>
      <c r="F1293" s="10" t="str">
        <f>DEC2BIN(INT(E1293/64),5)&amp;DEC2BIN(MOD(E1293,64),6)</f>
        <v>10100000011</v>
      </c>
      <c r="G1293" s="10" t="str">
        <f>DEC2HEX(E1293,3)</f>
        <v>503</v>
      </c>
      <c r="H1293" s="10" t="str">
        <f>IF(ROUND(D1293/$B$6,0)&gt;$B$7,"YES","NO")</f>
        <v>NO</v>
      </c>
    </row>
    <row r="1294" spans="1:8">
      <c r="A1294" s="8">
        <v>1284</v>
      </c>
      <c r="B1294" s="9">
        <f>D1293</f>
        <v>1503.515625</v>
      </c>
      <c r="C1294" s="9">
        <f>$B$6</f>
        <v>1.171875</v>
      </c>
      <c r="D1294" s="9">
        <f>B1294+C1294</f>
        <v>1504.6875</v>
      </c>
      <c r="E1294" s="8">
        <f>MIN($B$7,ROUND(D1294/$B$6,0))</f>
        <v>1284</v>
      </c>
      <c r="F1294" s="8" t="str">
        <f>DEC2BIN(INT(E1294/64),5)&amp;DEC2BIN(MOD(E1294,64),6)</f>
        <v>10100000100</v>
      </c>
      <c r="G1294" s="8" t="str">
        <f>DEC2HEX(E1294,3)</f>
        <v>504</v>
      </c>
      <c r="H1294" s="8" t="str">
        <f>IF(ROUND(D1294/$B$6,0)&gt;$B$7,"YES","NO")</f>
        <v>NO</v>
      </c>
    </row>
    <row r="1295" spans="1:8">
      <c r="A1295" s="10">
        <v>1285</v>
      </c>
      <c r="B1295" s="11">
        <f>D1294</f>
        <v>1504.6875</v>
      </c>
      <c r="C1295" s="11">
        <f>$B$6</f>
        <v>1.171875</v>
      </c>
      <c r="D1295" s="11">
        <f>B1295+C1295</f>
        <v>1505.859375</v>
      </c>
      <c r="E1295" s="10">
        <f>MIN($B$7,ROUND(D1295/$B$6,0))</f>
        <v>1285</v>
      </c>
      <c r="F1295" s="10" t="str">
        <f>DEC2BIN(INT(E1295/64),5)&amp;DEC2BIN(MOD(E1295,64),6)</f>
        <v>10100000101</v>
      </c>
      <c r="G1295" s="10" t="str">
        <f>DEC2HEX(E1295,3)</f>
        <v>505</v>
      </c>
      <c r="H1295" s="10" t="str">
        <f>IF(ROUND(D1295/$B$6,0)&gt;$B$7,"YES","NO")</f>
        <v>NO</v>
      </c>
    </row>
    <row r="1296" spans="1:8">
      <c r="A1296" s="8">
        <v>1286</v>
      </c>
      <c r="B1296" s="9">
        <f>D1295</f>
        <v>1505.859375</v>
      </c>
      <c r="C1296" s="9">
        <f>$B$6</f>
        <v>1.171875</v>
      </c>
      <c r="D1296" s="9">
        <f>B1296+C1296</f>
        <v>1507.03125</v>
      </c>
      <c r="E1296" s="8">
        <f>MIN($B$7,ROUND(D1296/$B$6,0))</f>
        <v>1286</v>
      </c>
      <c r="F1296" s="8" t="str">
        <f>DEC2BIN(INT(E1296/64),5)&amp;DEC2BIN(MOD(E1296,64),6)</f>
        <v>10100000110</v>
      </c>
      <c r="G1296" s="8" t="str">
        <f>DEC2HEX(E1296,3)</f>
        <v>506</v>
      </c>
      <c r="H1296" s="8" t="str">
        <f>IF(ROUND(D1296/$B$6,0)&gt;$B$7,"YES","NO")</f>
        <v>NO</v>
      </c>
    </row>
    <row r="1297" spans="1:8">
      <c r="A1297" s="10">
        <v>1287</v>
      </c>
      <c r="B1297" s="11">
        <f>D1296</f>
        <v>1507.03125</v>
      </c>
      <c r="C1297" s="11">
        <f>$B$6</f>
        <v>1.171875</v>
      </c>
      <c r="D1297" s="11">
        <f>B1297+C1297</f>
        <v>1508.203125</v>
      </c>
      <c r="E1297" s="10">
        <f>MIN($B$7,ROUND(D1297/$B$6,0))</f>
        <v>1287</v>
      </c>
      <c r="F1297" s="10" t="str">
        <f>DEC2BIN(INT(E1297/64),5)&amp;DEC2BIN(MOD(E1297,64),6)</f>
        <v>10100000111</v>
      </c>
      <c r="G1297" s="10" t="str">
        <f>DEC2HEX(E1297,3)</f>
        <v>507</v>
      </c>
      <c r="H1297" s="10" t="str">
        <f>IF(ROUND(D1297/$B$6,0)&gt;$B$7,"YES","NO")</f>
        <v>NO</v>
      </c>
    </row>
    <row r="1298" spans="1:8">
      <c r="A1298" s="8">
        <v>1288</v>
      </c>
      <c r="B1298" s="9">
        <f>D1297</f>
        <v>1508.203125</v>
      </c>
      <c r="C1298" s="9">
        <f>$B$6</f>
        <v>1.171875</v>
      </c>
      <c r="D1298" s="9">
        <f>B1298+C1298</f>
        <v>1509.375</v>
      </c>
      <c r="E1298" s="8">
        <f>MIN($B$7,ROUND(D1298/$B$6,0))</f>
        <v>1288</v>
      </c>
      <c r="F1298" s="8" t="str">
        <f>DEC2BIN(INT(E1298/64),5)&amp;DEC2BIN(MOD(E1298,64),6)</f>
        <v>10100001000</v>
      </c>
      <c r="G1298" s="8" t="str">
        <f>DEC2HEX(E1298,3)</f>
        <v>508</v>
      </c>
      <c r="H1298" s="8" t="str">
        <f>IF(ROUND(D1298/$B$6,0)&gt;$B$7,"YES","NO")</f>
        <v>NO</v>
      </c>
    </row>
    <row r="1299" spans="1:8">
      <c r="A1299" s="10">
        <v>1289</v>
      </c>
      <c r="B1299" s="11">
        <f>D1298</f>
        <v>1509.375</v>
      </c>
      <c r="C1299" s="11">
        <f>$B$6</f>
        <v>1.171875</v>
      </c>
      <c r="D1299" s="11">
        <f>B1299+C1299</f>
        <v>1510.546875</v>
      </c>
      <c r="E1299" s="10">
        <f>MIN($B$7,ROUND(D1299/$B$6,0))</f>
        <v>1289</v>
      </c>
      <c r="F1299" s="10" t="str">
        <f>DEC2BIN(INT(E1299/64),5)&amp;DEC2BIN(MOD(E1299,64),6)</f>
        <v>10100001001</v>
      </c>
      <c r="G1299" s="10" t="str">
        <f>DEC2HEX(E1299,3)</f>
        <v>509</v>
      </c>
      <c r="H1299" s="10" t="str">
        <f>IF(ROUND(D1299/$B$6,0)&gt;$B$7,"YES","NO")</f>
        <v>NO</v>
      </c>
    </row>
    <row r="1300" spans="1:8">
      <c r="A1300" s="8">
        <v>1290</v>
      </c>
      <c r="B1300" s="9">
        <f>D1299</f>
        <v>1510.546875</v>
      </c>
      <c r="C1300" s="9">
        <f>$B$6</f>
        <v>1.171875</v>
      </c>
      <c r="D1300" s="9">
        <f>B1300+C1300</f>
        <v>1511.71875</v>
      </c>
      <c r="E1300" s="8">
        <f>MIN($B$7,ROUND(D1300/$B$6,0))</f>
        <v>1290</v>
      </c>
      <c r="F1300" s="8" t="str">
        <f>DEC2BIN(INT(E1300/64),5)&amp;DEC2BIN(MOD(E1300,64),6)</f>
        <v>10100001010</v>
      </c>
      <c r="G1300" s="8" t="str">
        <f>DEC2HEX(E1300,3)</f>
        <v>50A</v>
      </c>
      <c r="H1300" s="8" t="str">
        <f>IF(ROUND(D1300/$B$6,0)&gt;$B$7,"YES","NO")</f>
        <v>NO</v>
      </c>
    </row>
    <row r="1301" spans="1:8">
      <c r="A1301" s="10">
        <v>1291</v>
      </c>
      <c r="B1301" s="11">
        <f>D1300</f>
        <v>1511.71875</v>
      </c>
      <c r="C1301" s="11">
        <f>$B$6</f>
        <v>1.171875</v>
      </c>
      <c r="D1301" s="11">
        <f>B1301+C1301</f>
        <v>1512.890625</v>
      </c>
      <c r="E1301" s="10">
        <f>MIN($B$7,ROUND(D1301/$B$6,0))</f>
        <v>1291</v>
      </c>
      <c r="F1301" s="10" t="str">
        <f>DEC2BIN(INT(E1301/64),5)&amp;DEC2BIN(MOD(E1301,64),6)</f>
        <v>10100001011</v>
      </c>
      <c r="G1301" s="10" t="str">
        <f>DEC2HEX(E1301,3)</f>
        <v>50B</v>
      </c>
      <c r="H1301" s="10" t="str">
        <f>IF(ROUND(D1301/$B$6,0)&gt;$B$7,"YES","NO")</f>
        <v>NO</v>
      </c>
    </row>
    <row r="1302" spans="1:8">
      <c r="A1302" s="8">
        <v>1292</v>
      </c>
      <c r="B1302" s="9">
        <f>D1301</f>
        <v>1512.890625</v>
      </c>
      <c r="C1302" s="9">
        <f>$B$6</f>
        <v>1.171875</v>
      </c>
      <c r="D1302" s="9">
        <f>B1302+C1302</f>
        <v>1514.0625</v>
      </c>
      <c r="E1302" s="8">
        <f>MIN($B$7,ROUND(D1302/$B$6,0))</f>
        <v>1292</v>
      </c>
      <c r="F1302" s="8" t="str">
        <f>DEC2BIN(INT(E1302/64),5)&amp;DEC2BIN(MOD(E1302,64),6)</f>
        <v>10100001100</v>
      </c>
      <c r="G1302" s="8" t="str">
        <f>DEC2HEX(E1302,3)</f>
        <v>50C</v>
      </c>
      <c r="H1302" s="8" t="str">
        <f>IF(ROUND(D1302/$B$6,0)&gt;$B$7,"YES","NO")</f>
        <v>NO</v>
      </c>
    </row>
    <row r="1303" spans="1:8">
      <c r="A1303" s="10">
        <v>1293</v>
      </c>
      <c r="B1303" s="11">
        <f>D1302</f>
        <v>1514.0625</v>
      </c>
      <c r="C1303" s="11">
        <f>$B$6</f>
        <v>1.171875</v>
      </c>
      <c r="D1303" s="11">
        <f>B1303+C1303</f>
        <v>1515.234375</v>
      </c>
      <c r="E1303" s="10">
        <f>MIN($B$7,ROUND(D1303/$B$6,0))</f>
        <v>1293</v>
      </c>
      <c r="F1303" s="10" t="str">
        <f>DEC2BIN(INT(E1303/64),5)&amp;DEC2BIN(MOD(E1303,64),6)</f>
        <v>10100001101</v>
      </c>
      <c r="G1303" s="10" t="str">
        <f>DEC2HEX(E1303,3)</f>
        <v>50D</v>
      </c>
      <c r="H1303" s="10" t="str">
        <f>IF(ROUND(D1303/$B$6,0)&gt;$B$7,"YES","NO")</f>
        <v>NO</v>
      </c>
    </row>
    <row r="1304" spans="1:8">
      <c r="A1304" s="8">
        <v>1294</v>
      </c>
      <c r="B1304" s="9">
        <f>D1303</f>
        <v>1515.234375</v>
      </c>
      <c r="C1304" s="9">
        <f>$B$6</f>
        <v>1.171875</v>
      </c>
      <c r="D1304" s="9">
        <f>B1304+C1304</f>
        <v>1516.40625</v>
      </c>
      <c r="E1304" s="8">
        <f>MIN($B$7,ROUND(D1304/$B$6,0))</f>
        <v>1294</v>
      </c>
      <c r="F1304" s="8" t="str">
        <f>DEC2BIN(INT(E1304/64),5)&amp;DEC2BIN(MOD(E1304,64),6)</f>
        <v>10100001110</v>
      </c>
      <c r="G1304" s="8" t="str">
        <f>DEC2HEX(E1304,3)</f>
        <v>50E</v>
      </c>
      <c r="H1304" s="8" t="str">
        <f>IF(ROUND(D1304/$B$6,0)&gt;$B$7,"YES","NO")</f>
        <v>NO</v>
      </c>
    </row>
    <row r="1305" spans="1:8">
      <c r="A1305" s="10">
        <v>1295</v>
      </c>
      <c r="B1305" s="11">
        <f>D1304</f>
        <v>1516.40625</v>
      </c>
      <c r="C1305" s="11">
        <f>$B$6</f>
        <v>1.171875</v>
      </c>
      <c r="D1305" s="11">
        <f>B1305+C1305</f>
        <v>1517.578125</v>
      </c>
      <c r="E1305" s="10">
        <f>MIN($B$7,ROUND(D1305/$B$6,0))</f>
        <v>1295</v>
      </c>
      <c r="F1305" s="10" t="str">
        <f>DEC2BIN(INT(E1305/64),5)&amp;DEC2BIN(MOD(E1305,64),6)</f>
        <v>10100001111</v>
      </c>
      <c r="G1305" s="10" t="str">
        <f>DEC2HEX(E1305,3)</f>
        <v>50F</v>
      </c>
      <c r="H1305" s="10" t="str">
        <f>IF(ROUND(D1305/$B$6,0)&gt;$B$7,"YES","NO")</f>
        <v>NO</v>
      </c>
    </row>
    <row r="1306" spans="1:8">
      <c r="A1306" s="8">
        <v>1296</v>
      </c>
      <c r="B1306" s="9">
        <f>D1305</f>
        <v>1517.578125</v>
      </c>
      <c r="C1306" s="9">
        <f>$B$6</f>
        <v>1.171875</v>
      </c>
      <c r="D1306" s="9">
        <f>B1306+C1306</f>
        <v>1518.75</v>
      </c>
      <c r="E1306" s="8">
        <f>MIN($B$7,ROUND(D1306/$B$6,0))</f>
        <v>1296</v>
      </c>
      <c r="F1306" s="8" t="str">
        <f>DEC2BIN(INT(E1306/64),5)&amp;DEC2BIN(MOD(E1306,64),6)</f>
        <v>10100010000</v>
      </c>
      <c r="G1306" s="8" t="str">
        <f>DEC2HEX(E1306,3)</f>
        <v>510</v>
      </c>
      <c r="H1306" s="8" t="str">
        <f>IF(ROUND(D1306/$B$6,0)&gt;$B$7,"YES","NO")</f>
        <v>NO</v>
      </c>
    </row>
    <row r="1307" spans="1:8">
      <c r="A1307" s="10">
        <v>1297</v>
      </c>
      <c r="B1307" s="11">
        <f>D1306</f>
        <v>1518.75</v>
      </c>
      <c r="C1307" s="11">
        <f>$B$6</f>
        <v>1.171875</v>
      </c>
      <c r="D1307" s="11">
        <f>B1307+C1307</f>
        <v>1519.921875</v>
      </c>
      <c r="E1307" s="10">
        <f>MIN($B$7,ROUND(D1307/$B$6,0))</f>
        <v>1297</v>
      </c>
      <c r="F1307" s="10" t="str">
        <f>DEC2BIN(INT(E1307/64),5)&amp;DEC2BIN(MOD(E1307,64),6)</f>
        <v>10100010001</v>
      </c>
      <c r="G1307" s="10" t="str">
        <f>DEC2HEX(E1307,3)</f>
        <v>511</v>
      </c>
      <c r="H1307" s="10" t="str">
        <f>IF(ROUND(D1307/$B$6,0)&gt;$B$7,"YES","NO")</f>
        <v>NO</v>
      </c>
    </row>
    <row r="1308" spans="1:8">
      <c r="A1308" s="8">
        <v>1298</v>
      </c>
      <c r="B1308" s="9">
        <f>D1307</f>
        <v>1519.921875</v>
      </c>
      <c r="C1308" s="9">
        <f>$B$6</f>
        <v>1.171875</v>
      </c>
      <c r="D1308" s="9">
        <f>B1308+C1308</f>
        <v>1521.09375</v>
      </c>
      <c r="E1308" s="8">
        <f>MIN($B$7,ROUND(D1308/$B$6,0))</f>
        <v>1298</v>
      </c>
      <c r="F1308" s="8" t="str">
        <f>DEC2BIN(INT(E1308/64),5)&amp;DEC2BIN(MOD(E1308,64),6)</f>
        <v>10100010010</v>
      </c>
      <c r="G1308" s="8" t="str">
        <f>DEC2HEX(E1308,3)</f>
        <v>512</v>
      </c>
      <c r="H1308" s="8" t="str">
        <f>IF(ROUND(D1308/$B$6,0)&gt;$B$7,"YES","NO")</f>
        <v>NO</v>
      </c>
    </row>
    <row r="1309" spans="1:8">
      <c r="A1309" s="10">
        <v>1299</v>
      </c>
      <c r="B1309" s="11">
        <f>D1308</f>
        <v>1521.09375</v>
      </c>
      <c r="C1309" s="11">
        <f>$B$6</f>
        <v>1.171875</v>
      </c>
      <c r="D1309" s="11">
        <f>B1309+C1309</f>
        <v>1522.265625</v>
      </c>
      <c r="E1309" s="10">
        <f>MIN($B$7,ROUND(D1309/$B$6,0))</f>
        <v>1299</v>
      </c>
      <c r="F1309" s="10" t="str">
        <f>DEC2BIN(INT(E1309/64),5)&amp;DEC2BIN(MOD(E1309,64),6)</f>
        <v>10100010011</v>
      </c>
      <c r="G1309" s="10" t="str">
        <f>DEC2HEX(E1309,3)</f>
        <v>513</v>
      </c>
      <c r="H1309" s="10" t="str">
        <f>IF(ROUND(D1309/$B$6,0)&gt;$B$7,"YES","NO")</f>
        <v>NO</v>
      </c>
    </row>
    <row r="1310" spans="1:8">
      <c r="A1310" s="8">
        <v>1300</v>
      </c>
      <c r="B1310" s="9">
        <f>D1309</f>
        <v>1522.265625</v>
      </c>
      <c r="C1310" s="9">
        <f>$B$6</f>
        <v>1.171875</v>
      </c>
      <c r="D1310" s="9">
        <f>B1310+C1310</f>
        <v>1523.4375</v>
      </c>
      <c r="E1310" s="8">
        <f>MIN($B$7,ROUND(D1310/$B$6,0))</f>
        <v>1300</v>
      </c>
      <c r="F1310" s="8" t="str">
        <f>DEC2BIN(INT(E1310/64),5)&amp;DEC2BIN(MOD(E1310,64),6)</f>
        <v>10100010100</v>
      </c>
      <c r="G1310" s="8" t="str">
        <f>DEC2HEX(E1310,3)</f>
        <v>514</v>
      </c>
      <c r="H1310" s="8" t="str">
        <f>IF(ROUND(D1310/$B$6,0)&gt;$B$7,"YES","NO")</f>
        <v>NO</v>
      </c>
    </row>
    <row r="1311" spans="1:8">
      <c r="A1311" s="10">
        <v>1301</v>
      </c>
      <c r="B1311" s="11">
        <f>D1310</f>
        <v>1523.4375</v>
      </c>
      <c r="C1311" s="11">
        <f>$B$6</f>
        <v>1.171875</v>
      </c>
      <c r="D1311" s="11">
        <f>B1311+C1311</f>
        <v>1524.609375</v>
      </c>
      <c r="E1311" s="10">
        <f>MIN($B$7,ROUND(D1311/$B$6,0))</f>
        <v>1301</v>
      </c>
      <c r="F1311" s="10" t="str">
        <f>DEC2BIN(INT(E1311/64),5)&amp;DEC2BIN(MOD(E1311,64),6)</f>
        <v>10100010101</v>
      </c>
      <c r="G1311" s="10" t="str">
        <f>DEC2HEX(E1311,3)</f>
        <v>515</v>
      </c>
      <c r="H1311" s="10" t="str">
        <f>IF(ROUND(D1311/$B$6,0)&gt;$B$7,"YES","NO")</f>
        <v>NO</v>
      </c>
    </row>
    <row r="1312" spans="1:8">
      <c r="A1312" s="8">
        <v>1302</v>
      </c>
      <c r="B1312" s="9">
        <f>D1311</f>
        <v>1524.609375</v>
      </c>
      <c r="C1312" s="9">
        <f>$B$6</f>
        <v>1.171875</v>
      </c>
      <c r="D1312" s="9">
        <f>B1312+C1312</f>
        <v>1525.78125</v>
      </c>
      <c r="E1312" s="8">
        <f>MIN($B$7,ROUND(D1312/$B$6,0))</f>
        <v>1302</v>
      </c>
      <c r="F1312" s="8" t="str">
        <f>DEC2BIN(INT(E1312/64),5)&amp;DEC2BIN(MOD(E1312,64),6)</f>
        <v>10100010110</v>
      </c>
      <c r="G1312" s="8" t="str">
        <f>DEC2HEX(E1312,3)</f>
        <v>516</v>
      </c>
      <c r="H1312" s="8" t="str">
        <f>IF(ROUND(D1312/$B$6,0)&gt;$B$7,"YES","NO")</f>
        <v>NO</v>
      </c>
    </row>
    <row r="1313" spans="1:8">
      <c r="A1313" s="10">
        <v>1303</v>
      </c>
      <c r="B1313" s="11">
        <f>D1312</f>
        <v>1525.78125</v>
      </c>
      <c r="C1313" s="11">
        <f>$B$6</f>
        <v>1.171875</v>
      </c>
      <c r="D1313" s="11">
        <f>B1313+C1313</f>
        <v>1526.953125</v>
      </c>
      <c r="E1313" s="10">
        <f>MIN($B$7,ROUND(D1313/$B$6,0))</f>
        <v>1303</v>
      </c>
      <c r="F1313" s="10" t="str">
        <f>DEC2BIN(INT(E1313/64),5)&amp;DEC2BIN(MOD(E1313,64),6)</f>
        <v>10100010111</v>
      </c>
      <c r="G1313" s="10" t="str">
        <f>DEC2HEX(E1313,3)</f>
        <v>517</v>
      </c>
      <c r="H1313" s="10" t="str">
        <f>IF(ROUND(D1313/$B$6,0)&gt;$B$7,"YES","NO")</f>
        <v>NO</v>
      </c>
    </row>
    <row r="1314" spans="1:8">
      <c r="A1314" s="8">
        <v>1304</v>
      </c>
      <c r="B1314" s="9">
        <f>D1313</f>
        <v>1526.953125</v>
      </c>
      <c r="C1314" s="9">
        <f>$B$6</f>
        <v>1.171875</v>
      </c>
      <c r="D1314" s="9">
        <f>B1314+C1314</f>
        <v>1528.125</v>
      </c>
      <c r="E1314" s="8">
        <f>MIN($B$7,ROUND(D1314/$B$6,0))</f>
        <v>1304</v>
      </c>
      <c r="F1314" s="8" t="str">
        <f>DEC2BIN(INT(E1314/64),5)&amp;DEC2BIN(MOD(E1314,64),6)</f>
        <v>10100011000</v>
      </c>
      <c r="G1314" s="8" t="str">
        <f>DEC2HEX(E1314,3)</f>
        <v>518</v>
      </c>
      <c r="H1314" s="8" t="str">
        <f>IF(ROUND(D1314/$B$6,0)&gt;$B$7,"YES","NO")</f>
        <v>NO</v>
      </c>
    </row>
    <row r="1315" spans="1:8">
      <c r="A1315" s="10">
        <v>1305</v>
      </c>
      <c r="B1315" s="11">
        <f>D1314</f>
        <v>1528.125</v>
      </c>
      <c r="C1315" s="11">
        <f>$B$6</f>
        <v>1.171875</v>
      </c>
      <c r="D1315" s="11">
        <f>B1315+C1315</f>
        <v>1529.296875</v>
      </c>
      <c r="E1315" s="10">
        <f>MIN($B$7,ROUND(D1315/$B$6,0))</f>
        <v>1305</v>
      </c>
      <c r="F1315" s="10" t="str">
        <f>DEC2BIN(INT(E1315/64),5)&amp;DEC2BIN(MOD(E1315,64),6)</f>
        <v>10100011001</v>
      </c>
      <c r="G1315" s="10" t="str">
        <f>DEC2HEX(E1315,3)</f>
        <v>519</v>
      </c>
      <c r="H1315" s="10" t="str">
        <f>IF(ROUND(D1315/$B$6,0)&gt;$B$7,"YES","NO")</f>
        <v>NO</v>
      </c>
    </row>
    <row r="1316" spans="1:8">
      <c r="A1316" s="8">
        <v>1306</v>
      </c>
      <c r="B1316" s="9">
        <f>D1315</f>
        <v>1529.296875</v>
      </c>
      <c r="C1316" s="9">
        <f>$B$6</f>
        <v>1.171875</v>
      </c>
      <c r="D1316" s="9">
        <f>B1316+C1316</f>
        <v>1530.46875</v>
      </c>
      <c r="E1316" s="8">
        <f>MIN($B$7,ROUND(D1316/$B$6,0))</f>
        <v>1306</v>
      </c>
      <c r="F1316" s="8" t="str">
        <f>DEC2BIN(INT(E1316/64),5)&amp;DEC2BIN(MOD(E1316,64),6)</f>
        <v>10100011010</v>
      </c>
      <c r="G1316" s="8" t="str">
        <f>DEC2HEX(E1316,3)</f>
        <v>51A</v>
      </c>
      <c r="H1316" s="8" t="str">
        <f>IF(ROUND(D1316/$B$6,0)&gt;$B$7,"YES","NO")</f>
        <v>NO</v>
      </c>
    </row>
    <row r="1317" spans="1:8">
      <c r="A1317" s="10">
        <v>1307</v>
      </c>
      <c r="B1317" s="11">
        <f>D1316</f>
        <v>1530.46875</v>
      </c>
      <c r="C1317" s="11">
        <f>$B$6</f>
        <v>1.171875</v>
      </c>
      <c r="D1317" s="11">
        <f>B1317+C1317</f>
        <v>1531.640625</v>
      </c>
      <c r="E1317" s="10">
        <f>MIN($B$7,ROUND(D1317/$B$6,0))</f>
        <v>1307</v>
      </c>
      <c r="F1317" s="10" t="str">
        <f>DEC2BIN(INT(E1317/64),5)&amp;DEC2BIN(MOD(E1317,64),6)</f>
        <v>10100011011</v>
      </c>
      <c r="G1317" s="10" t="str">
        <f>DEC2HEX(E1317,3)</f>
        <v>51B</v>
      </c>
      <c r="H1317" s="10" t="str">
        <f>IF(ROUND(D1317/$B$6,0)&gt;$B$7,"YES","NO")</f>
        <v>NO</v>
      </c>
    </row>
    <row r="1318" spans="1:8">
      <c r="A1318" s="8">
        <v>1308</v>
      </c>
      <c r="B1318" s="9">
        <f>D1317</f>
        <v>1531.640625</v>
      </c>
      <c r="C1318" s="9">
        <f>$B$6</f>
        <v>1.171875</v>
      </c>
      <c r="D1318" s="9">
        <f>B1318+C1318</f>
        <v>1532.8125</v>
      </c>
      <c r="E1318" s="8">
        <f>MIN($B$7,ROUND(D1318/$B$6,0))</f>
        <v>1308</v>
      </c>
      <c r="F1318" s="8" t="str">
        <f>DEC2BIN(INT(E1318/64),5)&amp;DEC2BIN(MOD(E1318,64),6)</f>
        <v>10100011100</v>
      </c>
      <c r="G1318" s="8" t="str">
        <f>DEC2HEX(E1318,3)</f>
        <v>51C</v>
      </c>
      <c r="H1318" s="8" t="str">
        <f>IF(ROUND(D1318/$B$6,0)&gt;$B$7,"YES","NO")</f>
        <v>NO</v>
      </c>
    </row>
    <row r="1319" spans="1:8">
      <c r="A1319" s="10">
        <v>1309</v>
      </c>
      <c r="B1319" s="11">
        <f>D1318</f>
        <v>1532.8125</v>
      </c>
      <c r="C1319" s="11">
        <f>$B$6</f>
        <v>1.171875</v>
      </c>
      <c r="D1319" s="11">
        <f>B1319+C1319</f>
        <v>1533.984375</v>
      </c>
      <c r="E1319" s="10">
        <f>MIN($B$7,ROUND(D1319/$B$6,0))</f>
        <v>1309</v>
      </c>
      <c r="F1319" s="10" t="str">
        <f>DEC2BIN(INT(E1319/64),5)&amp;DEC2BIN(MOD(E1319,64),6)</f>
        <v>10100011101</v>
      </c>
      <c r="G1319" s="10" t="str">
        <f>DEC2HEX(E1319,3)</f>
        <v>51D</v>
      </c>
      <c r="H1319" s="10" t="str">
        <f>IF(ROUND(D1319/$B$6,0)&gt;$B$7,"YES","NO")</f>
        <v>NO</v>
      </c>
    </row>
    <row r="1320" spans="1:8">
      <c r="A1320" s="8">
        <v>1310</v>
      </c>
      <c r="B1320" s="9">
        <f>D1319</f>
        <v>1533.984375</v>
      </c>
      <c r="C1320" s="9">
        <f>$B$6</f>
        <v>1.171875</v>
      </c>
      <c r="D1320" s="9">
        <f>B1320+C1320</f>
        <v>1535.15625</v>
      </c>
      <c r="E1320" s="8">
        <f>MIN($B$7,ROUND(D1320/$B$6,0))</f>
        <v>1310</v>
      </c>
      <c r="F1320" s="8" t="str">
        <f>DEC2BIN(INT(E1320/64),5)&amp;DEC2BIN(MOD(E1320,64),6)</f>
        <v>10100011110</v>
      </c>
      <c r="G1320" s="8" t="str">
        <f>DEC2HEX(E1320,3)</f>
        <v>51E</v>
      </c>
      <c r="H1320" s="8" t="str">
        <f>IF(ROUND(D1320/$B$6,0)&gt;$B$7,"YES","NO")</f>
        <v>NO</v>
      </c>
    </row>
    <row r="1321" spans="1:8">
      <c r="A1321" s="10">
        <v>1311</v>
      </c>
      <c r="B1321" s="11">
        <f>D1320</f>
        <v>1535.15625</v>
      </c>
      <c r="C1321" s="11">
        <f>$B$6</f>
        <v>1.171875</v>
      </c>
      <c r="D1321" s="11">
        <f>B1321+C1321</f>
        <v>1536.328125</v>
      </c>
      <c r="E1321" s="10">
        <f>MIN($B$7,ROUND(D1321/$B$6,0))</f>
        <v>1311</v>
      </c>
      <c r="F1321" s="10" t="str">
        <f>DEC2BIN(INT(E1321/64),5)&amp;DEC2BIN(MOD(E1321,64),6)</f>
        <v>10100011111</v>
      </c>
      <c r="G1321" s="10" t="str">
        <f>DEC2HEX(E1321,3)</f>
        <v>51F</v>
      </c>
      <c r="H1321" s="10" t="str">
        <f>IF(ROUND(D1321/$B$6,0)&gt;$B$7,"YES","NO")</f>
        <v>NO</v>
      </c>
    </row>
    <row r="1322" spans="1:8">
      <c r="A1322" s="8">
        <v>1312</v>
      </c>
      <c r="B1322" s="9">
        <f>D1321</f>
        <v>1536.328125</v>
      </c>
      <c r="C1322" s="9">
        <f>$B$6</f>
        <v>1.171875</v>
      </c>
      <c r="D1322" s="9">
        <f>B1322+C1322</f>
        <v>1537.5</v>
      </c>
      <c r="E1322" s="8">
        <f>MIN($B$7,ROUND(D1322/$B$6,0))</f>
        <v>1312</v>
      </c>
      <c r="F1322" s="8" t="str">
        <f>DEC2BIN(INT(E1322/64),5)&amp;DEC2BIN(MOD(E1322,64),6)</f>
        <v>10100100000</v>
      </c>
      <c r="G1322" s="8" t="str">
        <f>DEC2HEX(E1322,3)</f>
        <v>520</v>
      </c>
      <c r="H1322" s="8" t="str">
        <f>IF(ROUND(D1322/$B$6,0)&gt;$B$7,"YES","NO")</f>
        <v>NO</v>
      </c>
    </row>
    <row r="1323" spans="1:8">
      <c r="A1323" s="10">
        <v>1313</v>
      </c>
      <c r="B1323" s="11">
        <f>D1322</f>
        <v>1537.5</v>
      </c>
      <c r="C1323" s="11">
        <f>$B$6</f>
        <v>1.171875</v>
      </c>
      <c r="D1323" s="11">
        <f>B1323+C1323</f>
        <v>1538.671875</v>
      </c>
      <c r="E1323" s="10">
        <f>MIN($B$7,ROUND(D1323/$B$6,0))</f>
        <v>1313</v>
      </c>
      <c r="F1323" s="10" t="str">
        <f>DEC2BIN(INT(E1323/64),5)&amp;DEC2BIN(MOD(E1323,64),6)</f>
        <v>10100100001</v>
      </c>
      <c r="G1323" s="10" t="str">
        <f>DEC2HEX(E1323,3)</f>
        <v>521</v>
      </c>
      <c r="H1323" s="10" t="str">
        <f>IF(ROUND(D1323/$B$6,0)&gt;$B$7,"YES","NO")</f>
        <v>NO</v>
      </c>
    </row>
    <row r="1324" spans="1:8">
      <c r="A1324" s="8">
        <v>1314</v>
      </c>
      <c r="B1324" s="9">
        <f>D1323</f>
        <v>1538.671875</v>
      </c>
      <c r="C1324" s="9">
        <f>$B$6</f>
        <v>1.171875</v>
      </c>
      <c r="D1324" s="9">
        <f>B1324+C1324</f>
        <v>1539.84375</v>
      </c>
      <c r="E1324" s="8">
        <f>MIN($B$7,ROUND(D1324/$B$6,0))</f>
        <v>1314</v>
      </c>
      <c r="F1324" s="8" t="str">
        <f>DEC2BIN(INT(E1324/64),5)&amp;DEC2BIN(MOD(E1324,64),6)</f>
        <v>10100100010</v>
      </c>
      <c r="G1324" s="8" t="str">
        <f>DEC2HEX(E1324,3)</f>
        <v>522</v>
      </c>
      <c r="H1324" s="8" t="str">
        <f>IF(ROUND(D1324/$B$6,0)&gt;$B$7,"YES","NO")</f>
        <v>NO</v>
      </c>
    </row>
    <row r="1325" spans="1:8">
      <c r="A1325" s="10">
        <v>1315</v>
      </c>
      <c r="B1325" s="11">
        <f>D1324</f>
        <v>1539.84375</v>
      </c>
      <c r="C1325" s="11">
        <f>$B$6</f>
        <v>1.171875</v>
      </c>
      <c r="D1325" s="11">
        <f>B1325+C1325</f>
        <v>1541.015625</v>
      </c>
      <c r="E1325" s="10">
        <f>MIN($B$7,ROUND(D1325/$B$6,0))</f>
        <v>1315</v>
      </c>
      <c r="F1325" s="10" t="str">
        <f>DEC2BIN(INT(E1325/64),5)&amp;DEC2BIN(MOD(E1325,64),6)</f>
        <v>10100100011</v>
      </c>
      <c r="G1325" s="10" t="str">
        <f>DEC2HEX(E1325,3)</f>
        <v>523</v>
      </c>
      <c r="H1325" s="10" t="str">
        <f>IF(ROUND(D1325/$B$6,0)&gt;$B$7,"YES","NO")</f>
        <v>NO</v>
      </c>
    </row>
    <row r="1326" spans="1:8">
      <c r="A1326" s="8">
        <v>1316</v>
      </c>
      <c r="B1326" s="9">
        <f>D1325</f>
        <v>1541.015625</v>
      </c>
      <c r="C1326" s="9">
        <f>$B$6</f>
        <v>1.171875</v>
      </c>
      <c r="D1326" s="9">
        <f>B1326+C1326</f>
        <v>1542.1875</v>
      </c>
      <c r="E1326" s="8">
        <f>MIN($B$7,ROUND(D1326/$B$6,0))</f>
        <v>1316</v>
      </c>
      <c r="F1326" s="8" t="str">
        <f>DEC2BIN(INT(E1326/64),5)&amp;DEC2BIN(MOD(E1326,64),6)</f>
        <v>10100100100</v>
      </c>
      <c r="G1326" s="8" t="str">
        <f>DEC2HEX(E1326,3)</f>
        <v>524</v>
      </c>
      <c r="H1326" s="8" t="str">
        <f>IF(ROUND(D1326/$B$6,0)&gt;$B$7,"YES","NO")</f>
        <v>NO</v>
      </c>
    </row>
    <row r="1327" spans="1:8">
      <c r="A1327" s="10">
        <v>1317</v>
      </c>
      <c r="B1327" s="11">
        <f>D1326</f>
        <v>1542.1875</v>
      </c>
      <c r="C1327" s="11">
        <f>$B$6</f>
        <v>1.171875</v>
      </c>
      <c r="D1327" s="11">
        <f>B1327+C1327</f>
        <v>1543.359375</v>
      </c>
      <c r="E1327" s="10">
        <f>MIN($B$7,ROUND(D1327/$B$6,0))</f>
        <v>1317</v>
      </c>
      <c r="F1327" s="10" t="str">
        <f>DEC2BIN(INT(E1327/64),5)&amp;DEC2BIN(MOD(E1327,64),6)</f>
        <v>10100100101</v>
      </c>
      <c r="G1327" s="10" t="str">
        <f>DEC2HEX(E1327,3)</f>
        <v>525</v>
      </c>
      <c r="H1327" s="10" t="str">
        <f>IF(ROUND(D1327/$B$6,0)&gt;$B$7,"YES","NO")</f>
        <v>NO</v>
      </c>
    </row>
    <row r="1328" spans="1:8">
      <c r="A1328" s="8">
        <v>1318</v>
      </c>
      <c r="B1328" s="9">
        <f>D1327</f>
        <v>1543.359375</v>
      </c>
      <c r="C1328" s="9">
        <f>$B$6</f>
        <v>1.171875</v>
      </c>
      <c r="D1328" s="9">
        <f>B1328+C1328</f>
        <v>1544.53125</v>
      </c>
      <c r="E1328" s="8">
        <f>MIN($B$7,ROUND(D1328/$B$6,0))</f>
        <v>1318</v>
      </c>
      <c r="F1328" s="8" t="str">
        <f>DEC2BIN(INT(E1328/64),5)&amp;DEC2BIN(MOD(E1328,64),6)</f>
        <v>10100100110</v>
      </c>
      <c r="G1328" s="8" t="str">
        <f>DEC2HEX(E1328,3)</f>
        <v>526</v>
      </c>
      <c r="H1328" s="8" t="str">
        <f>IF(ROUND(D1328/$B$6,0)&gt;$B$7,"YES","NO")</f>
        <v>NO</v>
      </c>
    </row>
    <row r="1329" spans="1:8">
      <c r="A1329" s="10">
        <v>1319</v>
      </c>
      <c r="B1329" s="11">
        <f>D1328</f>
        <v>1544.53125</v>
      </c>
      <c r="C1329" s="11">
        <f>$B$6</f>
        <v>1.171875</v>
      </c>
      <c r="D1329" s="11">
        <f>B1329+C1329</f>
        <v>1545.703125</v>
      </c>
      <c r="E1329" s="10">
        <f>MIN($B$7,ROUND(D1329/$B$6,0))</f>
        <v>1319</v>
      </c>
      <c r="F1329" s="10" t="str">
        <f>DEC2BIN(INT(E1329/64),5)&amp;DEC2BIN(MOD(E1329,64),6)</f>
        <v>10100100111</v>
      </c>
      <c r="G1329" s="10" t="str">
        <f>DEC2HEX(E1329,3)</f>
        <v>527</v>
      </c>
      <c r="H1329" s="10" t="str">
        <f>IF(ROUND(D1329/$B$6,0)&gt;$B$7,"YES","NO")</f>
        <v>NO</v>
      </c>
    </row>
    <row r="1330" spans="1:8">
      <c r="A1330" s="8">
        <v>1320</v>
      </c>
      <c r="B1330" s="9">
        <f>D1329</f>
        <v>1545.703125</v>
      </c>
      <c r="C1330" s="9">
        <f>$B$6</f>
        <v>1.171875</v>
      </c>
      <c r="D1330" s="9">
        <f>B1330+C1330</f>
        <v>1546.875</v>
      </c>
      <c r="E1330" s="8">
        <f>MIN($B$7,ROUND(D1330/$B$6,0))</f>
        <v>1320</v>
      </c>
      <c r="F1330" s="8" t="str">
        <f>DEC2BIN(INT(E1330/64),5)&amp;DEC2BIN(MOD(E1330,64),6)</f>
        <v>10100101000</v>
      </c>
      <c r="G1330" s="8" t="str">
        <f>DEC2HEX(E1330,3)</f>
        <v>528</v>
      </c>
      <c r="H1330" s="8" t="str">
        <f>IF(ROUND(D1330/$B$6,0)&gt;$B$7,"YES","NO")</f>
        <v>NO</v>
      </c>
    </row>
    <row r="1331" spans="1:8">
      <c r="A1331" s="10">
        <v>1321</v>
      </c>
      <c r="B1331" s="11">
        <f>D1330</f>
        <v>1546.875</v>
      </c>
      <c r="C1331" s="11">
        <f>$B$6</f>
        <v>1.171875</v>
      </c>
      <c r="D1331" s="11">
        <f>B1331+C1331</f>
        <v>1548.046875</v>
      </c>
      <c r="E1331" s="10">
        <f>MIN($B$7,ROUND(D1331/$B$6,0))</f>
        <v>1321</v>
      </c>
      <c r="F1331" s="10" t="str">
        <f>DEC2BIN(INT(E1331/64),5)&amp;DEC2BIN(MOD(E1331,64),6)</f>
        <v>10100101001</v>
      </c>
      <c r="G1331" s="10" t="str">
        <f>DEC2HEX(E1331,3)</f>
        <v>529</v>
      </c>
      <c r="H1331" s="10" t="str">
        <f>IF(ROUND(D1331/$B$6,0)&gt;$B$7,"YES","NO")</f>
        <v>NO</v>
      </c>
    </row>
    <row r="1332" spans="1:8">
      <c r="A1332" s="8">
        <v>1322</v>
      </c>
      <c r="B1332" s="9">
        <f>D1331</f>
        <v>1548.046875</v>
      </c>
      <c r="C1332" s="9">
        <f>$B$6</f>
        <v>1.171875</v>
      </c>
      <c r="D1332" s="9">
        <f>B1332+C1332</f>
        <v>1549.21875</v>
      </c>
      <c r="E1332" s="8">
        <f>MIN($B$7,ROUND(D1332/$B$6,0))</f>
        <v>1322</v>
      </c>
      <c r="F1332" s="8" t="str">
        <f>DEC2BIN(INT(E1332/64),5)&amp;DEC2BIN(MOD(E1332,64),6)</f>
        <v>10100101010</v>
      </c>
      <c r="G1332" s="8" t="str">
        <f>DEC2HEX(E1332,3)</f>
        <v>52A</v>
      </c>
      <c r="H1332" s="8" t="str">
        <f>IF(ROUND(D1332/$B$6,0)&gt;$B$7,"YES","NO")</f>
        <v>NO</v>
      </c>
    </row>
    <row r="1333" spans="1:8">
      <c r="A1333" s="10">
        <v>1323</v>
      </c>
      <c r="B1333" s="11">
        <f>D1332</f>
        <v>1549.21875</v>
      </c>
      <c r="C1333" s="11">
        <f>$B$6</f>
        <v>1.171875</v>
      </c>
      <c r="D1333" s="11">
        <f>B1333+C1333</f>
        <v>1550.390625</v>
      </c>
      <c r="E1333" s="10">
        <f>MIN($B$7,ROUND(D1333/$B$6,0))</f>
        <v>1323</v>
      </c>
      <c r="F1333" s="10" t="str">
        <f>DEC2BIN(INT(E1333/64),5)&amp;DEC2BIN(MOD(E1333,64),6)</f>
        <v>10100101011</v>
      </c>
      <c r="G1333" s="10" t="str">
        <f>DEC2HEX(E1333,3)</f>
        <v>52B</v>
      </c>
      <c r="H1333" s="10" t="str">
        <f>IF(ROUND(D1333/$B$6,0)&gt;$B$7,"YES","NO")</f>
        <v>NO</v>
      </c>
    </row>
    <row r="1334" spans="1:8">
      <c r="A1334" s="8">
        <v>1324</v>
      </c>
      <c r="B1334" s="9">
        <f>D1333</f>
        <v>1550.390625</v>
      </c>
      <c r="C1334" s="9">
        <f>$B$6</f>
        <v>1.171875</v>
      </c>
      <c r="D1334" s="9">
        <f>B1334+C1334</f>
        <v>1551.5625</v>
      </c>
      <c r="E1334" s="8">
        <f>MIN($B$7,ROUND(D1334/$B$6,0))</f>
        <v>1324</v>
      </c>
      <c r="F1334" s="8" t="str">
        <f>DEC2BIN(INT(E1334/64),5)&amp;DEC2BIN(MOD(E1334,64),6)</f>
        <v>10100101100</v>
      </c>
      <c r="G1334" s="8" t="str">
        <f>DEC2HEX(E1334,3)</f>
        <v>52C</v>
      </c>
      <c r="H1334" s="8" t="str">
        <f>IF(ROUND(D1334/$B$6,0)&gt;$B$7,"YES","NO")</f>
        <v>NO</v>
      </c>
    </row>
    <row r="1335" spans="1:8">
      <c r="A1335" s="10">
        <v>1325</v>
      </c>
      <c r="B1335" s="11">
        <f>D1334</f>
        <v>1551.5625</v>
      </c>
      <c r="C1335" s="11">
        <f>$B$6</f>
        <v>1.171875</v>
      </c>
      <c r="D1335" s="11">
        <f>B1335+C1335</f>
        <v>1552.734375</v>
      </c>
      <c r="E1335" s="10">
        <f>MIN($B$7,ROUND(D1335/$B$6,0))</f>
        <v>1325</v>
      </c>
      <c r="F1335" s="10" t="str">
        <f>DEC2BIN(INT(E1335/64),5)&amp;DEC2BIN(MOD(E1335,64),6)</f>
        <v>10100101101</v>
      </c>
      <c r="G1335" s="10" t="str">
        <f>DEC2HEX(E1335,3)</f>
        <v>52D</v>
      </c>
      <c r="H1335" s="10" t="str">
        <f>IF(ROUND(D1335/$B$6,0)&gt;$B$7,"YES","NO")</f>
        <v>NO</v>
      </c>
    </row>
    <row r="1336" spans="1:8">
      <c r="A1336" s="8">
        <v>1326</v>
      </c>
      <c r="B1336" s="9">
        <f>D1335</f>
        <v>1552.734375</v>
      </c>
      <c r="C1336" s="9">
        <f>$B$6</f>
        <v>1.171875</v>
      </c>
      <c r="D1336" s="9">
        <f>B1336+C1336</f>
        <v>1553.90625</v>
      </c>
      <c r="E1336" s="8">
        <f>MIN($B$7,ROUND(D1336/$B$6,0))</f>
        <v>1326</v>
      </c>
      <c r="F1336" s="8" t="str">
        <f>DEC2BIN(INT(E1336/64),5)&amp;DEC2BIN(MOD(E1336,64),6)</f>
        <v>10100101110</v>
      </c>
      <c r="G1336" s="8" t="str">
        <f>DEC2HEX(E1336,3)</f>
        <v>52E</v>
      </c>
      <c r="H1336" s="8" t="str">
        <f>IF(ROUND(D1336/$B$6,0)&gt;$B$7,"YES","NO")</f>
        <v>NO</v>
      </c>
    </row>
    <row r="1337" spans="1:8">
      <c r="A1337" s="10">
        <v>1327</v>
      </c>
      <c r="B1337" s="11">
        <f>D1336</f>
        <v>1553.90625</v>
      </c>
      <c r="C1337" s="11">
        <f>$B$6</f>
        <v>1.171875</v>
      </c>
      <c r="D1337" s="11">
        <f>B1337+C1337</f>
        <v>1555.078125</v>
      </c>
      <c r="E1337" s="10">
        <f>MIN($B$7,ROUND(D1337/$B$6,0))</f>
        <v>1327</v>
      </c>
      <c r="F1337" s="10" t="str">
        <f>DEC2BIN(INT(E1337/64),5)&amp;DEC2BIN(MOD(E1337,64),6)</f>
        <v>10100101111</v>
      </c>
      <c r="G1337" s="10" t="str">
        <f>DEC2HEX(E1337,3)</f>
        <v>52F</v>
      </c>
      <c r="H1337" s="10" t="str">
        <f>IF(ROUND(D1337/$B$6,0)&gt;$B$7,"YES","NO")</f>
        <v>NO</v>
      </c>
    </row>
    <row r="1338" spans="1:8">
      <c r="A1338" s="8">
        <v>1328</v>
      </c>
      <c r="B1338" s="9">
        <f>D1337</f>
        <v>1555.078125</v>
      </c>
      <c r="C1338" s="9">
        <f>$B$6</f>
        <v>1.171875</v>
      </c>
      <c r="D1338" s="9">
        <f>B1338+C1338</f>
        <v>1556.25</v>
      </c>
      <c r="E1338" s="8">
        <f>MIN($B$7,ROUND(D1338/$B$6,0))</f>
        <v>1328</v>
      </c>
      <c r="F1338" s="8" t="str">
        <f>DEC2BIN(INT(E1338/64),5)&amp;DEC2BIN(MOD(E1338,64),6)</f>
        <v>10100110000</v>
      </c>
      <c r="G1338" s="8" t="str">
        <f>DEC2HEX(E1338,3)</f>
        <v>530</v>
      </c>
      <c r="H1338" s="8" t="str">
        <f>IF(ROUND(D1338/$B$6,0)&gt;$B$7,"YES","NO")</f>
        <v>NO</v>
      </c>
    </row>
    <row r="1339" spans="1:8">
      <c r="A1339" s="10">
        <v>1329</v>
      </c>
      <c r="B1339" s="11">
        <f>D1338</f>
        <v>1556.25</v>
      </c>
      <c r="C1339" s="11">
        <f>$B$6</f>
        <v>1.171875</v>
      </c>
      <c r="D1339" s="11">
        <f>B1339+C1339</f>
        <v>1557.421875</v>
      </c>
      <c r="E1339" s="10">
        <f>MIN($B$7,ROUND(D1339/$B$6,0))</f>
        <v>1329</v>
      </c>
      <c r="F1339" s="10" t="str">
        <f>DEC2BIN(INT(E1339/64),5)&amp;DEC2BIN(MOD(E1339,64),6)</f>
        <v>10100110001</v>
      </c>
      <c r="G1339" s="10" t="str">
        <f>DEC2HEX(E1339,3)</f>
        <v>531</v>
      </c>
      <c r="H1339" s="10" t="str">
        <f>IF(ROUND(D1339/$B$6,0)&gt;$B$7,"YES","NO")</f>
        <v>NO</v>
      </c>
    </row>
    <row r="1340" spans="1:8">
      <c r="A1340" s="8">
        <v>1330</v>
      </c>
      <c r="B1340" s="9">
        <f>D1339</f>
        <v>1557.421875</v>
      </c>
      <c r="C1340" s="9">
        <f>$B$6</f>
        <v>1.171875</v>
      </c>
      <c r="D1340" s="9">
        <f>B1340+C1340</f>
        <v>1558.59375</v>
      </c>
      <c r="E1340" s="8">
        <f>MIN($B$7,ROUND(D1340/$B$6,0))</f>
        <v>1330</v>
      </c>
      <c r="F1340" s="8" t="str">
        <f>DEC2BIN(INT(E1340/64),5)&amp;DEC2BIN(MOD(E1340,64),6)</f>
        <v>10100110010</v>
      </c>
      <c r="G1340" s="8" t="str">
        <f>DEC2HEX(E1340,3)</f>
        <v>532</v>
      </c>
      <c r="H1340" s="8" t="str">
        <f>IF(ROUND(D1340/$B$6,0)&gt;$B$7,"YES","NO")</f>
        <v>NO</v>
      </c>
    </row>
    <row r="1341" spans="1:8">
      <c r="A1341" s="10">
        <v>1331</v>
      </c>
      <c r="B1341" s="11">
        <f>D1340</f>
        <v>1558.59375</v>
      </c>
      <c r="C1341" s="11">
        <f>$B$6</f>
        <v>1.171875</v>
      </c>
      <c r="D1341" s="11">
        <f>B1341+C1341</f>
        <v>1559.765625</v>
      </c>
      <c r="E1341" s="10">
        <f>MIN($B$7,ROUND(D1341/$B$6,0))</f>
        <v>1331</v>
      </c>
      <c r="F1341" s="10" t="str">
        <f>DEC2BIN(INT(E1341/64),5)&amp;DEC2BIN(MOD(E1341,64),6)</f>
        <v>10100110011</v>
      </c>
      <c r="G1341" s="10" t="str">
        <f>DEC2HEX(E1341,3)</f>
        <v>533</v>
      </c>
      <c r="H1341" s="10" t="str">
        <f>IF(ROUND(D1341/$B$6,0)&gt;$B$7,"YES","NO")</f>
        <v>NO</v>
      </c>
    </row>
    <row r="1342" spans="1:8">
      <c r="A1342" s="8">
        <v>1332</v>
      </c>
      <c r="B1342" s="9">
        <f>D1341</f>
        <v>1559.765625</v>
      </c>
      <c r="C1342" s="9">
        <f>$B$6</f>
        <v>1.171875</v>
      </c>
      <c r="D1342" s="9">
        <f>B1342+C1342</f>
        <v>1560.9375</v>
      </c>
      <c r="E1342" s="8">
        <f>MIN($B$7,ROUND(D1342/$B$6,0))</f>
        <v>1332</v>
      </c>
      <c r="F1342" s="8" t="str">
        <f>DEC2BIN(INT(E1342/64),5)&amp;DEC2BIN(MOD(E1342,64),6)</f>
        <v>10100110100</v>
      </c>
      <c r="G1342" s="8" t="str">
        <f>DEC2HEX(E1342,3)</f>
        <v>534</v>
      </c>
      <c r="H1342" s="8" t="str">
        <f>IF(ROUND(D1342/$B$6,0)&gt;$B$7,"YES","NO")</f>
        <v>NO</v>
      </c>
    </row>
    <row r="1343" spans="1:8">
      <c r="A1343" s="10">
        <v>1333</v>
      </c>
      <c r="B1343" s="11">
        <f>D1342</f>
        <v>1560.9375</v>
      </c>
      <c r="C1343" s="11">
        <f>$B$6</f>
        <v>1.171875</v>
      </c>
      <c r="D1343" s="11">
        <f>B1343+C1343</f>
        <v>1562.109375</v>
      </c>
      <c r="E1343" s="10">
        <f>MIN($B$7,ROUND(D1343/$B$6,0))</f>
        <v>1333</v>
      </c>
      <c r="F1343" s="10" t="str">
        <f>DEC2BIN(INT(E1343/64),5)&amp;DEC2BIN(MOD(E1343,64),6)</f>
        <v>10100110101</v>
      </c>
      <c r="G1343" s="10" t="str">
        <f>DEC2HEX(E1343,3)</f>
        <v>535</v>
      </c>
      <c r="H1343" s="10" t="str">
        <f>IF(ROUND(D1343/$B$6,0)&gt;$B$7,"YES","NO")</f>
        <v>NO</v>
      </c>
    </row>
    <row r="1344" spans="1:8">
      <c r="A1344" s="8">
        <v>1334</v>
      </c>
      <c r="B1344" s="9">
        <f>D1343</f>
        <v>1562.109375</v>
      </c>
      <c r="C1344" s="9">
        <f>$B$6</f>
        <v>1.171875</v>
      </c>
      <c r="D1344" s="9">
        <f>B1344+C1344</f>
        <v>1563.28125</v>
      </c>
      <c r="E1344" s="8">
        <f>MIN($B$7,ROUND(D1344/$B$6,0))</f>
        <v>1334</v>
      </c>
      <c r="F1344" s="8" t="str">
        <f>DEC2BIN(INT(E1344/64),5)&amp;DEC2BIN(MOD(E1344,64),6)</f>
        <v>10100110110</v>
      </c>
      <c r="G1344" s="8" t="str">
        <f>DEC2HEX(E1344,3)</f>
        <v>536</v>
      </c>
      <c r="H1344" s="8" t="str">
        <f>IF(ROUND(D1344/$B$6,0)&gt;$B$7,"YES","NO")</f>
        <v>NO</v>
      </c>
    </row>
    <row r="1345" spans="1:8">
      <c r="A1345" s="10">
        <v>1335</v>
      </c>
      <c r="B1345" s="11">
        <f>D1344</f>
        <v>1563.28125</v>
      </c>
      <c r="C1345" s="11">
        <f>$B$6</f>
        <v>1.171875</v>
      </c>
      <c r="D1345" s="11">
        <f>B1345+C1345</f>
        <v>1564.453125</v>
      </c>
      <c r="E1345" s="10">
        <f>MIN($B$7,ROUND(D1345/$B$6,0))</f>
        <v>1335</v>
      </c>
      <c r="F1345" s="10" t="str">
        <f>DEC2BIN(INT(E1345/64),5)&amp;DEC2BIN(MOD(E1345,64),6)</f>
        <v>10100110111</v>
      </c>
      <c r="G1345" s="10" t="str">
        <f>DEC2HEX(E1345,3)</f>
        <v>537</v>
      </c>
      <c r="H1345" s="10" t="str">
        <f>IF(ROUND(D1345/$B$6,0)&gt;$B$7,"YES","NO")</f>
        <v>NO</v>
      </c>
    </row>
    <row r="1346" spans="1:8">
      <c r="A1346" s="8">
        <v>1336</v>
      </c>
      <c r="B1346" s="9">
        <f>D1345</f>
        <v>1564.453125</v>
      </c>
      <c r="C1346" s="9">
        <f>$B$6</f>
        <v>1.171875</v>
      </c>
      <c r="D1346" s="9">
        <f>B1346+C1346</f>
        <v>1565.625</v>
      </c>
      <c r="E1346" s="8">
        <f>MIN($B$7,ROUND(D1346/$B$6,0))</f>
        <v>1336</v>
      </c>
      <c r="F1346" s="8" t="str">
        <f>DEC2BIN(INT(E1346/64),5)&amp;DEC2BIN(MOD(E1346,64),6)</f>
        <v>10100111000</v>
      </c>
      <c r="G1346" s="8" t="str">
        <f>DEC2HEX(E1346,3)</f>
        <v>538</v>
      </c>
      <c r="H1346" s="8" t="str">
        <f>IF(ROUND(D1346/$B$6,0)&gt;$B$7,"YES","NO")</f>
        <v>NO</v>
      </c>
    </row>
    <row r="1347" spans="1:8">
      <c r="A1347" s="10">
        <v>1337</v>
      </c>
      <c r="B1347" s="11">
        <f>D1346</f>
        <v>1565.625</v>
      </c>
      <c r="C1347" s="11">
        <f>$B$6</f>
        <v>1.171875</v>
      </c>
      <c r="D1347" s="11">
        <f>B1347+C1347</f>
        <v>1566.796875</v>
      </c>
      <c r="E1347" s="10">
        <f>MIN($B$7,ROUND(D1347/$B$6,0))</f>
        <v>1337</v>
      </c>
      <c r="F1347" s="10" t="str">
        <f>DEC2BIN(INT(E1347/64),5)&amp;DEC2BIN(MOD(E1347,64),6)</f>
        <v>10100111001</v>
      </c>
      <c r="G1347" s="10" t="str">
        <f>DEC2HEX(E1347,3)</f>
        <v>539</v>
      </c>
      <c r="H1347" s="10" t="str">
        <f>IF(ROUND(D1347/$B$6,0)&gt;$B$7,"YES","NO")</f>
        <v>NO</v>
      </c>
    </row>
    <row r="1348" spans="1:8">
      <c r="A1348" s="8">
        <v>1338</v>
      </c>
      <c r="B1348" s="9">
        <f>D1347</f>
        <v>1566.796875</v>
      </c>
      <c r="C1348" s="9">
        <f>$B$6</f>
        <v>1.171875</v>
      </c>
      <c r="D1348" s="9">
        <f>B1348+C1348</f>
        <v>1567.96875</v>
      </c>
      <c r="E1348" s="8">
        <f>MIN($B$7,ROUND(D1348/$B$6,0))</f>
        <v>1338</v>
      </c>
      <c r="F1348" s="8" t="str">
        <f>DEC2BIN(INT(E1348/64),5)&amp;DEC2BIN(MOD(E1348,64),6)</f>
        <v>10100111010</v>
      </c>
      <c r="G1348" s="8" t="str">
        <f>DEC2HEX(E1348,3)</f>
        <v>53A</v>
      </c>
      <c r="H1348" s="8" t="str">
        <f>IF(ROUND(D1348/$B$6,0)&gt;$B$7,"YES","NO")</f>
        <v>NO</v>
      </c>
    </row>
    <row r="1349" spans="1:8">
      <c r="A1349" s="10">
        <v>1339</v>
      </c>
      <c r="B1349" s="11">
        <f>D1348</f>
        <v>1567.96875</v>
      </c>
      <c r="C1349" s="11">
        <f>$B$6</f>
        <v>1.171875</v>
      </c>
      <c r="D1349" s="11">
        <f>B1349+C1349</f>
        <v>1569.140625</v>
      </c>
      <c r="E1349" s="10">
        <f>MIN($B$7,ROUND(D1349/$B$6,0))</f>
        <v>1339</v>
      </c>
      <c r="F1349" s="10" t="str">
        <f>DEC2BIN(INT(E1349/64),5)&amp;DEC2BIN(MOD(E1349,64),6)</f>
        <v>10100111011</v>
      </c>
      <c r="G1349" s="10" t="str">
        <f>DEC2HEX(E1349,3)</f>
        <v>53B</v>
      </c>
      <c r="H1349" s="10" t="str">
        <f>IF(ROUND(D1349/$B$6,0)&gt;$B$7,"YES","NO")</f>
        <v>NO</v>
      </c>
    </row>
    <row r="1350" spans="1:8">
      <c r="A1350" s="8">
        <v>1340</v>
      </c>
      <c r="B1350" s="9">
        <f>D1349</f>
        <v>1569.140625</v>
      </c>
      <c r="C1350" s="9">
        <f>$B$6</f>
        <v>1.171875</v>
      </c>
      <c r="D1350" s="9">
        <f>B1350+C1350</f>
        <v>1570.3125</v>
      </c>
      <c r="E1350" s="8">
        <f>MIN($B$7,ROUND(D1350/$B$6,0))</f>
        <v>1340</v>
      </c>
      <c r="F1350" s="8" t="str">
        <f>DEC2BIN(INT(E1350/64),5)&amp;DEC2BIN(MOD(E1350,64),6)</f>
        <v>10100111100</v>
      </c>
      <c r="G1350" s="8" t="str">
        <f>DEC2HEX(E1350,3)</f>
        <v>53C</v>
      </c>
      <c r="H1350" s="8" t="str">
        <f>IF(ROUND(D1350/$B$6,0)&gt;$B$7,"YES","NO")</f>
        <v>NO</v>
      </c>
    </row>
    <row r="1351" spans="1:8">
      <c r="A1351" s="10">
        <v>1341</v>
      </c>
      <c r="B1351" s="11">
        <f>D1350</f>
        <v>1570.3125</v>
      </c>
      <c r="C1351" s="11">
        <f>$B$6</f>
        <v>1.171875</v>
      </c>
      <c r="D1351" s="11">
        <f>B1351+C1351</f>
        <v>1571.484375</v>
      </c>
      <c r="E1351" s="10">
        <f>MIN($B$7,ROUND(D1351/$B$6,0))</f>
        <v>1341</v>
      </c>
      <c r="F1351" s="10" t="str">
        <f>DEC2BIN(INT(E1351/64),5)&amp;DEC2BIN(MOD(E1351,64),6)</f>
        <v>10100111101</v>
      </c>
      <c r="G1351" s="10" t="str">
        <f>DEC2HEX(E1351,3)</f>
        <v>53D</v>
      </c>
      <c r="H1351" s="10" t="str">
        <f>IF(ROUND(D1351/$B$6,0)&gt;$B$7,"YES","NO")</f>
        <v>NO</v>
      </c>
    </row>
    <row r="1352" spans="1:8">
      <c r="A1352" s="8">
        <v>1342</v>
      </c>
      <c r="B1352" s="9">
        <f>D1351</f>
        <v>1571.484375</v>
      </c>
      <c r="C1352" s="9">
        <f>$B$6</f>
        <v>1.171875</v>
      </c>
      <c r="D1352" s="9">
        <f>B1352+C1352</f>
        <v>1572.65625</v>
      </c>
      <c r="E1352" s="8">
        <f>MIN($B$7,ROUND(D1352/$B$6,0))</f>
        <v>1342</v>
      </c>
      <c r="F1352" s="8" t="str">
        <f>DEC2BIN(INT(E1352/64),5)&amp;DEC2BIN(MOD(E1352,64),6)</f>
        <v>10100111110</v>
      </c>
      <c r="G1352" s="8" t="str">
        <f>DEC2HEX(E1352,3)</f>
        <v>53E</v>
      </c>
      <c r="H1352" s="8" t="str">
        <f>IF(ROUND(D1352/$B$6,0)&gt;$B$7,"YES","NO")</f>
        <v>NO</v>
      </c>
    </row>
    <row r="1353" spans="1:8">
      <c r="A1353" s="10">
        <v>1343</v>
      </c>
      <c r="B1353" s="11">
        <f>D1352</f>
        <v>1572.65625</v>
      </c>
      <c r="C1353" s="11">
        <f>$B$6</f>
        <v>1.171875</v>
      </c>
      <c r="D1353" s="11">
        <f>B1353+C1353</f>
        <v>1573.828125</v>
      </c>
      <c r="E1353" s="10">
        <f>MIN($B$7,ROUND(D1353/$B$6,0))</f>
        <v>1343</v>
      </c>
      <c r="F1353" s="10" t="str">
        <f>DEC2BIN(INT(E1353/64),5)&amp;DEC2BIN(MOD(E1353,64),6)</f>
        <v>10100111111</v>
      </c>
      <c r="G1353" s="10" t="str">
        <f>DEC2HEX(E1353,3)</f>
        <v>53F</v>
      </c>
      <c r="H1353" s="10" t="str">
        <f>IF(ROUND(D1353/$B$6,0)&gt;$B$7,"YES","NO")</f>
        <v>NO</v>
      </c>
    </row>
    <row r="1354" spans="1:8">
      <c r="A1354" s="8">
        <v>1344</v>
      </c>
      <c r="B1354" s="9">
        <f>D1353</f>
        <v>1573.828125</v>
      </c>
      <c r="C1354" s="9">
        <f>$B$6</f>
        <v>1.171875</v>
      </c>
      <c r="D1354" s="9">
        <f>B1354+C1354</f>
        <v>1575</v>
      </c>
      <c r="E1354" s="8">
        <f>MIN($B$7,ROUND(D1354/$B$6,0))</f>
        <v>1344</v>
      </c>
      <c r="F1354" s="8" t="str">
        <f>DEC2BIN(INT(E1354/64),5)&amp;DEC2BIN(MOD(E1354,64),6)</f>
        <v>10101000000</v>
      </c>
      <c r="G1354" s="8" t="str">
        <f>DEC2HEX(E1354,3)</f>
        <v>540</v>
      </c>
      <c r="H1354" s="8" t="str">
        <f>IF(ROUND(D1354/$B$6,0)&gt;$B$7,"YES","NO")</f>
        <v>NO</v>
      </c>
    </row>
    <row r="1355" spans="1:8">
      <c r="A1355" s="10">
        <v>1345</v>
      </c>
      <c r="B1355" s="11">
        <f>D1354</f>
        <v>1575</v>
      </c>
      <c r="C1355" s="11">
        <f>$B$6</f>
        <v>1.171875</v>
      </c>
      <c r="D1355" s="11">
        <f>B1355+C1355</f>
        <v>1576.171875</v>
      </c>
      <c r="E1355" s="10">
        <f>MIN($B$7,ROUND(D1355/$B$6,0))</f>
        <v>1345</v>
      </c>
      <c r="F1355" s="10" t="str">
        <f>DEC2BIN(INT(E1355/64),5)&amp;DEC2BIN(MOD(E1355,64),6)</f>
        <v>10101000001</v>
      </c>
      <c r="G1355" s="10" t="str">
        <f>DEC2HEX(E1355,3)</f>
        <v>541</v>
      </c>
      <c r="H1355" s="10" t="str">
        <f>IF(ROUND(D1355/$B$6,0)&gt;$B$7,"YES","NO")</f>
        <v>NO</v>
      </c>
    </row>
    <row r="1356" spans="1:8">
      <c r="A1356" s="8">
        <v>1346</v>
      </c>
      <c r="B1356" s="9">
        <f>D1355</f>
        <v>1576.171875</v>
      </c>
      <c r="C1356" s="9">
        <f>$B$6</f>
        <v>1.171875</v>
      </c>
      <c r="D1356" s="9">
        <f>B1356+C1356</f>
        <v>1577.34375</v>
      </c>
      <c r="E1356" s="8">
        <f>MIN($B$7,ROUND(D1356/$B$6,0))</f>
        <v>1346</v>
      </c>
      <c r="F1356" s="8" t="str">
        <f>DEC2BIN(INT(E1356/64),5)&amp;DEC2BIN(MOD(E1356,64),6)</f>
        <v>10101000010</v>
      </c>
      <c r="G1356" s="8" t="str">
        <f>DEC2HEX(E1356,3)</f>
        <v>542</v>
      </c>
      <c r="H1356" s="8" t="str">
        <f>IF(ROUND(D1356/$B$6,0)&gt;$B$7,"YES","NO")</f>
        <v>NO</v>
      </c>
    </row>
    <row r="1357" spans="1:8">
      <c r="A1357" s="10">
        <v>1347</v>
      </c>
      <c r="B1357" s="11">
        <f>D1356</f>
        <v>1577.34375</v>
      </c>
      <c r="C1357" s="11">
        <f>$B$6</f>
        <v>1.171875</v>
      </c>
      <c r="D1357" s="11">
        <f>B1357+C1357</f>
        <v>1578.515625</v>
      </c>
      <c r="E1357" s="10">
        <f>MIN($B$7,ROUND(D1357/$B$6,0))</f>
        <v>1347</v>
      </c>
      <c r="F1357" s="10" t="str">
        <f>DEC2BIN(INT(E1357/64),5)&amp;DEC2BIN(MOD(E1357,64),6)</f>
        <v>10101000011</v>
      </c>
      <c r="G1357" s="10" t="str">
        <f>DEC2HEX(E1357,3)</f>
        <v>543</v>
      </c>
      <c r="H1357" s="10" t="str">
        <f>IF(ROUND(D1357/$B$6,0)&gt;$B$7,"YES","NO")</f>
        <v>NO</v>
      </c>
    </row>
    <row r="1358" spans="1:8">
      <c r="A1358" s="8">
        <v>1348</v>
      </c>
      <c r="B1358" s="9">
        <f>D1357</f>
        <v>1578.515625</v>
      </c>
      <c r="C1358" s="9">
        <f>$B$6</f>
        <v>1.171875</v>
      </c>
      <c r="D1358" s="9">
        <f>B1358+C1358</f>
        <v>1579.6875</v>
      </c>
      <c r="E1358" s="8">
        <f>MIN($B$7,ROUND(D1358/$B$6,0))</f>
        <v>1348</v>
      </c>
      <c r="F1358" s="8" t="str">
        <f>DEC2BIN(INT(E1358/64),5)&amp;DEC2BIN(MOD(E1358,64),6)</f>
        <v>10101000100</v>
      </c>
      <c r="G1358" s="8" t="str">
        <f>DEC2HEX(E1358,3)</f>
        <v>544</v>
      </c>
      <c r="H1358" s="8" t="str">
        <f>IF(ROUND(D1358/$B$6,0)&gt;$B$7,"YES","NO")</f>
        <v>NO</v>
      </c>
    </row>
    <row r="1359" spans="1:8">
      <c r="A1359" s="10">
        <v>1349</v>
      </c>
      <c r="B1359" s="11">
        <f>D1358</f>
        <v>1579.6875</v>
      </c>
      <c r="C1359" s="11">
        <f>$B$6</f>
        <v>1.171875</v>
      </c>
      <c r="D1359" s="11">
        <f>B1359+C1359</f>
        <v>1580.859375</v>
      </c>
      <c r="E1359" s="10">
        <f>MIN($B$7,ROUND(D1359/$B$6,0))</f>
        <v>1349</v>
      </c>
      <c r="F1359" s="10" t="str">
        <f>DEC2BIN(INT(E1359/64),5)&amp;DEC2BIN(MOD(E1359,64),6)</f>
        <v>10101000101</v>
      </c>
      <c r="G1359" s="10" t="str">
        <f>DEC2HEX(E1359,3)</f>
        <v>545</v>
      </c>
      <c r="H1359" s="10" t="str">
        <f>IF(ROUND(D1359/$B$6,0)&gt;$B$7,"YES","NO")</f>
        <v>NO</v>
      </c>
    </row>
    <row r="1360" spans="1:8">
      <c r="A1360" s="8">
        <v>1350</v>
      </c>
      <c r="B1360" s="9">
        <f>D1359</f>
        <v>1580.859375</v>
      </c>
      <c r="C1360" s="9">
        <f>$B$6</f>
        <v>1.171875</v>
      </c>
      <c r="D1360" s="9">
        <f>B1360+C1360</f>
        <v>1582.03125</v>
      </c>
      <c r="E1360" s="8">
        <f>MIN($B$7,ROUND(D1360/$B$6,0))</f>
        <v>1350</v>
      </c>
      <c r="F1360" s="8" t="str">
        <f>DEC2BIN(INT(E1360/64),5)&amp;DEC2BIN(MOD(E1360,64),6)</f>
        <v>10101000110</v>
      </c>
      <c r="G1360" s="8" t="str">
        <f>DEC2HEX(E1360,3)</f>
        <v>546</v>
      </c>
      <c r="H1360" s="8" t="str">
        <f>IF(ROUND(D1360/$B$6,0)&gt;$B$7,"YES","NO")</f>
        <v>NO</v>
      </c>
    </row>
    <row r="1361" spans="1:8">
      <c r="A1361" s="10">
        <v>1351</v>
      </c>
      <c r="B1361" s="11">
        <f>D1360</f>
        <v>1582.03125</v>
      </c>
      <c r="C1361" s="11">
        <f>$B$6</f>
        <v>1.171875</v>
      </c>
      <c r="D1361" s="11">
        <f>B1361+C1361</f>
        <v>1583.203125</v>
      </c>
      <c r="E1361" s="10">
        <f>MIN($B$7,ROUND(D1361/$B$6,0))</f>
        <v>1351</v>
      </c>
      <c r="F1361" s="10" t="str">
        <f>DEC2BIN(INT(E1361/64),5)&amp;DEC2BIN(MOD(E1361,64),6)</f>
        <v>10101000111</v>
      </c>
      <c r="G1361" s="10" t="str">
        <f>DEC2HEX(E1361,3)</f>
        <v>547</v>
      </c>
      <c r="H1361" s="10" t="str">
        <f>IF(ROUND(D1361/$B$6,0)&gt;$B$7,"YES","NO")</f>
        <v>NO</v>
      </c>
    </row>
    <row r="1362" spans="1:8">
      <c r="A1362" s="8">
        <v>1352</v>
      </c>
      <c r="B1362" s="9">
        <f>D1361</f>
        <v>1583.203125</v>
      </c>
      <c r="C1362" s="9">
        <f>$B$6</f>
        <v>1.171875</v>
      </c>
      <c r="D1362" s="9">
        <f>B1362+C1362</f>
        <v>1584.375</v>
      </c>
      <c r="E1362" s="8">
        <f>MIN($B$7,ROUND(D1362/$B$6,0))</f>
        <v>1352</v>
      </c>
      <c r="F1362" s="8" t="str">
        <f>DEC2BIN(INT(E1362/64),5)&amp;DEC2BIN(MOD(E1362,64),6)</f>
        <v>10101001000</v>
      </c>
      <c r="G1362" s="8" t="str">
        <f>DEC2HEX(E1362,3)</f>
        <v>548</v>
      </c>
      <c r="H1362" s="8" t="str">
        <f>IF(ROUND(D1362/$B$6,0)&gt;$B$7,"YES","NO")</f>
        <v>NO</v>
      </c>
    </row>
    <row r="1363" spans="1:8">
      <c r="A1363" s="10">
        <v>1353</v>
      </c>
      <c r="B1363" s="11">
        <f>D1362</f>
        <v>1584.375</v>
      </c>
      <c r="C1363" s="11">
        <f>$B$6</f>
        <v>1.171875</v>
      </c>
      <c r="D1363" s="11">
        <f>B1363+C1363</f>
        <v>1585.546875</v>
      </c>
      <c r="E1363" s="10">
        <f>MIN($B$7,ROUND(D1363/$B$6,0))</f>
        <v>1353</v>
      </c>
      <c r="F1363" s="10" t="str">
        <f>DEC2BIN(INT(E1363/64),5)&amp;DEC2BIN(MOD(E1363,64),6)</f>
        <v>10101001001</v>
      </c>
      <c r="G1363" s="10" t="str">
        <f>DEC2HEX(E1363,3)</f>
        <v>549</v>
      </c>
      <c r="H1363" s="10" t="str">
        <f>IF(ROUND(D1363/$B$6,0)&gt;$B$7,"YES","NO")</f>
        <v>NO</v>
      </c>
    </row>
    <row r="1364" spans="1:8">
      <c r="A1364" s="8">
        <v>1354</v>
      </c>
      <c r="B1364" s="9">
        <f>D1363</f>
        <v>1585.546875</v>
      </c>
      <c r="C1364" s="9">
        <f>$B$6</f>
        <v>1.171875</v>
      </c>
      <c r="D1364" s="9">
        <f>B1364+C1364</f>
        <v>1586.71875</v>
      </c>
      <c r="E1364" s="8">
        <f>MIN($B$7,ROUND(D1364/$B$6,0))</f>
        <v>1354</v>
      </c>
      <c r="F1364" s="8" t="str">
        <f>DEC2BIN(INT(E1364/64),5)&amp;DEC2BIN(MOD(E1364,64),6)</f>
        <v>10101001010</v>
      </c>
      <c r="G1364" s="8" t="str">
        <f>DEC2HEX(E1364,3)</f>
        <v>54A</v>
      </c>
      <c r="H1364" s="8" t="str">
        <f>IF(ROUND(D1364/$B$6,0)&gt;$B$7,"YES","NO")</f>
        <v>NO</v>
      </c>
    </row>
    <row r="1365" spans="1:8">
      <c r="A1365" s="10">
        <v>1355</v>
      </c>
      <c r="B1365" s="11">
        <f>D1364</f>
        <v>1586.71875</v>
      </c>
      <c r="C1365" s="11">
        <f>$B$6</f>
        <v>1.171875</v>
      </c>
      <c r="D1365" s="11">
        <f>B1365+C1365</f>
        <v>1587.890625</v>
      </c>
      <c r="E1365" s="10">
        <f>MIN($B$7,ROUND(D1365/$B$6,0))</f>
        <v>1355</v>
      </c>
      <c r="F1365" s="10" t="str">
        <f>DEC2BIN(INT(E1365/64),5)&amp;DEC2BIN(MOD(E1365,64),6)</f>
        <v>10101001011</v>
      </c>
      <c r="G1365" s="10" t="str">
        <f>DEC2HEX(E1365,3)</f>
        <v>54B</v>
      </c>
      <c r="H1365" s="10" t="str">
        <f>IF(ROUND(D1365/$B$6,0)&gt;$B$7,"YES","NO")</f>
        <v>NO</v>
      </c>
    </row>
    <row r="1366" spans="1:8">
      <c r="A1366" s="8">
        <v>1356</v>
      </c>
      <c r="B1366" s="9">
        <f>D1365</f>
        <v>1587.890625</v>
      </c>
      <c r="C1366" s="9">
        <f>$B$6</f>
        <v>1.171875</v>
      </c>
      <c r="D1366" s="9">
        <f>B1366+C1366</f>
        <v>1589.0625</v>
      </c>
      <c r="E1366" s="8">
        <f>MIN($B$7,ROUND(D1366/$B$6,0))</f>
        <v>1356</v>
      </c>
      <c r="F1366" s="8" t="str">
        <f>DEC2BIN(INT(E1366/64),5)&amp;DEC2BIN(MOD(E1366,64),6)</f>
        <v>10101001100</v>
      </c>
      <c r="G1366" s="8" t="str">
        <f>DEC2HEX(E1366,3)</f>
        <v>54C</v>
      </c>
      <c r="H1366" s="8" t="str">
        <f>IF(ROUND(D1366/$B$6,0)&gt;$B$7,"YES","NO")</f>
        <v>NO</v>
      </c>
    </row>
    <row r="1367" spans="1:8">
      <c r="A1367" s="10">
        <v>1357</v>
      </c>
      <c r="B1367" s="11">
        <f>D1366</f>
        <v>1589.0625</v>
      </c>
      <c r="C1367" s="11">
        <f>$B$6</f>
        <v>1.171875</v>
      </c>
      <c r="D1367" s="11">
        <f>B1367+C1367</f>
        <v>1590.234375</v>
      </c>
      <c r="E1367" s="10">
        <f>MIN($B$7,ROUND(D1367/$B$6,0))</f>
        <v>1357</v>
      </c>
      <c r="F1367" s="10" t="str">
        <f>DEC2BIN(INT(E1367/64),5)&amp;DEC2BIN(MOD(E1367,64),6)</f>
        <v>10101001101</v>
      </c>
      <c r="G1367" s="10" t="str">
        <f>DEC2HEX(E1367,3)</f>
        <v>54D</v>
      </c>
      <c r="H1367" s="10" t="str">
        <f>IF(ROUND(D1367/$B$6,0)&gt;$B$7,"YES","NO")</f>
        <v>NO</v>
      </c>
    </row>
    <row r="1368" spans="1:8">
      <c r="A1368" s="8">
        <v>1358</v>
      </c>
      <c r="B1368" s="9">
        <f>D1367</f>
        <v>1590.234375</v>
      </c>
      <c r="C1368" s="9">
        <f>$B$6</f>
        <v>1.171875</v>
      </c>
      <c r="D1368" s="9">
        <f>B1368+C1368</f>
        <v>1591.40625</v>
      </c>
      <c r="E1368" s="8">
        <f>MIN($B$7,ROUND(D1368/$B$6,0))</f>
        <v>1358</v>
      </c>
      <c r="F1368" s="8" t="str">
        <f>DEC2BIN(INT(E1368/64),5)&amp;DEC2BIN(MOD(E1368,64),6)</f>
        <v>10101001110</v>
      </c>
      <c r="G1368" s="8" t="str">
        <f>DEC2HEX(E1368,3)</f>
        <v>54E</v>
      </c>
      <c r="H1368" s="8" t="str">
        <f>IF(ROUND(D1368/$B$6,0)&gt;$B$7,"YES","NO")</f>
        <v>NO</v>
      </c>
    </row>
    <row r="1369" spans="1:8">
      <c r="A1369" s="10">
        <v>1359</v>
      </c>
      <c r="B1369" s="11">
        <f>D1368</f>
        <v>1591.40625</v>
      </c>
      <c r="C1369" s="11">
        <f>$B$6</f>
        <v>1.171875</v>
      </c>
      <c r="D1369" s="11">
        <f>B1369+C1369</f>
        <v>1592.578125</v>
      </c>
      <c r="E1369" s="10">
        <f>MIN($B$7,ROUND(D1369/$B$6,0))</f>
        <v>1359</v>
      </c>
      <c r="F1369" s="10" t="str">
        <f>DEC2BIN(INT(E1369/64),5)&amp;DEC2BIN(MOD(E1369,64),6)</f>
        <v>10101001111</v>
      </c>
      <c r="G1369" s="10" t="str">
        <f>DEC2HEX(E1369,3)</f>
        <v>54F</v>
      </c>
      <c r="H1369" s="10" t="str">
        <f>IF(ROUND(D1369/$B$6,0)&gt;$B$7,"YES","NO")</f>
        <v>NO</v>
      </c>
    </row>
    <row r="1370" spans="1:8">
      <c r="A1370" s="8">
        <v>1360</v>
      </c>
      <c r="B1370" s="9">
        <f>D1369</f>
        <v>1592.578125</v>
      </c>
      <c r="C1370" s="9">
        <f>$B$6</f>
        <v>1.171875</v>
      </c>
      <c r="D1370" s="9">
        <f>B1370+C1370</f>
        <v>1593.75</v>
      </c>
      <c r="E1370" s="8">
        <f>MIN($B$7,ROUND(D1370/$B$6,0))</f>
        <v>1360</v>
      </c>
      <c r="F1370" s="8" t="str">
        <f>DEC2BIN(INT(E1370/64),5)&amp;DEC2BIN(MOD(E1370,64),6)</f>
        <v>10101010000</v>
      </c>
      <c r="G1370" s="8" t="str">
        <f>DEC2HEX(E1370,3)</f>
        <v>550</v>
      </c>
      <c r="H1370" s="8" t="str">
        <f>IF(ROUND(D1370/$B$6,0)&gt;$B$7,"YES","NO")</f>
        <v>NO</v>
      </c>
    </row>
    <row r="1371" spans="1:8">
      <c r="A1371" s="10">
        <v>1361</v>
      </c>
      <c r="B1371" s="11">
        <f>D1370</f>
        <v>1593.75</v>
      </c>
      <c r="C1371" s="11">
        <f>$B$6</f>
        <v>1.171875</v>
      </c>
      <c r="D1371" s="11">
        <f>B1371+C1371</f>
        <v>1594.921875</v>
      </c>
      <c r="E1371" s="10">
        <f>MIN($B$7,ROUND(D1371/$B$6,0))</f>
        <v>1361</v>
      </c>
      <c r="F1371" s="10" t="str">
        <f>DEC2BIN(INT(E1371/64),5)&amp;DEC2BIN(MOD(E1371,64),6)</f>
        <v>10101010001</v>
      </c>
      <c r="G1371" s="10" t="str">
        <f>DEC2HEX(E1371,3)</f>
        <v>551</v>
      </c>
      <c r="H1371" s="10" t="str">
        <f>IF(ROUND(D1371/$B$6,0)&gt;$B$7,"YES","NO")</f>
        <v>NO</v>
      </c>
    </row>
    <row r="1372" spans="1:8">
      <c r="A1372" s="8">
        <v>1362</v>
      </c>
      <c r="B1372" s="9">
        <f>D1371</f>
        <v>1594.921875</v>
      </c>
      <c r="C1372" s="9">
        <f>$B$6</f>
        <v>1.171875</v>
      </c>
      <c r="D1372" s="9">
        <f>B1372+C1372</f>
        <v>1596.09375</v>
      </c>
      <c r="E1372" s="8">
        <f>MIN($B$7,ROUND(D1372/$B$6,0))</f>
        <v>1362</v>
      </c>
      <c r="F1372" s="8" t="str">
        <f>DEC2BIN(INT(E1372/64),5)&amp;DEC2BIN(MOD(E1372,64),6)</f>
        <v>10101010010</v>
      </c>
      <c r="G1372" s="8" t="str">
        <f>DEC2HEX(E1372,3)</f>
        <v>552</v>
      </c>
      <c r="H1372" s="8" t="str">
        <f>IF(ROUND(D1372/$B$6,0)&gt;$B$7,"YES","NO")</f>
        <v>NO</v>
      </c>
    </row>
    <row r="1373" spans="1:8">
      <c r="A1373" s="10">
        <v>1363</v>
      </c>
      <c r="B1373" s="11">
        <f>D1372</f>
        <v>1596.09375</v>
      </c>
      <c r="C1373" s="11">
        <f>$B$6</f>
        <v>1.171875</v>
      </c>
      <c r="D1373" s="11">
        <f>B1373+C1373</f>
        <v>1597.265625</v>
      </c>
      <c r="E1373" s="10">
        <f>MIN($B$7,ROUND(D1373/$B$6,0))</f>
        <v>1363</v>
      </c>
      <c r="F1373" s="10" t="str">
        <f>DEC2BIN(INT(E1373/64),5)&amp;DEC2BIN(MOD(E1373,64),6)</f>
        <v>10101010011</v>
      </c>
      <c r="G1373" s="10" t="str">
        <f>DEC2HEX(E1373,3)</f>
        <v>553</v>
      </c>
      <c r="H1373" s="10" t="str">
        <f>IF(ROUND(D1373/$B$6,0)&gt;$B$7,"YES","NO")</f>
        <v>NO</v>
      </c>
    </row>
    <row r="1374" spans="1:8">
      <c r="A1374" s="8">
        <v>1364</v>
      </c>
      <c r="B1374" s="9">
        <f>D1373</f>
        <v>1597.265625</v>
      </c>
      <c r="C1374" s="9">
        <f>$B$6</f>
        <v>1.171875</v>
      </c>
      <c r="D1374" s="9">
        <f>B1374+C1374</f>
        <v>1598.4375</v>
      </c>
      <c r="E1374" s="8">
        <f>MIN($B$7,ROUND(D1374/$B$6,0))</f>
        <v>1364</v>
      </c>
      <c r="F1374" s="8" t="str">
        <f>DEC2BIN(INT(E1374/64),5)&amp;DEC2BIN(MOD(E1374,64),6)</f>
        <v>10101010100</v>
      </c>
      <c r="G1374" s="8" t="str">
        <f>DEC2HEX(E1374,3)</f>
        <v>554</v>
      </c>
      <c r="H1374" s="8" t="str">
        <f>IF(ROUND(D1374/$B$6,0)&gt;$B$7,"YES","NO")</f>
        <v>NO</v>
      </c>
    </row>
    <row r="1375" spans="1:8">
      <c r="A1375" s="10">
        <v>1365</v>
      </c>
      <c r="B1375" s="11">
        <f>D1374</f>
        <v>1598.4375</v>
      </c>
      <c r="C1375" s="11">
        <f>$B$6</f>
        <v>1.171875</v>
      </c>
      <c r="D1375" s="11">
        <f>B1375+C1375</f>
        <v>1599.609375</v>
      </c>
      <c r="E1375" s="10">
        <f>MIN($B$7,ROUND(D1375/$B$6,0))</f>
        <v>1365</v>
      </c>
      <c r="F1375" s="10" t="str">
        <f>DEC2BIN(INT(E1375/64),5)&amp;DEC2BIN(MOD(E1375,64),6)</f>
        <v>10101010101</v>
      </c>
      <c r="G1375" s="10" t="str">
        <f>DEC2HEX(E1375,3)</f>
        <v>555</v>
      </c>
      <c r="H1375" s="10" t="str">
        <f>IF(ROUND(D1375/$B$6,0)&gt;$B$7,"YES","NO")</f>
        <v>NO</v>
      </c>
    </row>
    <row r="1376" spans="1:8">
      <c r="A1376" s="8">
        <v>1366</v>
      </c>
      <c r="B1376" s="9">
        <f>D1375</f>
        <v>1599.609375</v>
      </c>
      <c r="C1376" s="9">
        <f>$B$6</f>
        <v>1.171875</v>
      </c>
      <c r="D1376" s="9">
        <f>B1376+C1376</f>
        <v>1600.78125</v>
      </c>
      <c r="E1376" s="8">
        <f>MIN($B$7,ROUND(D1376/$B$6,0))</f>
        <v>1366</v>
      </c>
      <c r="F1376" s="8" t="str">
        <f>DEC2BIN(INT(E1376/64),5)&amp;DEC2BIN(MOD(E1376,64),6)</f>
        <v>10101010110</v>
      </c>
      <c r="G1376" s="8" t="str">
        <f>DEC2HEX(E1376,3)</f>
        <v>556</v>
      </c>
      <c r="H1376" s="8" t="str">
        <f>IF(ROUND(D1376/$B$6,0)&gt;$B$7,"YES","NO")</f>
        <v>NO</v>
      </c>
    </row>
    <row r="1377" spans="1:8">
      <c r="A1377" s="10">
        <v>1367</v>
      </c>
      <c r="B1377" s="11">
        <f>D1376</f>
        <v>1600.78125</v>
      </c>
      <c r="C1377" s="11">
        <f>$B$6</f>
        <v>1.171875</v>
      </c>
      <c r="D1377" s="11">
        <f>B1377+C1377</f>
        <v>1601.953125</v>
      </c>
      <c r="E1377" s="10">
        <f>MIN($B$7,ROUND(D1377/$B$6,0))</f>
        <v>1367</v>
      </c>
      <c r="F1377" s="10" t="str">
        <f>DEC2BIN(INT(E1377/64),5)&amp;DEC2BIN(MOD(E1377,64),6)</f>
        <v>10101010111</v>
      </c>
      <c r="G1377" s="10" t="str">
        <f>DEC2HEX(E1377,3)</f>
        <v>557</v>
      </c>
      <c r="H1377" s="10" t="str">
        <f>IF(ROUND(D1377/$B$6,0)&gt;$B$7,"YES","NO")</f>
        <v>NO</v>
      </c>
    </row>
    <row r="1378" spans="1:8">
      <c r="A1378" s="8">
        <v>1368</v>
      </c>
      <c r="B1378" s="9">
        <f>D1377</f>
        <v>1601.953125</v>
      </c>
      <c r="C1378" s="9">
        <f>$B$6</f>
        <v>1.171875</v>
      </c>
      <c r="D1378" s="9">
        <f>B1378+C1378</f>
        <v>1603.125</v>
      </c>
      <c r="E1378" s="8">
        <f>MIN($B$7,ROUND(D1378/$B$6,0))</f>
        <v>1368</v>
      </c>
      <c r="F1378" s="8" t="str">
        <f>DEC2BIN(INT(E1378/64),5)&amp;DEC2BIN(MOD(E1378,64),6)</f>
        <v>10101011000</v>
      </c>
      <c r="G1378" s="8" t="str">
        <f>DEC2HEX(E1378,3)</f>
        <v>558</v>
      </c>
      <c r="H1378" s="8" t="str">
        <f>IF(ROUND(D1378/$B$6,0)&gt;$B$7,"YES","NO")</f>
        <v>NO</v>
      </c>
    </row>
    <row r="1379" spans="1:8">
      <c r="A1379" s="10">
        <v>1369</v>
      </c>
      <c r="B1379" s="11">
        <f>D1378</f>
        <v>1603.125</v>
      </c>
      <c r="C1379" s="11">
        <f>$B$6</f>
        <v>1.171875</v>
      </c>
      <c r="D1379" s="11">
        <f>B1379+C1379</f>
        <v>1604.296875</v>
      </c>
      <c r="E1379" s="10">
        <f>MIN($B$7,ROUND(D1379/$B$6,0))</f>
        <v>1369</v>
      </c>
      <c r="F1379" s="10" t="str">
        <f>DEC2BIN(INT(E1379/64),5)&amp;DEC2BIN(MOD(E1379,64),6)</f>
        <v>10101011001</v>
      </c>
      <c r="G1379" s="10" t="str">
        <f>DEC2HEX(E1379,3)</f>
        <v>559</v>
      </c>
      <c r="H1379" s="10" t="str">
        <f>IF(ROUND(D1379/$B$6,0)&gt;$B$7,"YES","NO")</f>
        <v>NO</v>
      </c>
    </row>
    <row r="1380" spans="1:8">
      <c r="A1380" s="8">
        <v>1370</v>
      </c>
      <c r="B1380" s="9">
        <f>D1379</f>
        <v>1604.296875</v>
      </c>
      <c r="C1380" s="9">
        <f>$B$6</f>
        <v>1.171875</v>
      </c>
      <c r="D1380" s="9">
        <f>B1380+C1380</f>
        <v>1605.46875</v>
      </c>
      <c r="E1380" s="8">
        <f>MIN($B$7,ROUND(D1380/$B$6,0))</f>
        <v>1370</v>
      </c>
      <c r="F1380" s="8" t="str">
        <f>DEC2BIN(INT(E1380/64),5)&amp;DEC2BIN(MOD(E1380,64),6)</f>
        <v>10101011010</v>
      </c>
      <c r="G1380" s="8" t="str">
        <f>DEC2HEX(E1380,3)</f>
        <v>55A</v>
      </c>
      <c r="H1380" s="8" t="str">
        <f>IF(ROUND(D1380/$B$6,0)&gt;$B$7,"YES","NO")</f>
        <v>NO</v>
      </c>
    </row>
    <row r="1381" spans="1:8">
      <c r="A1381" s="10">
        <v>1371</v>
      </c>
      <c r="B1381" s="11">
        <f>D1380</f>
        <v>1605.46875</v>
      </c>
      <c r="C1381" s="11">
        <f>$B$6</f>
        <v>1.171875</v>
      </c>
      <c r="D1381" s="11">
        <f>B1381+C1381</f>
        <v>1606.640625</v>
      </c>
      <c r="E1381" s="10">
        <f>MIN($B$7,ROUND(D1381/$B$6,0))</f>
        <v>1371</v>
      </c>
      <c r="F1381" s="10" t="str">
        <f>DEC2BIN(INT(E1381/64),5)&amp;DEC2BIN(MOD(E1381,64),6)</f>
        <v>10101011011</v>
      </c>
      <c r="G1381" s="10" t="str">
        <f>DEC2HEX(E1381,3)</f>
        <v>55B</v>
      </c>
      <c r="H1381" s="10" t="str">
        <f>IF(ROUND(D1381/$B$6,0)&gt;$B$7,"YES","NO")</f>
        <v>NO</v>
      </c>
    </row>
    <row r="1382" spans="1:8">
      <c r="A1382" s="8">
        <v>1372</v>
      </c>
      <c r="B1382" s="9">
        <f>D1381</f>
        <v>1606.640625</v>
      </c>
      <c r="C1382" s="9">
        <f>$B$6</f>
        <v>1.171875</v>
      </c>
      <c r="D1382" s="9">
        <f>B1382+C1382</f>
        <v>1607.8125</v>
      </c>
      <c r="E1382" s="8">
        <f>MIN($B$7,ROUND(D1382/$B$6,0))</f>
        <v>1372</v>
      </c>
      <c r="F1382" s="8" t="str">
        <f>DEC2BIN(INT(E1382/64),5)&amp;DEC2BIN(MOD(E1382,64),6)</f>
        <v>10101011100</v>
      </c>
      <c r="G1382" s="8" t="str">
        <f>DEC2HEX(E1382,3)</f>
        <v>55C</v>
      </c>
      <c r="H1382" s="8" t="str">
        <f>IF(ROUND(D1382/$B$6,0)&gt;$B$7,"YES","NO")</f>
        <v>NO</v>
      </c>
    </row>
    <row r="1383" spans="1:8">
      <c r="A1383" s="10">
        <v>1373</v>
      </c>
      <c r="B1383" s="11">
        <f>D1382</f>
        <v>1607.8125</v>
      </c>
      <c r="C1383" s="11">
        <f>$B$6</f>
        <v>1.171875</v>
      </c>
      <c r="D1383" s="11">
        <f>B1383+C1383</f>
        <v>1608.984375</v>
      </c>
      <c r="E1383" s="10">
        <f>MIN($B$7,ROUND(D1383/$B$6,0))</f>
        <v>1373</v>
      </c>
      <c r="F1383" s="10" t="str">
        <f>DEC2BIN(INT(E1383/64),5)&amp;DEC2BIN(MOD(E1383,64),6)</f>
        <v>10101011101</v>
      </c>
      <c r="G1383" s="10" t="str">
        <f>DEC2HEX(E1383,3)</f>
        <v>55D</v>
      </c>
      <c r="H1383" s="10" t="str">
        <f>IF(ROUND(D1383/$B$6,0)&gt;$B$7,"YES","NO")</f>
        <v>NO</v>
      </c>
    </row>
    <row r="1384" spans="1:8">
      <c r="A1384" s="8">
        <v>1374</v>
      </c>
      <c r="B1384" s="9">
        <f>D1383</f>
        <v>1608.984375</v>
      </c>
      <c r="C1384" s="9">
        <f>$B$6</f>
        <v>1.171875</v>
      </c>
      <c r="D1384" s="9">
        <f>B1384+C1384</f>
        <v>1610.15625</v>
      </c>
      <c r="E1384" s="8">
        <f>MIN($B$7,ROUND(D1384/$B$6,0))</f>
        <v>1374</v>
      </c>
      <c r="F1384" s="8" t="str">
        <f>DEC2BIN(INT(E1384/64),5)&amp;DEC2BIN(MOD(E1384,64),6)</f>
        <v>10101011110</v>
      </c>
      <c r="G1384" s="8" t="str">
        <f>DEC2HEX(E1384,3)</f>
        <v>55E</v>
      </c>
      <c r="H1384" s="8" t="str">
        <f>IF(ROUND(D1384/$B$6,0)&gt;$B$7,"YES","NO")</f>
        <v>NO</v>
      </c>
    </row>
    <row r="1385" spans="1:8">
      <c r="A1385" s="10">
        <v>1375</v>
      </c>
      <c r="B1385" s="11">
        <f>D1384</f>
        <v>1610.15625</v>
      </c>
      <c r="C1385" s="11">
        <f>$B$6</f>
        <v>1.171875</v>
      </c>
      <c r="D1385" s="11">
        <f>B1385+C1385</f>
        <v>1611.328125</v>
      </c>
      <c r="E1385" s="10">
        <f>MIN($B$7,ROUND(D1385/$B$6,0))</f>
        <v>1375</v>
      </c>
      <c r="F1385" s="10" t="str">
        <f>DEC2BIN(INT(E1385/64),5)&amp;DEC2BIN(MOD(E1385,64),6)</f>
        <v>10101011111</v>
      </c>
      <c r="G1385" s="10" t="str">
        <f>DEC2HEX(E1385,3)</f>
        <v>55F</v>
      </c>
      <c r="H1385" s="10" t="str">
        <f>IF(ROUND(D1385/$B$6,0)&gt;$B$7,"YES","NO")</f>
        <v>NO</v>
      </c>
    </row>
    <row r="1386" spans="1:8">
      <c r="A1386" s="8">
        <v>1376</v>
      </c>
      <c r="B1386" s="9">
        <f>D1385</f>
        <v>1611.328125</v>
      </c>
      <c r="C1386" s="9">
        <f>$B$6</f>
        <v>1.171875</v>
      </c>
      <c r="D1386" s="9">
        <f>B1386+C1386</f>
        <v>1612.5</v>
      </c>
      <c r="E1386" s="8">
        <f>MIN($B$7,ROUND(D1386/$B$6,0))</f>
        <v>1376</v>
      </c>
      <c r="F1386" s="8" t="str">
        <f>DEC2BIN(INT(E1386/64),5)&amp;DEC2BIN(MOD(E1386,64),6)</f>
        <v>10101100000</v>
      </c>
      <c r="G1386" s="8" t="str">
        <f>DEC2HEX(E1386,3)</f>
        <v>560</v>
      </c>
      <c r="H1386" s="8" t="str">
        <f>IF(ROUND(D1386/$B$6,0)&gt;$B$7,"YES","NO")</f>
        <v>NO</v>
      </c>
    </row>
    <row r="1387" spans="1:8">
      <c r="A1387" s="10">
        <v>1377</v>
      </c>
      <c r="B1387" s="11">
        <f>D1386</f>
        <v>1612.5</v>
      </c>
      <c r="C1387" s="11">
        <f>$B$6</f>
        <v>1.171875</v>
      </c>
      <c r="D1387" s="11">
        <f>B1387+C1387</f>
        <v>1613.671875</v>
      </c>
      <c r="E1387" s="10">
        <f>MIN($B$7,ROUND(D1387/$B$6,0))</f>
        <v>1377</v>
      </c>
      <c r="F1387" s="10" t="str">
        <f>DEC2BIN(INT(E1387/64),5)&amp;DEC2BIN(MOD(E1387,64),6)</f>
        <v>10101100001</v>
      </c>
      <c r="G1387" s="10" t="str">
        <f>DEC2HEX(E1387,3)</f>
        <v>561</v>
      </c>
      <c r="H1387" s="10" t="str">
        <f>IF(ROUND(D1387/$B$6,0)&gt;$B$7,"YES","NO")</f>
        <v>NO</v>
      </c>
    </row>
    <row r="1388" spans="1:8">
      <c r="A1388" s="8">
        <v>1378</v>
      </c>
      <c r="B1388" s="9">
        <f>D1387</f>
        <v>1613.671875</v>
      </c>
      <c r="C1388" s="9">
        <f>$B$6</f>
        <v>1.171875</v>
      </c>
      <c r="D1388" s="9">
        <f>B1388+C1388</f>
        <v>1614.84375</v>
      </c>
      <c r="E1388" s="8">
        <f>MIN($B$7,ROUND(D1388/$B$6,0))</f>
        <v>1378</v>
      </c>
      <c r="F1388" s="8" t="str">
        <f>DEC2BIN(INT(E1388/64),5)&amp;DEC2BIN(MOD(E1388,64),6)</f>
        <v>10101100010</v>
      </c>
      <c r="G1388" s="8" t="str">
        <f>DEC2HEX(E1388,3)</f>
        <v>562</v>
      </c>
      <c r="H1388" s="8" t="str">
        <f>IF(ROUND(D1388/$B$6,0)&gt;$B$7,"YES","NO")</f>
        <v>NO</v>
      </c>
    </row>
    <row r="1389" spans="1:8">
      <c r="A1389" s="10">
        <v>1379</v>
      </c>
      <c r="B1389" s="11">
        <f>D1388</f>
        <v>1614.84375</v>
      </c>
      <c r="C1389" s="11">
        <f>$B$6</f>
        <v>1.171875</v>
      </c>
      <c r="D1389" s="11">
        <f>B1389+C1389</f>
        <v>1616.015625</v>
      </c>
      <c r="E1389" s="10">
        <f>MIN($B$7,ROUND(D1389/$B$6,0))</f>
        <v>1379</v>
      </c>
      <c r="F1389" s="10" t="str">
        <f>DEC2BIN(INT(E1389/64),5)&amp;DEC2BIN(MOD(E1389,64),6)</f>
        <v>10101100011</v>
      </c>
      <c r="G1389" s="10" t="str">
        <f>DEC2HEX(E1389,3)</f>
        <v>563</v>
      </c>
      <c r="H1389" s="10" t="str">
        <f>IF(ROUND(D1389/$B$6,0)&gt;$B$7,"YES","NO")</f>
        <v>NO</v>
      </c>
    </row>
    <row r="1390" spans="1:8">
      <c r="A1390" s="8">
        <v>1380</v>
      </c>
      <c r="B1390" s="9">
        <f>D1389</f>
        <v>1616.015625</v>
      </c>
      <c r="C1390" s="9">
        <f>$B$6</f>
        <v>1.171875</v>
      </c>
      <c r="D1390" s="9">
        <f>B1390+C1390</f>
        <v>1617.1875</v>
      </c>
      <c r="E1390" s="8">
        <f>MIN($B$7,ROUND(D1390/$B$6,0))</f>
        <v>1380</v>
      </c>
      <c r="F1390" s="8" t="str">
        <f>DEC2BIN(INT(E1390/64),5)&amp;DEC2BIN(MOD(E1390,64),6)</f>
        <v>10101100100</v>
      </c>
      <c r="G1390" s="8" t="str">
        <f>DEC2HEX(E1390,3)</f>
        <v>564</v>
      </c>
      <c r="H1390" s="8" t="str">
        <f>IF(ROUND(D1390/$B$6,0)&gt;$B$7,"YES","NO")</f>
        <v>NO</v>
      </c>
    </row>
    <row r="1391" spans="1:8">
      <c r="A1391" s="10">
        <v>1381</v>
      </c>
      <c r="B1391" s="11">
        <f>D1390</f>
        <v>1617.1875</v>
      </c>
      <c r="C1391" s="11">
        <f>$B$6</f>
        <v>1.171875</v>
      </c>
      <c r="D1391" s="11">
        <f>B1391+C1391</f>
        <v>1618.359375</v>
      </c>
      <c r="E1391" s="10">
        <f>MIN($B$7,ROUND(D1391/$B$6,0))</f>
        <v>1381</v>
      </c>
      <c r="F1391" s="10" t="str">
        <f>DEC2BIN(INT(E1391/64),5)&amp;DEC2BIN(MOD(E1391,64),6)</f>
        <v>10101100101</v>
      </c>
      <c r="G1391" s="10" t="str">
        <f>DEC2HEX(E1391,3)</f>
        <v>565</v>
      </c>
      <c r="H1391" s="10" t="str">
        <f>IF(ROUND(D1391/$B$6,0)&gt;$B$7,"YES","NO")</f>
        <v>NO</v>
      </c>
    </row>
    <row r="1392" spans="1:8">
      <c r="A1392" s="8">
        <v>1382</v>
      </c>
      <c r="B1392" s="9">
        <f>D1391</f>
        <v>1618.359375</v>
      </c>
      <c r="C1392" s="9">
        <f>$B$6</f>
        <v>1.171875</v>
      </c>
      <c r="D1392" s="9">
        <f>B1392+C1392</f>
        <v>1619.53125</v>
      </c>
      <c r="E1392" s="8">
        <f>MIN($B$7,ROUND(D1392/$B$6,0))</f>
        <v>1382</v>
      </c>
      <c r="F1392" s="8" t="str">
        <f>DEC2BIN(INT(E1392/64),5)&amp;DEC2BIN(MOD(E1392,64),6)</f>
        <v>10101100110</v>
      </c>
      <c r="G1392" s="8" t="str">
        <f>DEC2HEX(E1392,3)</f>
        <v>566</v>
      </c>
      <c r="H1392" s="8" t="str">
        <f>IF(ROUND(D1392/$B$6,0)&gt;$B$7,"YES","NO")</f>
        <v>NO</v>
      </c>
    </row>
    <row r="1393" spans="1:8">
      <c r="A1393" s="10">
        <v>1383</v>
      </c>
      <c r="B1393" s="11">
        <f>D1392</f>
        <v>1619.53125</v>
      </c>
      <c r="C1393" s="11">
        <f>$B$6</f>
        <v>1.171875</v>
      </c>
      <c r="D1393" s="11">
        <f>B1393+C1393</f>
        <v>1620.703125</v>
      </c>
      <c r="E1393" s="10">
        <f>MIN($B$7,ROUND(D1393/$B$6,0))</f>
        <v>1383</v>
      </c>
      <c r="F1393" s="10" t="str">
        <f>DEC2BIN(INT(E1393/64),5)&amp;DEC2BIN(MOD(E1393,64),6)</f>
        <v>10101100111</v>
      </c>
      <c r="G1393" s="10" t="str">
        <f>DEC2HEX(E1393,3)</f>
        <v>567</v>
      </c>
      <c r="H1393" s="10" t="str">
        <f>IF(ROUND(D1393/$B$6,0)&gt;$B$7,"YES","NO")</f>
        <v>NO</v>
      </c>
    </row>
    <row r="1394" spans="1:8">
      <c r="A1394" s="8">
        <v>1384</v>
      </c>
      <c r="B1394" s="9">
        <f>D1393</f>
        <v>1620.703125</v>
      </c>
      <c r="C1394" s="9">
        <f>$B$6</f>
        <v>1.171875</v>
      </c>
      <c r="D1394" s="9">
        <f>B1394+C1394</f>
        <v>1621.875</v>
      </c>
      <c r="E1394" s="8">
        <f>MIN($B$7,ROUND(D1394/$B$6,0))</f>
        <v>1384</v>
      </c>
      <c r="F1394" s="8" t="str">
        <f>DEC2BIN(INT(E1394/64),5)&amp;DEC2BIN(MOD(E1394,64),6)</f>
        <v>10101101000</v>
      </c>
      <c r="G1394" s="8" t="str">
        <f>DEC2HEX(E1394,3)</f>
        <v>568</v>
      </c>
      <c r="H1394" s="8" t="str">
        <f>IF(ROUND(D1394/$B$6,0)&gt;$B$7,"YES","NO")</f>
        <v>NO</v>
      </c>
    </row>
    <row r="1395" spans="1:8">
      <c r="A1395" s="10">
        <v>1385</v>
      </c>
      <c r="B1395" s="11">
        <f>D1394</f>
        <v>1621.875</v>
      </c>
      <c r="C1395" s="11">
        <f>$B$6</f>
        <v>1.171875</v>
      </c>
      <c r="D1395" s="11">
        <f>B1395+C1395</f>
        <v>1623.046875</v>
      </c>
      <c r="E1395" s="10">
        <f>MIN($B$7,ROUND(D1395/$B$6,0))</f>
        <v>1385</v>
      </c>
      <c r="F1395" s="10" t="str">
        <f>DEC2BIN(INT(E1395/64),5)&amp;DEC2BIN(MOD(E1395,64),6)</f>
        <v>10101101001</v>
      </c>
      <c r="G1395" s="10" t="str">
        <f>DEC2HEX(E1395,3)</f>
        <v>569</v>
      </c>
      <c r="H1395" s="10" t="str">
        <f>IF(ROUND(D1395/$B$6,0)&gt;$B$7,"YES","NO")</f>
        <v>NO</v>
      </c>
    </row>
    <row r="1396" spans="1:8">
      <c r="A1396" s="8">
        <v>1386</v>
      </c>
      <c r="B1396" s="9">
        <f>D1395</f>
        <v>1623.046875</v>
      </c>
      <c r="C1396" s="9">
        <f>$B$6</f>
        <v>1.171875</v>
      </c>
      <c r="D1396" s="9">
        <f>B1396+C1396</f>
        <v>1624.21875</v>
      </c>
      <c r="E1396" s="8">
        <f>MIN($B$7,ROUND(D1396/$B$6,0))</f>
        <v>1386</v>
      </c>
      <c r="F1396" s="8" t="str">
        <f>DEC2BIN(INT(E1396/64),5)&amp;DEC2BIN(MOD(E1396,64),6)</f>
        <v>10101101010</v>
      </c>
      <c r="G1396" s="8" t="str">
        <f>DEC2HEX(E1396,3)</f>
        <v>56A</v>
      </c>
      <c r="H1396" s="8" t="str">
        <f>IF(ROUND(D1396/$B$6,0)&gt;$B$7,"YES","NO")</f>
        <v>NO</v>
      </c>
    </row>
    <row r="1397" spans="1:8">
      <c r="A1397" s="10">
        <v>1387</v>
      </c>
      <c r="B1397" s="11">
        <f>D1396</f>
        <v>1624.21875</v>
      </c>
      <c r="C1397" s="11">
        <f>$B$6</f>
        <v>1.171875</v>
      </c>
      <c r="D1397" s="11">
        <f>B1397+C1397</f>
        <v>1625.390625</v>
      </c>
      <c r="E1397" s="10">
        <f>MIN($B$7,ROUND(D1397/$B$6,0))</f>
        <v>1387</v>
      </c>
      <c r="F1397" s="10" t="str">
        <f>DEC2BIN(INT(E1397/64),5)&amp;DEC2BIN(MOD(E1397,64),6)</f>
        <v>10101101011</v>
      </c>
      <c r="G1397" s="10" t="str">
        <f>DEC2HEX(E1397,3)</f>
        <v>56B</v>
      </c>
      <c r="H1397" s="10" t="str">
        <f>IF(ROUND(D1397/$B$6,0)&gt;$B$7,"YES","NO")</f>
        <v>NO</v>
      </c>
    </row>
    <row r="1398" spans="1:8">
      <c r="A1398" s="8">
        <v>1388</v>
      </c>
      <c r="B1398" s="9">
        <f>D1397</f>
        <v>1625.390625</v>
      </c>
      <c r="C1398" s="9">
        <f>$B$6</f>
        <v>1.171875</v>
      </c>
      <c r="D1398" s="9">
        <f>B1398+C1398</f>
        <v>1626.5625</v>
      </c>
      <c r="E1398" s="8">
        <f>MIN($B$7,ROUND(D1398/$B$6,0))</f>
        <v>1388</v>
      </c>
      <c r="F1398" s="8" t="str">
        <f>DEC2BIN(INT(E1398/64),5)&amp;DEC2BIN(MOD(E1398,64),6)</f>
        <v>10101101100</v>
      </c>
      <c r="G1398" s="8" t="str">
        <f>DEC2HEX(E1398,3)</f>
        <v>56C</v>
      </c>
      <c r="H1398" s="8" t="str">
        <f>IF(ROUND(D1398/$B$6,0)&gt;$B$7,"YES","NO")</f>
        <v>NO</v>
      </c>
    </row>
    <row r="1399" spans="1:8">
      <c r="A1399" s="10">
        <v>1389</v>
      </c>
      <c r="B1399" s="11">
        <f>D1398</f>
        <v>1626.5625</v>
      </c>
      <c r="C1399" s="11">
        <f>$B$6</f>
        <v>1.171875</v>
      </c>
      <c r="D1399" s="11">
        <f>B1399+C1399</f>
        <v>1627.734375</v>
      </c>
      <c r="E1399" s="10">
        <f>MIN($B$7,ROUND(D1399/$B$6,0))</f>
        <v>1389</v>
      </c>
      <c r="F1399" s="10" t="str">
        <f>DEC2BIN(INT(E1399/64),5)&amp;DEC2BIN(MOD(E1399,64),6)</f>
        <v>10101101101</v>
      </c>
      <c r="G1399" s="10" t="str">
        <f>DEC2HEX(E1399,3)</f>
        <v>56D</v>
      </c>
      <c r="H1399" s="10" t="str">
        <f>IF(ROUND(D1399/$B$6,0)&gt;$B$7,"YES","NO")</f>
        <v>NO</v>
      </c>
    </row>
    <row r="1400" spans="1:8">
      <c r="A1400" s="8">
        <v>1390</v>
      </c>
      <c r="B1400" s="9">
        <f>D1399</f>
        <v>1627.734375</v>
      </c>
      <c r="C1400" s="9">
        <f>$B$6</f>
        <v>1.171875</v>
      </c>
      <c r="D1400" s="9">
        <f>B1400+C1400</f>
        <v>1628.90625</v>
      </c>
      <c r="E1400" s="8">
        <f>MIN($B$7,ROUND(D1400/$B$6,0))</f>
        <v>1390</v>
      </c>
      <c r="F1400" s="8" t="str">
        <f>DEC2BIN(INT(E1400/64),5)&amp;DEC2BIN(MOD(E1400,64),6)</f>
        <v>10101101110</v>
      </c>
      <c r="G1400" s="8" t="str">
        <f>DEC2HEX(E1400,3)</f>
        <v>56E</v>
      </c>
      <c r="H1400" s="8" t="str">
        <f>IF(ROUND(D1400/$B$6,0)&gt;$B$7,"YES","NO")</f>
        <v>NO</v>
      </c>
    </row>
    <row r="1401" spans="1:8">
      <c r="A1401" s="10">
        <v>1391</v>
      </c>
      <c r="B1401" s="11">
        <f>D1400</f>
        <v>1628.90625</v>
      </c>
      <c r="C1401" s="11">
        <f>$B$6</f>
        <v>1.171875</v>
      </c>
      <c r="D1401" s="11">
        <f>B1401+C1401</f>
        <v>1630.078125</v>
      </c>
      <c r="E1401" s="10">
        <f>MIN($B$7,ROUND(D1401/$B$6,0))</f>
        <v>1391</v>
      </c>
      <c r="F1401" s="10" t="str">
        <f>DEC2BIN(INT(E1401/64),5)&amp;DEC2BIN(MOD(E1401,64),6)</f>
        <v>10101101111</v>
      </c>
      <c r="G1401" s="10" t="str">
        <f>DEC2HEX(E1401,3)</f>
        <v>56F</v>
      </c>
      <c r="H1401" s="10" t="str">
        <f>IF(ROUND(D1401/$B$6,0)&gt;$B$7,"YES","NO")</f>
        <v>NO</v>
      </c>
    </row>
    <row r="1402" spans="1:8">
      <c r="A1402" s="8">
        <v>1392</v>
      </c>
      <c r="B1402" s="9">
        <f>D1401</f>
        <v>1630.078125</v>
      </c>
      <c r="C1402" s="9">
        <f>$B$6</f>
        <v>1.171875</v>
      </c>
      <c r="D1402" s="9">
        <f>B1402+C1402</f>
        <v>1631.25</v>
      </c>
      <c r="E1402" s="8">
        <f>MIN($B$7,ROUND(D1402/$B$6,0))</f>
        <v>1392</v>
      </c>
      <c r="F1402" s="8" t="str">
        <f>DEC2BIN(INT(E1402/64),5)&amp;DEC2BIN(MOD(E1402,64),6)</f>
        <v>10101110000</v>
      </c>
      <c r="G1402" s="8" t="str">
        <f>DEC2HEX(E1402,3)</f>
        <v>570</v>
      </c>
      <c r="H1402" s="8" t="str">
        <f>IF(ROUND(D1402/$B$6,0)&gt;$B$7,"YES","NO")</f>
        <v>NO</v>
      </c>
    </row>
    <row r="1403" spans="1:8">
      <c r="A1403" s="10">
        <v>1393</v>
      </c>
      <c r="B1403" s="11">
        <f>D1402</f>
        <v>1631.25</v>
      </c>
      <c r="C1403" s="11">
        <f>$B$6</f>
        <v>1.171875</v>
      </c>
      <c r="D1403" s="11">
        <f>B1403+C1403</f>
        <v>1632.421875</v>
      </c>
      <c r="E1403" s="10">
        <f>MIN($B$7,ROUND(D1403/$B$6,0))</f>
        <v>1393</v>
      </c>
      <c r="F1403" s="10" t="str">
        <f>DEC2BIN(INT(E1403/64),5)&amp;DEC2BIN(MOD(E1403,64),6)</f>
        <v>10101110001</v>
      </c>
      <c r="G1403" s="10" t="str">
        <f>DEC2HEX(E1403,3)</f>
        <v>571</v>
      </c>
      <c r="H1403" s="10" t="str">
        <f>IF(ROUND(D1403/$B$6,0)&gt;$B$7,"YES","NO")</f>
        <v>NO</v>
      </c>
    </row>
    <row r="1404" spans="1:8">
      <c r="A1404" s="8">
        <v>1394</v>
      </c>
      <c r="B1404" s="9">
        <f>D1403</f>
        <v>1632.421875</v>
      </c>
      <c r="C1404" s="9">
        <f>$B$6</f>
        <v>1.171875</v>
      </c>
      <c r="D1404" s="9">
        <f>B1404+C1404</f>
        <v>1633.59375</v>
      </c>
      <c r="E1404" s="8">
        <f>MIN($B$7,ROUND(D1404/$B$6,0))</f>
        <v>1394</v>
      </c>
      <c r="F1404" s="8" t="str">
        <f>DEC2BIN(INT(E1404/64),5)&amp;DEC2BIN(MOD(E1404,64),6)</f>
        <v>10101110010</v>
      </c>
      <c r="G1404" s="8" t="str">
        <f>DEC2HEX(E1404,3)</f>
        <v>572</v>
      </c>
      <c r="H1404" s="8" t="str">
        <f>IF(ROUND(D1404/$B$6,0)&gt;$B$7,"YES","NO")</f>
        <v>NO</v>
      </c>
    </row>
    <row r="1405" spans="1:8">
      <c r="A1405" s="10">
        <v>1395</v>
      </c>
      <c r="B1405" s="11">
        <f>D1404</f>
        <v>1633.59375</v>
      </c>
      <c r="C1405" s="11">
        <f>$B$6</f>
        <v>1.171875</v>
      </c>
      <c r="D1405" s="11">
        <f>B1405+C1405</f>
        <v>1634.765625</v>
      </c>
      <c r="E1405" s="10">
        <f>MIN($B$7,ROUND(D1405/$B$6,0))</f>
        <v>1395</v>
      </c>
      <c r="F1405" s="10" t="str">
        <f>DEC2BIN(INT(E1405/64),5)&amp;DEC2BIN(MOD(E1405,64),6)</f>
        <v>10101110011</v>
      </c>
      <c r="G1405" s="10" t="str">
        <f>DEC2HEX(E1405,3)</f>
        <v>573</v>
      </c>
      <c r="H1405" s="10" t="str">
        <f>IF(ROUND(D1405/$B$6,0)&gt;$B$7,"YES","NO")</f>
        <v>NO</v>
      </c>
    </row>
    <row r="1406" spans="1:8">
      <c r="A1406" s="8">
        <v>1396</v>
      </c>
      <c r="B1406" s="9">
        <f>D1405</f>
        <v>1634.765625</v>
      </c>
      <c r="C1406" s="9">
        <f>$B$6</f>
        <v>1.171875</v>
      </c>
      <c r="D1406" s="9">
        <f>B1406+C1406</f>
        <v>1635.9375</v>
      </c>
      <c r="E1406" s="8">
        <f>MIN($B$7,ROUND(D1406/$B$6,0))</f>
        <v>1396</v>
      </c>
      <c r="F1406" s="8" t="str">
        <f>DEC2BIN(INT(E1406/64),5)&amp;DEC2BIN(MOD(E1406,64),6)</f>
        <v>10101110100</v>
      </c>
      <c r="G1406" s="8" t="str">
        <f>DEC2HEX(E1406,3)</f>
        <v>574</v>
      </c>
      <c r="H1406" s="8" t="str">
        <f>IF(ROUND(D1406/$B$6,0)&gt;$B$7,"YES","NO")</f>
        <v>NO</v>
      </c>
    </row>
    <row r="1407" spans="1:8">
      <c r="A1407" s="10">
        <v>1397</v>
      </c>
      <c r="B1407" s="11">
        <f>D1406</f>
        <v>1635.9375</v>
      </c>
      <c r="C1407" s="11">
        <f>$B$6</f>
        <v>1.171875</v>
      </c>
      <c r="D1407" s="11">
        <f>B1407+C1407</f>
        <v>1637.109375</v>
      </c>
      <c r="E1407" s="10">
        <f>MIN($B$7,ROUND(D1407/$B$6,0))</f>
        <v>1397</v>
      </c>
      <c r="F1407" s="10" t="str">
        <f>DEC2BIN(INT(E1407/64),5)&amp;DEC2BIN(MOD(E1407,64),6)</f>
        <v>10101110101</v>
      </c>
      <c r="G1407" s="10" t="str">
        <f>DEC2HEX(E1407,3)</f>
        <v>575</v>
      </c>
      <c r="H1407" s="10" t="str">
        <f>IF(ROUND(D1407/$B$6,0)&gt;$B$7,"YES","NO")</f>
        <v>NO</v>
      </c>
    </row>
    <row r="1408" spans="1:8">
      <c r="A1408" s="8">
        <v>1398</v>
      </c>
      <c r="B1408" s="9">
        <f>D1407</f>
        <v>1637.109375</v>
      </c>
      <c r="C1408" s="9">
        <f>$B$6</f>
        <v>1.171875</v>
      </c>
      <c r="D1408" s="9">
        <f>B1408+C1408</f>
        <v>1638.28125</v>
      </c>
      <c r="E1408" s="8">
        <f>MIN($B$7,ROUND(D1408/$B$6,0))</f>
        <v>1398</v>
      </c>
      <c r="F1408" s="8" t="str">
        <f>DEC2BIN(INT(E1408/64),5)&amp;DEC2BIN(MOD(E1408,64),6)</f>
        <v>10101110110</v>
      </c>
      <c r="G1408" s="8" t="str">
        <f>DEC2HEX(E1408,3)</f>
        <v>576</v>
      </c>
      <c r="H1408" s="8" t="str">
        <f>IF(ROUND(D1408/$B$6,0)&gt;$B$7,"YES","NO")</f>
        <v>NO</v>
      </c>
    </row>
    <row r="1409" spans="1:8">
      <c r="A1409" s="10">
        <v>1399</v>
      </c>
      <c r="B1409" s="11">
        <f>D1408</f>
        <v>1638.28125</v>
      </c>
      <c r="C1409" s="11">
        <f>$B$6</f>
        <v>1.171875</v>
      </c>
      <c r="D1409" s="11">
        <f>B1409+C1409</f>
        <v>1639.453125</v>
      </c>
      <c r="E1409" s="10">
        <f>MIN($B$7,ROUND(D1409/$B$6,0))</f>
        <v>1399</v>
      </c>
      <c r="F1409" s="10" t="str">
        <f>DEC2BIN(INT(E1409/64),5)&amp;DEC2BIN(MOD(E1409,64),6)</f>
        <v>10101110111</v>
      </c>
      <c r="G1409" s="10" t="str">
        <f>DEC2HEX(E1409,3)</f>
        <v>577</v>
      </c>
      <c r="H1409" s="10" t="str">
        <f>IF(ROUND(D1409/$B$6,0)&gt;$B$7,"YES","NO")</f>
        <v>NO</v>
      </c>
    </row>
    <row r="1410" spans="1:8">
      <c r="A1410" s="8">
        <v>1400</v>
      </c>
      <c r="B1410" s="9">
        <f>D1409</f>
        <v>1639.453125</v>
      </c>
      <c r="C1410" s="9">
        <f>$B$6</f>
        <v>1.171875</v>
      </c>
      <c r="D1410" s="9">
        <f>B1410+C1410</f>
        <v>1640.625</v>
      </c>
      <c r="E1410" s="8">
        <f>MIN($B$7,ROUND(D1410/$B$6,0))</f>
        <v>1400</v>
      </c>
      <c r="F1410" s="8" t="str">
        <f>DEC2BIN(INT(E1410/64),5)&amp;DEC2BIN(MOD(E1410,64),6)</f>
        <v>10101111000</v>
      </c>
      <c r="G1410" s="8" t="str">
        <f>DEC2HEX(E1410,3)</f>
        <v>578</v>
      </c>
      <c r="H1410" s="8" t="str">
        <f>IF(ROUND(D1410/$B$6,0)&gt;$B$7,"YES","NO")</f>
        <v>NO</v>
      </c>
    </row>
    <row r="1411" spans="1:8">
      <c r="A1411" s="10">
        <v>1401</v>
      </c>
      <c r="B1411" s="11">
        <f>D1410</f>
        <v>1640.625</v>
      </c>
      <c r="C1411" s="11">
        <f>$B$6</f>
        <v>1.171875</v>
      </c>
      <c r="D1411" s="11">
        <f>B1411+C1411</f>
        <v>1641.796875</v>
      </c>
      <c r="E1411" s="10">
        <f>MIN($B$7,ROUND(D1411/$B$6,0))</f>
        <v>1401</v>
      </c>
      <c r="F1411" s="10" t="str">
        <f>DEC2BIN(INT(E1411/64),5)&amp;DEC2BIN(MOD(E1411,64),6)</f>
        <v>10101111001</v>
      </c>
      <c r="G1411" s="10" t="str">
        <f>DEC2HEX(E1411,3)</f>
        <v>579</v>
      </c>
      <c r="H1411" s="10" t="str">
        <f>IF(ROUND(D1411/$B$6,0)&gt;$B$7,"YES","NO")</f>
        <v>NO</v>
      </c>
    </row>
    <row r="1412" spans="1:8">
      <c r="A1412" s="8">
        <v>1402</v>
      </c>
      <c r="B1412" s="9">
        <f>D1411</f>
        <v>1641.796875</v>
      </c>
      <c r="C1412" s="9">
        <f>$B$6</f>
        <v>1.171875</v>
      </c>
      <c r="D1412" s="9">
        <f>B1412+C1412</f>
        <v>1642.96875</v>
      </c>
      <c r="E1412" s="8">
        <f>MIN($B$7,ROUND(D1412/$B$6,0))</f>
        <v>1402</v>
      </c>
      <c r="F1412" s="8" t="str">
        <f>DEC2BIN(INT(E1412/64),5)&amp;DEC2BIN(MOD(E1412,64),6)</f>
        <v>10101111010</v>
      </c>
      <c r="G1412" s="8" t="str">
        <f>DEC2HEX(E1412,3)</f>
        <v>57A</v>
      </c>
      <c r="H1412" s="8" t="str">
        <f>IF(ROUND(D1412/$B$6,0)&gt;$B$7,"YES","NO")</f>
        <v>NO</v>
      </c>
    </row>
    <row r="1413" spans="1:8">
      <c r="A1413" s="10">
        <v>1403</v>
      </c>
      <c r="B1413" s="11">
        <f>D1412</f>
        <v>1642.96875</v>
      </c>
      <c r="C1413" s="11">
        <f>$B$6</f>
        <v>1.171875</v>
      </c>
      <c r="D1413" s="11">
        <f>B1413+C1413</f>
        <v>1644.140625</v>
      </c>
      <c r="E1413" s="10">
        <f>MIN($B$7,ROUND(D1413/$B$6,0))</f>
        <v>1403</v>
      </c>
      <c r="F1413" s="10" t="str">
        <f>DEC2BIN(INT(E1413/64),5)&amp;DEC2BIN(MOD(E1413,64),6)</f>
        <v>10101111011</v>
      </c>
      <c r="G1413" s="10" t="str">
        <f>DEC2HEX(E1413,3)</f>
        <v>57B</v>
      </c>
      <c r="H1413" s="10" t="str">
        <f>IF(ROUND(D1413/$B$6,0)&gt;$B$7,"YES","NO")</f>
        <v>NO</v>
      </c>
    </row>
    <row r="1414" spans="1:8">
      <c r="A1414" s="8">
        <v>1404</v>
      </c>
      <c r="B1414" s="9">
        <f>D1413</f>
        <v>1644.140625</v>
      </c>
      <c r="C1414" s="9">
        <f>$B$6</f>
        <v>1.171875</v>
      </c>
      <c r="D1414" s="9">
        <f>B1414+C1414</f>
        <v>1645.3125</v>
      </c>
      <c r="E1414" s="8">
        <f>MIN($B$7,ROUND(D1414/$B$6,0))</f>
        <v>1404</v>
      </c>
      <c r="F1414" s="8" t="str">
        <f>DEC2BIN(INT(E1414/64),5)&amp;DEC2BIN(MOD(E1414,64),6)</f>
        <v>10101111100</v>
      </c>
      <c r="G1414" s="8" t="str">
        <f>DEC2HEX(E1414,3)</f>
        <v>57C</v>
      </c>
      <c r="H1414" s="8" t="str">
        <f>IF(ROUND(D1414/$B$6,0)&gt;$B$7,"YES","NO")</f>
        <v>NO</v>
      </c>
    </row>
    <row r="1415" spans="1:8">
      <c r="A1415" s="10">
        <v>1405</v>
      </c>
      <c r="B1415" s="11">
        <f>D1414</f>
        <v>1645.3125</v>
      </c>
      <c r="C1415" s="11">
        <f>$B$6</f>
        <v>1.171875</v>
      </c>
      <c r="D1415" s="11">
        <f>B1415+C1415</f>
        <v>1646.484375</v>
      </c>
      <c r="E1415" s="10">
        <f>MIN($B$7,ROUND(D1415/$B$6,0))</f>
        <v>1405</v>
      </c>
      <c r="F1415" s="10" t="str">
        <f>DEC2BIN(INT(E1415/64),5)&amp;DEC2BIN(MOD(E1415,64),6)</f>
        <v>10101111101</v>
      </c>
      <c r="G1415" s="10" t="str">
        <f>DEC2HEX(E1415,3)</f>
        <v>57D</v>
      </c>
      <c r="H1415" s="10" t="str">
        <f>IF(ROUND(D1415/$B$6,0)&gt;$B$7,"YES","NO")</f>
        <v>NO</v>
      </c>
    </row>
    <row r="1416" spans="1:8">
      <c r="A1416" s="8">
        <v>1406</v>
      </c>
      <c r="B1416" s="9">
        <f>D1415</f>
        <v>1646.484375</v>
      </c>
      <c r="C1416" s="9">
        <f>$B$6</f>
        <v>1.171875</v>
      </c>
      <c r="D1416" s="9">
        <f>B1416+C1416</f>
        <v>1647.65625</v>
      </c>
      <c r="E1416" s="8">
        <f>MIN($B$7,ROUND(D1416/$B$6,0))</f>
        <v>1406</v>
      </c>
      <c r="F1416" s="8" t="str">
        <f>DEC2BIN(INT(E1416/64),5)&amp;DEC2BIN(MOD(E1416,64),6)</f>
        <v>10101111110</v>
      </c>
      <c r="G1416" s="8" t="str">
        <f>DEC2HEX(E1416,3)</f>
        <v>57E</v>
      </c>
      <c r="H1416" s="8" t="str">
        <f>IF(ROUND(D1416/$B$6,0)&gt;$B$7,"YES","NO")</f>
        <v>NO</v>
      </c>
    </row>
    <row r="1417" spans="1:8">
      <c r="A1417" s="10">
        <v>1407</v>
      </c>
      <c r="B1417" s="11">
        <f>D1416</f>
        <v>1647.65625</v>
      </c>
      <c r="C1417" s="11">
        <f>$B$6</f>
        <v>1.171875</v>
      </c>
      <c r="D1417" s="11">
        <f>B1417+C1417</f>
        <v>1648.828125</v>
      </c>
      <c r="E1417" s="10">
        <f>MIN($B$7,ROUND(D1417/$B$6,0))</f>
        <v>1407</v>
      </c>
      <c r="F1417" s="10" t="str">
        <f>DEC2BIN(INT(E1417/64),5)&amp;DEC2BIN(MOD(E1417,64),6)</f>
        <v>10101111111</v>
      </c>
      <c r="G1417" s="10" t="str">
        <f>DEC2HEX(E1417,3)</f>
        <v>57F</v>
      </c>
      <c r="H1417" s="10" t="str">
        <f>IF(ROUND(D1417/$B$6,0)&gt;$B$7,"YES","NO")</f>
        <v>NO</v>
      </c>
    </row>
    <row r="1418" spans="1:8">
      <c r="A1418" s="8">
        <v>1408</v>
      </c>
      <c r="B1418" s="9">
        <f>D1417</f>
        <v>1648.828125</v>
      </c>
      <c r="C1418" s="9">
        <f>$B$6</f>
        <v>1.171875</v>
      </c>
      <c r="D1418" s="9">
        <f>B1418+C1418</f>
        <v>1650</v>
      </c>
      <c r="E1418" s="8">
        <f>MIN($B$7,ROUND(D1418/$B$6,0))</f>
        <v>1408</v>
      </c>
      <c r="F1418" s="8" t="str">
        <f>DEC2BIN(INT(E1418/64),5)&amp;DEC2BIN(MOD(E1418,64),6)</f>
        <v>10110000000</v>
      </c>
      <c r="G1418" s="8" t="str">
        <f>DEC2HEX(E1418,3)</f>
        <v>580</v>
      </c>
      <c r="H1418" s="8" t="str">
        <f>IF(ROUND(D1418/$B$6,0)&gt;$B$7,"YES","NO")</f>
        <v>NO</v>
      </c>
    </row>
    <row r="1419" spans="1:8">
      <c r="A1419" s="10">
        <v>1409</v>
      </c>
      <c r="B1419" s="11">
        <f>D1418</f>
        <v>1650</v>
      </c>
      <c r="C1419" s="11">
        <f>$B$6</f>
        <v>1.171875</v>
      </c>
      <c r="D1419" s="11">
        <f>B1419+C1419</f>
        <v>1651.171875</v>
      </c>
      <c r="E1419" s="10">
        <f>MIN($B$7,ROUND(D1419/$B$6,0))</f>
        <v>1409</v>
      </c>
      <c r="F1419" s="10" t="str">
        <f>DEC2BIN(INT(E1419/64),5)&amp;DEC2BIN(MOD(E1419,64),6)</f>
        <v>10110000001</v>
      </c>
      <c r="G1419" s="10" t="str">
        <f>DEC2HEX(E1419,3)</f>
        <v>581</v>
      </c>
      <c r="H1419" s="10" t="str">
        <f>IF(ROUND(D1419/$B$6,0)&gt;$B$7,"YES","NO")</f>
        <v>NO</v>
      </c>
    </row>
    <row r="1420" spans="1:8">
      <c r="A1420" s="8">
        <v>1410</v>
      </c>
      <c r="B1420" s="9">
        <f>D1419</f>
        <v>1651.171875</v>
      </c>
      <c r="C1420" s="9">
        <f>$B$6</f>
        <v>1.171875</v>
      </c>
      <c r="D1420" s="9">
        <f>B1420+C1420</f>
        <v>1652.34375</v>
      </c>
      <c r="E1420" s="8">
        <f>MIN($B$7,ROUND(D1420/$B$6,0))</f>
        <v>1410</v>
      </c>
      <c r="F1420" s="8" t="str">
        <f>DEC2BIN(INT(E1420/64),5)&amp;DEC2BIN(MOD(E1420,64),6)</f>
        <v>10110000010</v>
      </c>
      <c r="G1420" s="8" t="str">
        <f>DEC2HEX(E1420,3)</f>
        <v>582</v>
      </c>
      <c r="H1420" s="8" t="str">
        <f>IF(ROUND(D1420/$B$6,0)&gt;$B$7,"YES","NO")</f>
        <v>NO</v>
      </c>
    </row>
    <row r="1421" spans="1:8">
      <c r="A1421" s="10">
        <v>1411</v>
      </c>
      <c r="B1421" s="11">
        <f>D1420</f>
        <v>1652.34375</v>
      </c>
      <c r="C1421" s="11">
        <f>$B$6</f>
        <v>1.171875</v>
      </c>
      <c r="D1421" s="11">
        <f>B1421+C1421</f>
        <v>1653.515625</v>
      </c>
      <c r="E1421" s="10">
        <f>MIN($B$7,ROUND(D1421/$B$6,0))</f>
        <v>1411</v>
      </c>
      <c r="F1421" s="10" t="str">
        <f>DEC2BIN(INT(E1421/64),5)&amp;DEC2BIN(MOD(E1421,64),6)</f>
        <v>10110000011</v>
      </c>
      <c r="G1421" s="10" t="str">
        <f>DEC2HEX(E1421,3)</f>
        <v>583</v>
      </c>
      <c r="H1421" s="10" t="str">
        <f>IF(ROUND(D1421/$B$6,0)&gt;$B$7,"YES","NO")</f>
        <v>NO</v>
      </c>
    </row>
    <row r="1422" spans="1:8">
      <c r="A1422" s="8">
        <v>1412</v>
      </c>
      <c r="B1422" s="9">
        <f>D1421</f>
        <v>1653.515625</v>
      </c>
      <c r="C1422" s="9">
        <f>$B$6</f>
        <v>1.171875</v>
      </c>
      <c r="D1422" s="9">
        <f>B1422+C1422</f>
        <v>1654.6875</v>
      </c>
      <c r="E1422" s="8">
        <f>MIN($B$7,ROUND(D1422/$B$6,0))</f>
        <v>1412</v>
      </c>
      <c r="F1422" s="8" t="str">
        <f>DEC2BIN(INT(E1422/64),5)&amp;DEC2BIN(MOD(E1422,64),6)</f>
        <v>10110000100</v>
      </c>
      <c r="G1422" s="8" t="str">
        <f>DEC2HEX(E1422,3)</f>
        <v>584</v>
      </c>
      <c r="H1422" s="8" t="str">
        <f>IF(ROUND(D1422/$B$6,0)&gt;$B$7,"YES","NO")</f>
        <v>NO</v>
      </c>
    </row>
    <row r="1423" spans="1:8">
      <c r="A1423" s="10">
        <v>1413</v>
      </c>
      <c r="B1423" s="11">
        <f>D1422</f>
        <v>1654.6875</v>
      </c>
      <c r="C1423" s="11">
        <f>$B$6</f>
        <v>1.171875</v>
      </c>
      <c r="D1423" s="11">
        <f>B1423+C1423</f>
        <v>1655.859375</v>
      </c>
      <c r="E1423" s="10">
        <f>MIN($B$7,ROUND(D1423/$B$6,0))</f>
        <v>1413</v>
      </c>
      <c r="F1423" s="10" t="str">
        <f>DEC2BIN(INT(E1423/64),5)&amp;DEC2BIN(MOD(E1423,64),6)</f>
        <v>10110000101</v>
      </c>
      <c r="G1423" s="10" t="str">
        <f>DEC2HEX(E1423,3)</f>
        <v>585</v>
      </c>
      <c r="H1423" s="10" t="str">
        <f>IF(ROUND(D1423/$B$6,0)&gt;$B$7,"YES","NO")</f>
        <v>NO</v>
      </c>
    </row>
    <row r="1424" spans="1:8">
      <c r="A1424" s="8">
        <v>1414</v>
      </c>
      <c r="B1424" s="9">
        <f>D1423</f>
        <v>1655.859375</v>
      </c>
      <c r="C1424" s="9">
        <f>$B$6</f>
        <v>1.171875</v>
      </c>
      <c r="D1424" s="9">
        <f>B1424+C1424</f>
        <v>1657.03125</v>
      </c>
      <c r="E1424" s="8">
        <f>MIN($B$7,ROUND(D1424/$B$6,0))</f>
        <v>1414</v>
      </c>
      <c r="F1424" s="8" t="str">
        <f>DEC2BIN(INT(E1424/64),5)&amp;DEC2BIN(MOD(E1424,64),6)</f>
        <v>10110000110</v>
      </c>
      <c r="G1424" s="8" t="str">
        <f>DEC2HEX(E1424,3)</f>
        <v>586</v>
      </c>
      <c r="H1424" s="8" t="str">
        <f>IF(ROUND(D1424/$B$6,0)&gt;$B$7,"YES","NO")</f>
        <v>NO</v>
      </c>
    </row>
    <row r="1425" spans="1:8">
      <c r="A1425" s="10">
        <v>1415</v>
      </c>
      <c r="B1425" s="11">
        <f>D1424</f>
        <v>1657.03125</v>
      </c>
      <c r="C1425" s="11">
        <f>$B$6</f>
        <v>1.171875</v>
      </c>
      <c r="D1425" s="11">
        <f>B1425+C1425</f>
        <v>1658.203125</v>
      </c>
      <c r="E1425" s="10">
        <f>MIN($B$7,ROUND(D1425/$B$6,0))</f>
        <v>1415</v>
      </c>
      <c r="F1425" s="10" t="str">
        <f>DEC2BIN(INT(E1425/64),5)&amp;DEC2BIN(MOD(E1425,64),6)</f>
        <v>10110000111</v>
      </c>
      <c r="G1425" s="10" t="str">
        <f>DEC2HEX(E1425,3)</f>
        <v>587</v>
      </c>
      <c r="H1425" s="10" t="str">
        <f>IF(ROUND(D1425/$B$6,0)&gt;$B$7,"YES","NO")</f>
        <v>NO</v>
      </c>
    </row>
    <row r="1426" spans="1:8">
      <c r="A1426" s="8">
        <v>1416</v>
      </c>
      <c r="B1426" s="9">
        <f>D1425</f>
        <v>1658.203125</v>
      </c>
      <c r="C1426" s="9">
        <f>$B$6</f>
        <v>1.171875</v>
      </c>
      <c r="D1426" s="9">
        <f>B1426+C1426</f>
        <v>1659.375</v>
      </c>
      <c r="E1426" s="8">
        <f>MIN($B$7,ROUND(D1426/$B$6,0))</f>
        <v>1416</v>
      </c>
      <c r="F1426" s="8" t="str">
        <f>DEC2BIN(INT(E1426/64),5)&amp;DEC2BIN(MOD(E1426,64),6)</f>
        <v>10110001000</v>
      </c>
      <c r="G1426" s="8" t="str">
        <f>DEC2HEX(E1426,3)</f>
        <v>588</v>
      </c>
      <c r="H1426" s="8" t="str">
        <f>IF(ROUND(D1426/$B$6,0)&gt;$B$7,"YES","NO")</f>
        <v>NO</v>
      </c>
    </row>
    <row r="1427" spans="1:8">
      <c r="A1427" s="10">
        <v>1417</v>
      </c>
      <c r="B1427" s="11">
        <f>D1426</f>
        <v>1659.375</v>
      </c>
      <c r="C1427" s="11">
        <f>$B$6</f>
        <v>1.171875</v>
      </c>
      <c r="D1427" s="11">
        <f>B1427+C1427</f>
        <v>1660.546875</v>
      </c>
      <c r="E1427" s="10">
        <f>MIN($B$7,ROUND(D1427/$B$6,0))</f>
        <v>1417</v>
      </c>
      <c r="F1427" s="10" t="str">
        <f>DEC2BIN(INT(E1427/64),5)&amp;DEC2BIN(MOD(E1427,64),6)</f>
        <v>10110001001</v>
      </c>
      <c r="G1427" s="10" t="str">
        <f>DEC2HEX(E1427,3)</f>
        <v>589</v>
      </c>
      <c r="H1427" s="10" t="str">
        <f>IF(ROUND(D1427/$B$6,0)&gt;$B$7,"YES","NO")</f>
        <v>NO</v>
      </c>
    </row>
    <row r="1428" spans="1:8">
      <c r="A1428" s="8">
        <v>1418</v>
      </c>
      <c r="B1428" s="9">
        <f>D1427</f>
        <v>1660.546875</v>
      </c>
      <c r="C1428" s="9">
        <f>$B$6</f>
        <v>1.171875</v>
      </c>
      <c r="D1428" s="9">
        <f>B1428+C1428</f>
        <v>1661.71875</v>
      </c>
      <c r="E1428" s="8">
        <f>MIN($B$7,ROUND(D1428/$B$6,0))</f>
        <v>1418</v>
      </c>
      <c r="F1428" s="8" t="str">
        <f>DEC2BIN(INT(E1428/64),5)&amp;DEC2BIN(MOD(E1428,64),6)</f>
        <v>10110001010</v>
      </c>
      <c r="G1428" s="8" t="str">
        <f>DEC2HEX(E1428,3)</f>
        <v>58A</v>
      </c>
      <c r="H1428" s="8" t="str">
        <f>IF(ROUND(D1428/$B$6,0)&gt;$B$7,"YES","NO")</f>
        <v>NO</v>
      </c>
    </row>
    <row r="1429" spans="1:8">
      <c r="A1429" s="10">
        <v>1419</v>
      </c>
      <c r="B1429" s="11">
        <f>D1428</f>
        <v>1661.71875</v>
      </c>
      <c r="C1429" s="11">
        <f>$B$6</f>
        <v>1.171875</v>
      </c>
      <c r="D1429" s="11">
        <f>B1429+C1429</f>
        <v>1662.890625</v>
      </c>
      <c r="E1429" s="10">
        <f>MIN($B$7,ROUND(D1429/$B$6,0))</f>
        <v>1419</v>
      </c>
      <c r="F1429" s="10" t="str">
        <f>DEC2BIN(INT(E1429/64),5)&amp;DEC2BIN(MOD(E1429,64),6)</f>
        <v>10110001011</v>
      </c>
      <c r="G1429" s="10" t="str">
        <f>DEC2HEX(E1429,3)</f>
        <v>58B</v>
      </c>
      <c r="H1429" s="10" t="str">
        <f>IF(ROUND(D1429/$B$6,0)&gt;$B$7,"YES","NO")</f>
        <v>NO</v>
      </c>
    </row>
    <row r="1430" spans="1:8">
      <c r="A1430" s="8">
        <v>1420</v>
      </c>
      <c r="B1430" s="9">
        <f>D1429</f>
        <v>1662.890625</v>
      </c>
      <c r="C1430" s="9">
        <f>$B$6</f>
        <v>1.171875</v>
      </c>
      <c r="D1430" s="9">
        <f>B1430+C1430</f>
        <v>1664.0625</v>
      </c>
      <c r="E1430" s="8">
        <f>MIN($B$7,ROUND(D1430/$B$6,0))</f>
        <v>1420</v>
      </c>
      <c r="F1430" s="8" t="str">
        <f>DEC2BIN(INT(E1430/64),5)&amp;DEC2BIN(MOD(E1430,64),6)</f>
        <v>10110001100</v>
      </c>
      <c r="G1430" s="8" t="str">
        <f>DEC2HEX(E1430,3)</f>
        <v>58C</v>
      </c>
      <c r="H1430" s="8" t="str">
        <f>IF(ROUND(D1430/$B$6,0)&gt;$B$7,"YES","NO")</f>
        <v>NO</v>
      </c>
    </row>
    <row r="1431" spans="1:8">
      <c r="A1431" s="10">
        <v>1421</v>
      </c>
      <c r="B1431" s="11">
        <f>D1430</f>
        <v>1664.0625</v>
      </c>
      <c r="C1431" s="11">
        <f>$B$6</f>
        <v>1.171875</v>
      </c>
      <c r="D1431" s="11">
        <f>B1431+C1431</f>
        <v>1665.234375</v>
      </c>
      <c r="E1431" s="10">
        <f>MIN($B$7,ROUND(D1431/$B$6,0))</f>
        <v>1421</v>
      </c>
      <c r="F1431" s="10" t="str">
        <f>DEC2BIN(INT(E1431/64),5)&amp;DEC2BIN(MOD(E1431,64),6)</f>
        <v>10110001101</v>
      </c>
      <c r="G1431" s="10" t="str">
        <f>DEC2HEX(E1431,3)</f>
        <v>58D</v>
      </c>
      <c r="H1431" s="10" t="str">
        <f>IF(ROUND(D1431/$B$6,0)&gt;$B$7,"YES","NO")</f>
        <v>NO</v>
      </c>
    </row>
    <row r="1432" spans="1:8">
      <c r="A1432" s="8">
        <v>1422</v>
      </c>
      <c r="B1432" s="9">
        <f>D1431</f>
        <v>1665.234375</v>
      </c>
      <c r="C1432" s="9">
        <f>$B$6</f>
        <v>1.171875</v>
      </c>
      <c r="D1432" s="9">
        <f>B1432+C1432</f>
        <v>1666.40625</v>
      </c>
      <c r="E1432" s="8">
        <f>MIN($B$7,ROUND(D1432/$B$6,0))</f>
        <v>1422</v>
      </c>
      <c r="F1432" s="8" t="str">
        <f>DEC2BIN(INT(E1432/64),5)&amp;DEC2BIN(MOD(E1432,64),6)</f>
        <v>10110001110</v>
      </c>
      <c r="G1432" s="8" t="str">
        <f>DEC2HEX(E1432,3)</f>
        <v>58E</v>
      </c>
      <c r="H1432" s="8" t="str">
        <f>IF(ROUND(D1432/$B$6,0)&gt;$B$7,"YES","NO")</f>
        <v>NO</v>
      </c>
    </row>
    <row r="1433" spans="1:8">
      <c r="A1433" s="10">
        <v>1423</v>
      </c>
      <c r="B1433" s="11">
        <f>D1432</f>
        <v>1666.40625</v>
      </c>
      <c r="C1433" s="11">
        <f>$B$6</f>
        <v>1.171875</v>
      </c>
      <c r="D1433" s="11">
        <f>B1433+C1433</f>
        <v>1667.578125</v>
      </c>
      <c r="E1433" s="10">
        <f>MIN($B$7,ROUND(D1433/$B$6,0))</f>
        <v>1423</v>
      </c>
      <c r="F1433" s="10" t="str">
        <f>DEC2BIN(INT(E1433/64),5)&amp;DEC2BIN(MOD(E1433,64),6)</f>
        <v>10110001111</v>
      </c>
      <c r="G1433" s="10" t="str">
        <f>DEC2HEX(E1433,3)</f>
        <v>58F</v>
      </c>
      <c r="H1433" s="10" t="str">
        <f>IF(ROUND(D1433/$B$6,0)&gt;$B$7,"YES","NO")</f>
        <v>NO</v>
      </c>
    </row>
    <row r="1434" spans="1:8">
      <c r="A1434" s="8">
        <v>1424</v>
      </c>
      <c r="B1434" s="9">
        <f>D1433</f>
        <v>1667.578125</v>
      </c>
      <c r="C1434" s="9">
        <f>$B$6</f>
        <v>1.171875</v>
      </c>
      <c r="D1434" s="9">
        <f>B1434+C1434</f>
        <v>1668.75</v>
      </c>
      <c r="E1434" s="8">
        <f>MIN($B$7,ROUND(D1434/$B$6,0))</f>
        <v>1424</v>
      </c>
      <c r="F1434" s="8" t="str">
        <f>DEC2BIN(INT(E1434/64),5)&amp;DEC2BIN(MOD(E1434,64),6)</f>
        <v>10110010000</v>
      </c>
      <c r="G1434" s="8" t="str">
        <f>DEC2HEX(E1434,3)</f>
        <v>590</v>
      </c>
      <c r="H1434" s="8" t="str">
        <f>IF(ROUND(D1434/$B$6,0)&gt;$B$7,"YES","NO")</f>
        <v>NO</v>
      </c>
    </row>
    <row r="1435" spans="1:8">
      <c r="A1435" s="10">
        <v>1425</v>
      </c>
      <c r="B1435" s="11">
        <f>D1434</f>
        <v>1668.75</v>
      </c>
      <c r="C1435" s="11">
        <f>$B$6</f>
        <v>1.171875</v>
      </c>
      <c r="D1435" s="11">
        <f>B1435+C1435</f>
        <v>1669.921875</v>
      </c>
      <c r="E1435" s="10">
        <f>MIN($B$7,ROUND(D1435/$B$6,0))</f>
        <v>1425</v>
      </c>
      <c r="F1435" s="10" t="str">
        <f>DEC2BIN(INT(E1435/64),5)&amp;DEC2BIN(MOD(E1435,64),6)</f>
        <v>10110010001</v>
      </c>
      <c r="G1435" s="10" t="str">
        <f>DEC2HEX(E1435,3)</f>
        <v>591</v>
      </c>
      <c r="H1435" s="10" t="str">
        <f>IF(ROUND(D1435/$B$6,0)&gt;$B$7,"YES","NO")</f>
        <v>NO</v>
      </c>
    </row>
    <row r="1436" spans="1:8">
      <c r="A1436" s="8">
        <v>1426</v>
      </c>
      <c r="B1436" s="9">
        <f>D1435</f>
        <v>1669.921875</v>
      </c>
      <c r="C1436" s="9">
        <f>$B$6</f>
        <v>1.171875</v>
      </c>
      <c r="D1436" s="9">
        <f>B1436+C1436</f>
        <v>1671.09375</v>
      </c>
      <c r="E1436" s="8">
        <f>MIN($B$7,ROUND(D1436/$B$6,0))</f>
        <v>1426</v>
      </c>
      <c r="F1436" s="8" t="str">
        <f>DEC2BIN(INT(E1436/64),5)&amp;DEC2BIN(MOD(E1436,64),6)</f>
        <v>10110010010</v>
      </c>
      <c r="G1436" s="8" t="str">
        <f>DEC2HEX(E1436,3)</f>
        <v>592</v>
      </c>
      <c r="H1436" s="8" t="str">
        <f>IF(ROUND(D1436/$B$6,0)&gt;$B$7,"YES","NO")</f>
        <v>NO</v>
      </c>
    </row>
    <row r="1437" spans="1:8">
      <c r="A1437" s="10">
        <v>1427</v>
      </c>
      <c r="B1437" s="11">
        <f>D1436</f>
        <v>1671.09375</v>
      </c>
      <c r="C1437" s="11">
        <f>$B$6</f>
        <v>1.171875</v>
      </c>
      <c r="D1437" s="11">
        <f>B1437+C1437</f>
        <v>1672.265625</v>
      </c>
      <c r="E1437" s="10">
        <f>MIN($B$7,ROUND(D1437/$B$6,0))</f>
        <v>1427</v>
      </c>
      <c r="F1437" s="10" t="str">
        <f>DEC2BIN(INT(E1437/64),5)&amp;DEC2BIN(MOD(E1437,64),6)</f>
        <v>10110010011</v>
      </c>
      <c r="G1437" s="10" t="str">
        <f>DEC2HEX(E1437,3)</f>
        <v>593</v>
      </c>
      <c r="H1437" s="10" t="str">
        <f>IF(ROUND(D1437/$B$6,0)&gt;$B$7,"YES","NO")</f>
        <v>NO</v>
      </c>
    </row>
    <row r="1438" spans="1:8">
      <c r="A1438" s="8">
        <v>1428</v>
      </c>
      <c r="B1438" s="9">
        <f>D1437</f>
        <v>1672.265625</v>
      </c>
      <c r="C1438" s="9">
        <f>$B$6</f>
        <v>1.171875</v>
      </c>
      <c r="D1438" s="9">
        <f>B1438+C1438</f>
        <v>1673.4375</v>
      </c>
      <c r="E1438" s="8">
        <f>MIN($B$7,ROUND(D1438/$B$6,0))</f>
        <v>1428</v>
      </c>
      <c r="F1438" s="8" t="str">
        <f>DEC2BIN(INT(E1438/64),5)&amp;DEC2BIN(MOD(E1438,64),6)</f>
        <v>10110010100</v>
      </c>
      <c r="G1438" s="8" t="str">
        <f>DEC2HEX(E1438,3)</f>
        <v>594</v>
      </c>
      <c r="H1438" s="8" t="str">
        <f>IF(ROUND(D1438/$B$6,0)&gt;$B$7,"YES","NO")</f>
        <v>NO</v>
      </c>
    </row>
    <row r="1439" spans="1:8">
      <c r="A1439" s="10">
        <v>1429</v>
      </c>
      <c r="B1439" s="11">
        <f>D1438</f>
        <v>1673.4375</v>
      </c>
      <c r="C1439" s="11">
        <f>$B$6</f>
        <v>1.171875</v>
      </c>
      <c r="D1439" s="11">
        <f>B1439+C1439</f>
        <v>1674.609375</v>
      </c>
      <c r="E1439" s="10">
        <f>MIN($B$7,ROUND(D1439/$B$6,0))</f>
        <v>1429</v>
      </c>
      <c r="F1439" s="10" t="str">
        <f>DEC2BIN(INT(E1439/64),5)&amp;DEC2BIN(MOD(E1439,64),6)</f>
        <v>10110010101</v>
      </c>
      <c r="G1439" s="10" t="str">
        <f>DEC2HEX(E1439,3)</f>
        <v>595</v>
      </c>
      <c r="H1439" s="10" t="str">
        <f>IF(ROUND(D1439/$B$6,0)&gt;$B$7,"YES","NO")</f>
        <v>NO</v>
      </c>
    </row>
    <row r="1440" spans="1:8">
      <c r="A1440" s="8">
        <v>1430</v>
      </c>
      <c r="B1440" s="9">
        <f>D1439</f>
        <v>1674.609375</v>
      </c>
      <c r="C1440" s="9">
        <f>$B$6</f>
        <v>1.171875</v>
      </c>
      <c r="D1440" s="9">
        <f>B1440+C1440</f>
        <v>1675.78125</v>
      </c>
      <c r="E1440" s="8">
        <f>MIN($B$7,ROUND(D1440/$B$6,0))</f>
        <v>1430</v>
      </c>
      <c r="F1440" s="8" t="str">
        <f>DEC2BIN(INT(E1440/64),5)&amp;DEC2BIN(MOD(E1440,64),6)</f>
        <v>10110010110</v>
      </c>
      <c r="G1440" s="8" t="str">
        <f>DEC2HEX(E1440,3)</f>
        <v>596</v>
      </c>
      <c r="H1440" s="8" t="str">
        <f>IF(ROUND(D1440/$B$6,0)&gt;$B$7,"YES","NO")</f>
        <v>NO</v>
      </c>
    </row>
    <row r="1441" spans="1:8">
      <c r="A1441" s="10">
        <v>1431</v>
      </c>
      <c r="B1441" s="11">
        <f>D1440</f>
        <v>1675.78125</v>
      </c>
      <c r="C1441" s="11">
        <f>$B$6</f>
        <v>1.171875</v>
      </c>
      <c r="D1441" s="11">
        <f>B1441+C1441</f>
        <v>1676.953125</v>
      </c>
      <c r="E1441" s="10">
        <f>MIN($B$7,ROUND(D1441/$B$6,0))</f>
        <v>1431</v>
      </c>
      <c r="F1441" s="10" t="str">
        <f>DEC2BIN(INT(E1441/64),5)&amp;DEC2BIN(MOD(E1441,64),6)</f>
        <v>10110010111</v>
      </c>
      <c r="G1441" s="10" t="str">
        <f>DEC2HEX(E1441,3)</f>
        <v>597</v>
      </c>
      <c r="H1441" s="10" t="str">
        <f>IF(ROUND(D1441/$B$6,0)&gt;$B$7,"YES","NO")</f>
        <v>NO</v>
      </c>
    </row>
    <row r="1442" spans="1:8">
      <c r="A1442" s="8">
        <v>1432</v>
      </c>
      <c r="B1442" s="9">
        <f>D1441</f>
        <v>1676.953125</v>
      </c>
      <c r="C1442" s="9">
        <f>$B$6</f>
        <v>1.171875</v>
      </c>
      <c r="D1442" s="9">
        <f>B1442+C1442</f>
        <v>1678.125</v>
      </c>
      <c r="E1442" s="8">
        <f>MIN($B$7,ROUND(D1442/$B$6,0))</f>
        <v>1432</v>
      </c>
      <c r="F1442" s="8" t="str">
        <f>DEC2BIN(INT(E1442/64),5)&amp;DEC2BIN(MOD(E1442,64),6)</f>
        <v>10110011000</v>
      </c>
      <c r="G1442" s="8" t="str">
        <f>DEC2HEX(E1442,3)</f>
        <v>598</v>
      </c>
      <c r="H1442" s="8" t="str">
        <f>IF(ROUND(D1442/$B$6,0)&gt;$B$7,"YES","NO")</f>
        <v>NO</v>
      </c>
    </row>
    <row r="1443" spans="1:8">
      <c r="A1443" s="10">
        <v>1433</v>
      </c>
      <c r="B1443" s="11">
        <f>D1442</f>
        <v>1678.125</v>
      </c>
      <c r="C1443" s="11">
        <f>$B$6</f>
        <v>1.171875</v>
      </c>
      <c r="D1443" s="11">
        <f>B1443+C1443</f>
        <v>1679.296875</v>
      </c>
      <c r="E1443" s="10">
        <f>MIN($B$7,ROUND(D1443/$B$6,0))</f>
        <v>1433</v>
      </c>
      <c r="F1443" s="10" t="str">
        <f>DEC2BIN(INT(E1443/64),5)&amp;DEC2BIN(MOD(E1443,64),6)</f>
        <v>10110011001</v>
      </c>
      <c r="G1443" s="10" t="str">
        <f>DEC2HEX(E1443,3)</f>
        <v>599</v>
      </c>
      <c r="H1443" s="10" t="str">
        <f>IF(ROUND(D1443/$B$6,0)&gt;$B$7,"YES","NO")</f>
        <v>NO</v>
      </c>
    </row>
    <row r="1444" spans="1:8">
      <c r="A1444" s="8">
        <v>1434</v>
      </c>
      <c r="B1444" s="9">
        <f>D1443</f>
        <v>1679.296875</v>
      </c>
      <c r="C1444" s="9">
        <f>$B$6</f>
        <v>1.171875</v>
      </c>
      <c r="D1444" s="9">
        <f>B1444+C1444</f>
        <v>1680.46875</v>
      </c>
      <c r="E1444" s="8">
        <f>MIN($B$7,ROUND(D1444/$B$6,0))</f>
        <v>1434</v>
      </c>
      <c r="F1444" s="8" t="str">
        <f>DEC2BIN(INT(E1444/64),5)&amp;DEC2BIN(MOD(E1444,64),6)</f>
        <v>10110011010</v>
      </c>
      <c r="G1444" s="8" t="str">
        <f>DEC2HEX(E1444,3)</f>
        <v>59A</v>
      </c>
      <c r="H1444" s="8" t="str">
        <f>IF(ROUND(D1444/$B$6,0)&gt;$B$7,"YES","NO")</f>
        <v>NO</v>
      </c>
    </row>
    <row r="1445" spans="1:8">
      <c r="A1445" s="10">
        <v>1435</v>
      </c>
      <c r="B1445" s="11">
        <f>D1444</f>
        <v>1680.46875</v>
      </c>
      <c r="C1445" s="11">
        <f>$B$6</f>
        <v>1.171875</v>
      </c>
      <c r="D1445" s="11">
        <f>B1445+C1445</f>
        <v>1681.640625</v>
      </c>
      <c r="E1445" s="10">
        <f>MIN($B$7,ROUND(D1445/$B$6,0))</f>
        <v>1435</v>
      </c>
      <c r="F1445" s="10" t="str">
        <f>DEC2BIN(INT(E1445/64),5)&amp;DEC2BIN(MOD(E1445,64),6)</f>
        <v>10110011011</v>
      </c>
      <c r="G1445" s="10" t="str">
        <f>DEC2HEX(E1445,3)</f>
        <v>59B</v>
      </c>
      <c r="H1445" s="10" t="str">
        <f>IF(ROUND(D1445/$B$6,0)&gt;$B$7,"YES","NO")</f>
        <v>NO</v>
      </c>
    </row>
    <row r="1446" spans="1:8">
      <c r="A1446" s="8">
        <v>1436</v>
      </c>
      <c r="B1446" s="9">
        <f>D1445</f>
        <v>1681.640625</v>
      </c>
      <c r="C1446" s="9">
        <f>$B$6</f>
        <v>1.171875</v>
      </c>
      <c r="D1446" s="9">
        <f>B1446+C1446</f>
        <v>1682.8125</v>
      </c>
      <c r="E1446" s="8">
        <f>MIN($B$7,ROUND(D1446/$B$6,0))</f>
        <v>1436</v>
      </c>
      <c r="F1446" s="8" t="str">
        <f>DEC2BIN(INT(E1446/64),5)&amp;DEC2BIN(MOD(E1446,64),6)</f>
        <v>10110011100</v>
      </c>
      <c r="G1446" s="8" t="str">
        <f>DEC2HEX(E1446,3)</f>
        <v>59C</v>
      </c>
      <c r="H1446" s="8" t="str">
        <f>IF(ROUND(D1446/$B$6,0)&gt;$B$7,"YES","NO")</f>
        <v>NO</v>
      </c>
    </row>
    <row r="1447" spans="1:8">
      <c r="A1447" s="10">
        <v>1437</v>
      </c>
      <c r="B1447" s="11">
        <f>D1446</f>
        <v>1682.8125</v>
      </c>
      <c r="C1447" s="11">
        <f>$B$6</f>
        <v>1.171875</v>
      </c>
      <c r="D1447" s="11">
        <f>B1447+C1447</f>
        <v>1683.984375</v>
      </c>
      <c r="E1447" s="10">
        <f>MIN($B$7,ROUND(D1447/$B$6,0))</f>
        <v>1437</v>
      </c>
      <c r="F1447" s="10" t="str">
        <f>DEC2BIN(INT(E1447/64),5)&amp;DEC2BIN(MOD(E1447,64),6)</f>
        <v>10110011101</v>
      </c>
      <c r="G1447" s="10" t="str">
        <f>DEC2HEX(E1447,3)</f>
        <v>59D</v>
      </c>
      <c r="H1447" s="10" t="str">
        <f>IF(ROUND(D1447/$B$6,0)&gt;$B$7,"YES","NO")</f>
        <v>NO</v>
      </c>
    </row>
    <row r="1448" spans="1:8">
      <c r="A1448" s="8">
        <v>1438</v>
      </c>
      <c r="B1448" s="9">
        <f>D1447</f>
        <v>1683.984375</v>
      </c>
      <c r="C1448" s="9">
        <f>$B$6</f>
        <v>1.171875</v>
      </c>
      <c r="D1448" s="9">
        <f>B1448+C1448</f>
        <v>1685.15625</v>
      </c>
      <c r="E1448" s="8">
        <f>MIN($B$7,ROUND(D1448/$B$6,0))</f>
        <v>1438</v>
      </c>
      <c r="F1448" s="8" t="str">
        <f>DEC2BIN(INT(E1448/64),5)&amp;DEC2BIN(MOD(E1448,64),6)</f>
        <v>10110011110</v>
      </c>
      <c r="G1448" s="8" t="str">
        <f>DEC2HEX(E1448,3)</f>
        <v>59E</v>
      </c>
      <c r="H1448" s="8" t="str">
        <f>IF(ROUND(D1448/$B$6,0)&gt;$B$7,"YES","NO")</f>
        <v>NO</v>
      </c>
    </row>
    <row r="1449" spans="1:8">
      <c r="A1449" s="10">
        <v>1439</v>
      </c>
      <c r="B1449" s="11">
        <f>D1448</f>
        <v>1685.15625</v>
      </c>
      <c r="C1449" s="11">
        <f>$B$6</f>
        <v>1.171875</v>
      </c>
      <c r="D1449" s="11">
        <f>B1449+C1449</f>
        <v>1686.328125</v>
      </c>
      <c r="E1449" s="10">
        <f>MIN($B$7,ROUND(D1449/$B$6,0))</f>
        <v>1439</v>
      </c>
      <c r="F1449" s="10" t="str">
        <f>DEC2BIN(INT(E1449/64),5)&amp;DEC2BIN(MOD(E1449,64),6)</f>
        <v>10110011111</v>
      </c>
      <c r="G1449" s="10" t="str">
        <f>DEC2HEX(E1449,3)</f>
        <v>59F</v>
      </c>
      <c r="H1449" s="10" t="str">
        <f>IF(ROUND(D1449/$B$6,0)&gt;$B$7,"YES","NO")</f>
        <v>NO</v>
      </c>
    </row>
    <row r="1450" spans="1:8">
      <c r="A1450" s="8">
        <v>1440</v>
      </c>
      <c r="B1450" s="9">
        <f>D1449</f>
        <v>1686.328125</v>
      </c>
      <c r="C1450" s="9">
        <f>$B$6</f>
        <v>1.171875</v>
      </c>
      <c r="D1450" s="9">
        <f>B1450+C1450</f>
        <v>1687.5</v>
      </c>
      <c r="E1450" s="8">
        <f>MIN($B$7,ROUND(D1450/$B$6,0))</f>
        <v>1440</v>
      </c>
      <c r="F1450" s="8" t="str">
        <f>DEC2BIN(INT(E1450/64),5)&amp;DEC2BIN(MOD(E1450,64),6)</f>
        <v>10110100000</v>
      </c>
      <c r="G1450" s="8" t="str">
        <f>DEC2HEX(E1450,3)</f>
        <v>5A0</v>
      </c>
      <c r="H1450" s="8" t="str">
        <f>IF(ROUND(D1450/$B$6,0)&gt;$B$7,"YES","NO")</f>
        <v>NO</v>
      </c>
    </row>
    <row r="1451" spans="1:8">
      <c r="A1451" s="10">
        <v>1441</v>
      </c>
      <c r="B1451" s="11">
        <f>D1450</f>
        <v>1687.5</v>
      </c>
      <c r="C1451" s="11">
        <f>$B$6</f>
        <v>1.171875</v>
      </c>
      <c r="D1451" s="11">
        <f>B1451+C1451</f>
        <v>1688.671875</v>
      </c>
      <c r="E1451" s="10">
        <f>MIN($B$7,ROUND(D1451/$B$6,0))</f>
        <v>1441</v>
      </c>
      <c r="F1451" s="10" t="str">
        <f>DEC2BIN(INT(E1451/64),5)&amp;DEC2BIN(MOD(E1451,64),6)</f>
        <v>10110100001</v>
      </c>
      <c r="G1451" s="10" t="str">
        <f>DEC2HEX(E1451,3)</f>
        <v>5A1</v>
      </c>
      <c r="H1451" s="10" t="str">
        <f>IF(ROUND(D1451/$B$6,0)&gt;$B$7,"YES","NO")</f>
        <v>NO</v>
      </c>
    </row>
    <row r="1452" spans="1:8">
      <c r="A1452" s="8">
        <v>1442</v>
      </c>
      <c r="B1452" s="9">
        <f>D1451</f>
        <v>1688.671875</v>
      </c>
      <c r="C1452" s="9">
        <f>$B$6</f>
        <v>1.171875</v>
      </c>
      <c r="D1452" s="9">
        <f>B1452+C1452</f>
        <v>1689.84375</v>
      </c>
      <c r="E1452" s="8">
        <f>MIN($B$7,ROUND(D1452/$B$6,0))</f>
        <v>1442</v>
      </c>
      <c r="F1452" s="8" t="str">
        <f>DEC2BIN(INT(E1452/64),5)&amp;DEC2BIN(MOD(E1452,64),6)</f>
        <v>10110100010</v>
      </c>
      <c r="G1452" s="8" t="str">
        <f>DEC2HEX(E1452,3)</f>
        <v>5A2</v>
      </c>
      <c r="H1452" s="8" t="str">
        <f>IF(ROUND(D1452/$B$6,0)&gt;$B$7,"YES","NO")</f>
        <v>NO</v>
      </c>
    </row>
    <row r="1453" spans="1:8">
      <c r="A1453" s="10">
        <v>1443</v>
      </c>
      <c r="B1453" s="11">
        <f>D1452</f>
        <v>1689.84375</v>
      </c>
      <c r="C1453" s="11">
        <f>$B$6</f>
        <v>1.171875</v>
      </c>
      <c r="D1453" s="11">
        <f>B1453+C1453</f>
        <v>1691.015625</v>
      </c>
      <c r="E1453" s="10">
        <f>MIN($B$7,ROUND(D1453/$B$6,0))</f>
        <v>1443</v>
      </c>
      <c r="F1453" s="10" t="str">
        <f>DEC2BIN(INT(E1453/64),5)&amp;DEC2BIN(MOD(E1453,64),6)</f>
        <v>10110100011</v>
      </c>
      <c r="G1453" s="10" t="str">
        <f>DEC2HEX(E1453,3)</f>
        <v>5A3</v>
      </c>
      <c r="H1453" s="10" t="str">
        <f>IF(ROUND(D1453/$B$6,0)&gt;$B$7,"YES","NO")</f>
        <v>NO</v>
      </c>
    </row>
    <row r="1454" spans="1:8">
      <c r="A1454" s="8">
        <v>1444</v>
      </c>
      <c r="B1454" s="9">
        <f>D1453</f>
        <v>1691.015625</v>
      </c>
      <c r="C1454" s="9">
        <f>$B$6</f>
        <v>1.171875</v>
      </c>
      <c r="D1454" s="9">
        <f>B1454+C1454</f>
        <v>1692.1875</v>
      </c>
      <c r="E1454" s="8">
        <f>MIN($B$7,ROUND(D1454/$B$6,0))</f>
        <v>1444</v>
      </c>
      <c r="F1454" s="8" t="str">
        <f>DEC2BIN(INT(E1454/64),5)&amp;DEC2BIN(MOD(E1454,64),6)</f>
        <v>10110100100</v>
      </c>
      <c r="G1454" s="8" t="str">
        <f>DEC2HEX(E1454,3)</f>
        <v>5A4</v>
      </c>
      <c r="H1454" s="8" t="str">
        <f>IF(ROUND(D1454/$B$6,0)&gt;$B$7,"YES","NO")</f>
        <v>NO</v>
      </c>
    </row>
    <row r="1455" spans="1:8">
      <c r="A1455" s="10">
        <v>1445</v>
      </c>
      <c r="B1455" s="11">
        <f>D1454</f>
        <v>1692.1875</v>
      </c>
      <c r="C1455" s="11">
        <f>$B$6</f>
        <v>1.171875</v>
      </c>
      <c r="D1455" s="11">
        <f>B1455+C1455</f>
        <v>1693.359375</v>
      </c>
      <c r="E1455" s="10">
        <f>MIN($B$7,ROUND(D1455/$B$6,0))</f>
        <v>1445</v>
      </c>
      <c r="F1455" s="10" t="str">
        <f>DEC2BIN(INT(E1455/64),5)&amp;DEC2BIN(MOD(E1455,64),6)</f>
        <v>10110100101</v>
      </c>
      <c r="G1455" s="10" t="str">
        <f>DEC2HEX(E1455,3)</f>
        <v>5A5</v>
      </c>
      <c r="H1455" s="10" t="str">
        <f>IF(ROUND(D1455/$B$6,0)&gt;$B$7,"YES","NO")</f>
        <v>NO</v>
      </c>
    </row>
    <row r="1456" spans="1:8">
      <c r="A1456" s="8">
        <v>1446</v>
      </c>
      <c r="B1456" s="9">
        <f>D1455</f>
        <v>1693.359375</v>
      </c>
      <c r="C1456" s="9">
        <f>$B$6</f>
        <v>1.171875</v>
      </c>
      <c r="D1456" s="9">
        <f>B1456+C1456</f>
        <v>1694.53125</v>
      </c>
      <c r="E1456" s="8">
        <f>MIN($B$7,ROUND(D1456/$B$6,0))</f>
        <v>1446</v>
      </c>
      <c r="F1456" s="8" t="str">
        <f>DEC2BIN(INT(E1456/64),5)&amp;DEC2BIN(MOD(E1456,64),6)</f>
        <v>10110100110</v>
      </c>
      <c r="G1456" s="8" t="str">
        <f>DEC2HEX(E1456,3)</f>
        <v>5A6</v>
      </c>
      <c r="H1456" s="8" t="str">
        <f>IF(ROUND(D1456/$B$6,0)&gt;$B$7,"YES","NO")</f>
        <v>NO</v>
      </c>
    </row>
    <row r="1457" spans="1:8">
      <c r="A1457" s="10">
        <v>1447</v>
      </c>
      <c r="B1457" s="11">
        <f>D1456</f>
        <v>1694.53125</v>
      </c>
      <c r="C1457" s="11">
        <f>$B$6</f>
        <v>1.171875</v>
      </c>
      <c r="D1457" s="11">
        <f>B1457+C1457</f>
        <v>1695.703125</v>
      </c>
      <c r="E1457" s="10">
        <f>MIN($B$7,ROUND(D1457/$B$6,0))</f>
        <v>1447</v>
      </c>
      <c r="F1457" s="10" t="str">
        <f>DEC2BIN(INT(E1457/64),5)&amp;DEC2BIN(MOD(E1457,64),6)</f>
        <v>10110100111</v>
      </c>
      <c r="G1457" s="10" t="str">
        <f>DEC2HEX(E1457,3)</f>
        <v>5A7</v>
      </c>
      <c r="H1457" s="10" t="str">
        <f>IF(ROUND(D1457/$B$6,0)&gt;$B$7,"YES","NO")</f>
        <v>NO</v>
      </c>
    </row>
    <row r="1458" spans="1:8">
      <c r="A1458" s="8">
        <v>1448</v>
      </c>
      <c r="B1458" s="9">
        <f>D1457</f>
        <v>1695.703125</v>
      </c>
      <c r="C1458" s="9">
        <f>$B$6</f>
        <v>1.171875</v>
      </c>
      <c r="D1458" s="9">
        <f>B1458+C1458</f>
        <v>1696.875</v>
      </c>
      <c r="E1458" s="8">
        <f>MIN($B$7,ROUND(D1458/$B$6,0))</f>
        <v>1448</v>
      </c>
      <c r="F1458" s="8" t="str">
        <f>DEC2BIN(INT(E1458/64),5)&amp;DEC2BIN(MOD(E1458,64),6)</f>
        <v>10110101000</v>
      </c>
      <c r="G1458" s="8" t="str">
        <f>DEC2HEX(E1458,3)</f>
        <v>5A8</v>
      </c>
      <c r="H1458" s="8" t="str">
        <f>IF(ROUND(D1458/$B$6,0)&gt;$B$7,"YES","NO")</f>
        <v>NO</v>
      </c>
    </row>
    <row r="1459" spans="1:8">
      <c r="A1459" s="10">
        <v>1449</v>
      </c>
      <c r="B1459" s="11">
        <f>D1458</f>
        <v>1696.875</v>
      </c>
      <c r="C1459" s="11">
        <f>$B$6</f>
        <v>1.171875</v>
      </c>
      <c r="D1459" s="11">
        <f>B1459+C1459</f>
        <v>1698.046875</v>
      </c>
      <c r="E1459" s="10">
        <f>MIN($B$7,ROUND(D1459/$B$6,0))</f>
        <v>1449</v>
      </c>
      <c r="F1459" s="10" t="str">
        <f>DEC2BIN(INT(E1459/64),5)&amp;DEC2BIN(MOD(E1459,64),6)</f>
        <v>10110101001</v>
      </c>
      <c r="G1459" s="10" t="str">
        <f>DEC2HEX(E1459,3)</f>
        <v>5A9</v>
      </c>
      <c r="H1459" s="10" t="str">
        <f>IF(ROUND(D1459/$B$6,0)&gt;$B$7,"YES","NO")</f>
        <v>NO</v>
      </c>
    </row>
    <row r="1460" spans="1:8">
      <c r="A1460" s="8">
        <v>1450</v>
      </c>
      <c r="B1460" s="9">
        <f>D1459</f>
        <v>1698.046875</v>
      </c>
      <c r="C1460" s="9">
        <f>$B$6</f>
        <v>1.171875</v>
      </c>
      <c r="D1460" s="9">
        <f>B1460+C1460</f>
        <v>1699.21875</v>
      </c>
      <c r="E1460" s="8">
        <f>MIN($B$7,ROUND(D1460/$B$6,0))</f>
        <v>1450</v>
      </c>
      <c r="F1460" s="8" t="str">
        <f>DEC2BIN(INT(E1460/64),5)&amp;DEC2BIN(MOD(E1460,64),6)</f>
        <v>10110101010</v>
      </c>
      <c r="G1460" s="8" t="str">
        <f>DEC2HEX(E1460,3)</f>
        <v>5AA</v>
      </c>
      <c r="H1460" s="8" t="str">
        <f>IF(ROUND(D1460/$B$6,0)&gt;$B$7,"YES","NO")</f>
        <v>NO</v>
      </c>
    </row>
    <row r="1461" spans="1:8">
      <c r="A1461" s="10">
        <v>1451</v>
      </c>
      <c r="B1461" s="11">
        <f>D1460</f>
        <v>1699.21875</v>
      </c>
      <c r="C1461" s="11">
        <f>$B$6</f>
        <v>1.171875</v>
      </c>
      <c r="D1461" s="11">
        <f>B1461+C1461</f>
        <v>1700.390625</v>
      </c>
      <c r="E1461" s="10">
        <f>MIN($B$7,ROUND(D1461/$B$6,0))</f>
        <v>1451</v>
      </c>
      <c r="F1461" s="10" t="str">
        <f>DEC2BIN(INT(E1461/64),5)&amp;DEC2BIN(MOD(E1461,64),6)</f>
        <v>10110101011</v>
      </c>
      <c r="G1461" s="10" t="str">
        <f>DEC2HEX(E1461,3)</f>
        <v>5AB</v>
      </c>
      <c r="H1461" s="10" t="str">
        <f>IF(ROUND(D1461/$B$6,0)&gt;$B$7,"YES","NO")</f>
        <v>NO</v>
      </c>
    </row>
    <row r="1462" spans="1:8">
      <c r="A1462" s="8">
        <v>1452</v>
      </c>
      <c r="B1462" s="9">
        <f>D1461</f>
        <v>1700.390625</v>
      </c>
      <c r="C1462" s="9">
        <f>$B$6</f>
        <v>1.171875</v>
      </c>
      <c r="D1462" s="9">
        <f>B1462+C1462</f>
        <v>1701.5625</v>
      </c>
      <c r="E1462" s="8">
        <f>MIN($B$7,ROUND(D1462/$B$6,0))</f>
        <v>1452</v>
      </c>
      <c r="F1462" s="8" t="str">
        <f>DEC2BIN(INT(E1462/64),5)&amp;DEC2BIN(MOD(E1462,64),6)</f>
        <v>10110101100</v>
      </c>
      <c r="G1462" s="8" t="str">
        <f>DEC2HEX(E1462,3)</f>
        <v>5AC</v>
      </c>
      <c r="H1462" s="8" t="str">
        <f>IF(ROUND(D1462/$B$6,0)&gt;$B$7,"YES","NO")</f>
        <v>NO</v>
      </c>
    </row>
    <row r="1463" spans="1:8">
      <c r="A1463" s="10">
        <v>1453</v>
      </c>
      <c r="B1463" s="11">
        <f>D1462</f>
        <v>1701.5625</v>
      </c>
      <c r="C1463" s="11">
        <f>$B$6</f>
        <v>1.171875</v>
      </c>
      <c r="D1463" s="11">
        <f>B1463+C1463</f>
        <v>1702.734375</v>
      </c>
      <c r="E1463" s="10">
        <f>MIN($B$7,ROUND(D1463/$B$6,0))</f>
        <v>1453</v>
      </c>
      <c r="F1463" s="10" t="str">
        <f>DEC2BIN(INT(E1463/64),5)&amp;DEC2BIN(MOD(E1463,64),6)</f>
        <v>10110101101</v>
      </c>
      <c r="G1463" s="10" t="str">
        <f>DEC2HEX(E1463,3)</f>
        <v>5AD</v>
      </c>
      <c r="H1463" s="10" t="str">
        <f>IF(ROUND(D1463/$B$6,0)&gt;$B$7,"YES","NO")</f>
        <v>NO</v>
      </c>
    </row>
    <row r="1464" spans="1:8">
      <c r="A1464" s="8">
        <v>1454</v>
      </c>
      <c r="B1464" s="9">
        <f>D1463</f>
        <v>1702.734375</v>
      </c>
      <c r="C1464" s="9">
        <f>$B$6</f>
        <v>1.171875</v>
      </c>
      <c r="D1464" s="9">
        <f>B1464+C1464</f>
        <v>1703.90625</v>
      </c>
      <c r="E1464" s="8">
        <f>MIN($B$7,ROUND(D1464/$B$6,0))</f>
        <v>1454</v>
      </c>
      <c r="F1464" s="8" t="str">
        <f>DEC2BIN(INT(E1464/64),5)&amp;DEC2BIN(MOD(E1464,64),6)</f>
        <v>10110101110</v>
      </c>
      <c r="G1464" s="8" t="str">
        <f>DEC2HEX(E1464,3)</f>
        <v>5AE</v>
      </c>
      <c r="H1464" s="8" t="str">
        <f>IF(ROUND(D1464/$B$6,0)&gt;$B$7,"YES","NO")</f>
        <v>NO</v>
      </c>
    </row>
    <row r="1465" spans="1:8">
      <c r="A1465" s="10">
        <v>1455</v>
      </c>
      <c r="B1465" s="11">
        <f>D1464</f>
        <v>1703.90625</v>
      </c>
      <c r="C1465" s="11">
        <f>$B$6</f>
        <v>1.171875</v>
      </c>
      <c r="D1465" s="11">
        <f>B1465+C1465</f>
        <v>1705.078125</v>
      </c>
      <c r="E1465" s="10">
        <f>MIN($B$7,ROUND(D1465/$B$6,0))</f>
        <v>1455</v>
      </c>
      <c r="F1465" s="10" t="str">
        <f>DEC2BIN(INT(E1465/64),5)&amp;DEC2BIN(MOD(E1465,64),6)</f>
        <v>10110101111</v>
      </c>
      <c r="G1465" s="10" t="str">
        <f>DEC2HEX(E1465,3)</f>
        <v>5AF</v>
      </c>
      <c r="H1465" s="10" t="str">
        <f>IF(ROUND(D1465/$B$6,0)&gt;$B$7,"YES","NO")</f>
        <v>NO</v>
      </c>
    </row>
    <row r="1466" spans="1:8">
      <c r="A1466" s="8">
        <v>1456</v>
      </c>
      <c r="B1466" s="9">
        <f>D1465</f>
        <v>1705.078125</v>
      </c>
      <c r="C1466" s="9">
        <f>$B$6</f>
        <v>1.171875</v>
      </c>
      <c r="D1466" s="9">
        <f>B1466+C1466</f>
        <v>1706.25</v>
      </c>
      <c r="E1466" s="8">
        <f>MIN($B$7,ROUND(D1466/$B$6,0))</f>
        <v>1456</v>
      </c>
      <c r="F1466" s="8" t="str">
        <f>DEC2BIN(INT(E1466/64),5)&amp;DEC2BIN(MOD(E1466,64),6)</f>
        <v>10110110000</v>
      </c>
      <c r="G1466" s="8" t="str">
        <f>DEC2HEX(E1466,3)</f>
        <v>5B0</v>
      </c>
      <c r="H1466" s="8" t="str">
        <f>IF(ROUND(D1466/$B$6,0)&gt;$B$7,"YES","NO")</f>
        <v>NO</v>
      </c>
    </row>
    <row r="1467" spans="1:8">
      <c r="A1467" s="10">
        <v>1457</v>
      </c>
      <c r="B1467" s="11">
        <f>D1466</f>
        <v>1706.25</v>
      </c>
      <c r="C1467" s="11">
        <f>$B$6</f>
        <v>1.171875</v>
      </c>
      <c r="D1467" s="11">
        <f>B1467+C1467</f>
        <v>1707.421875</v>
      </c>
      <c r="E1467" s="10">
        <f>MIN($B$7,ROUND(D1467/$B$6,0))</f>
        <v>1457</v>
      </c>
      <c r="F1467" s="10" t="str">
        <f>DEC2BIN(INT(E1467/64),5)&amp;DEC2BIN(MOD(E1467,64),6)</f>
        <v>10110110001</v>
      </c>
      <c r="G1467" s="10" t="str">
        <f>DEC2HEX(E1467,3)</f>
        <v>5B1</v>
      </c>
      <c r="H1467" s="10" t="str">
        <f>IF(ROUND(D1467/$B$6,0)&gt;$B$7,"YES","NO")</f>
        <v>NO</v>
      </c>
    </row>
    <row r="1468" spans="1:8">
      <c r="A1468" s="8">
        <v>1458</v>
      </c>
      <c r="B1468" s="9">
        <f>D1467</f>
        <v>1707.421875</v>
      </c>
      <c r="C1468" s="9">
        <f>$B$6</f>
        <v>1.171875</v>
      </c>
      <c r="D1468" s="9">
        <f>B1468+C1468</f>
        <v>1708.59375</v>
      </c>
      <c r="E1468" s="8">
        <f>MIN($B$7,ROUND(D1468/$B$6,0))</f>
        <v>1458</v>
      </c>
      <c r="F1468" s="8" t="str">
        <f>DEC2BIN(INT(E1468/64),5)&amp;DEC2BIN(MOD(E1468,64),6)</f>
        <v>10110110010</v>
      </c>
      <c r="G1468" s="8" t="str">
        <f>DEC2HEX(E1468,3)</f>
        <v>5B2</v>
      </c>
      <c r="H1468" s="8" t="str">
        <f>IF(ROUND(D1468/$B$6,0)&gt;$B$7,"YES","NO")</f>
        <v>NO</v>
      </c>
    </row>
    <row r="1469" spans="1:8">
      <c r="A1469" s="10">
        <v>1459</v>
      </c>
      <c r="B1469" s="11">
        <f>D1468</f>
        <v>1708.59375</v>
      </c>
      <c r="C1469" s="11">
        <f>$B$6</f>
        <v>1.171875</v>
      </c>
      <c r="D1469" s="11">
        <f>B1469+C1469</f>
        <v>1709.765625</v>
      </c>
      <c r="E1469" s="10">
        <f>MIN($B$7,ROUND(D1469/$B$6,0))</f>
        <v>1459</v>
      </c>
      <c r="F1469" s="10" t="str">
        <f>DEC2BIN(INT(E1469/64),5)&amp;DEC2BIN(MOD(E1469,64),6)</f>
        <v>10110110011</v>
      </c>
      <c r="G1469" s="10" t="str">
        <f>DEC2HEX(E1469,3)</f>
        <v>5B3</v>
      </c>
      <c r="H1469" s="10" t="str">
        <f>IF(ROUND(D1469/$B$6,0)&gt;$B$7,"YES","NO")</f>
        <v>NO</v>
      </c>
    </row>
    <row r="1470" spans="1:8">
      <c r="A1470" s="8">
        <v>1460</v>
      </c>
      <c r="B1470" s="9">
        <f>D1469</f>
        <v>1709.765625</v>
      </c>
      <c r="C1470" s="9">
        <f>$B$6</f>
        <v>1.171875</v>
      </c>
      <c r="D1470" s="9">
        <f>B1470+C1470</f>
        <v>1710.9375</v>
      </c>
      <c r="E1470" s="8">
        <f>MIN($B$7,ROUND(D1470/$B$6,0))</f>
        <v>1460</v>
      </c>
      <c r="F1470" s="8" t="str">
        <f>DEC2BIN(INT(E1470/64),5)&amp;DEC2BIN(MOD(E1470,64),6)</f>
        <v>10110110100</v>
      </c>
      <c r="G1470" s="8" t="str">
        <f>DEC2HEX(E1470,3)</f>
        <v>5B4</v>
      </c>
      <c r="H1470" s="8" t="str">
        <f>IF(ROUND(D1470/$B$6,0)&gt;$B$7,"YES","NO")</f>
        <v>NO</v>
      </c>
    </row>
    <row r="1471" spans="1:8">
      <c r="A1471" s="10">
        <v>1461</v>
      </c>
      <c r="B1471" s="11">
        <f>D1470</f>
        <v>1710.9375</v>
      </c>
      <c r="C1471" s="11">
        <f>$B$6</f>
        <v>1.171875</v>
      </c>
      <c r="D1471" s="11">
        <f>B1471+C1471</f>
        <v>1712.109375</v>
      </c>
      <c r="E1471" s="10">
        <f>MIN($B$7,ROUND(D1471/$B$6,0))</f>
        <v>1461</v>
      </c>
      <c r="F1471" s="10" t="str">
        <f>DEC2BIN(INT(E1471/64),5)&amp;DEC2BIN(MOD(E1471,64),6)</f>
        <v>10110110101</v>
      </c>
      <c r="G1471" s="10" t="str">
        <f>DEC2HEX(E1471,3)</f>
        <v>5B5</v>
      </c>
      <c r="H1471" s="10" t="str">
        <f>IF(ROUND(D1471/$B$6,0)&gt;$B$7,"YES","NO")</f>
        <v>NO</v>
      </c>
    </row>
    <row r="1472" spans="1:8">
      <c r="A1472" s="8">
        <v>1462</v>
      </c>
      <c r="B1472" s="9">
        <f>D1471</f>
        <v>1712.109375</v>
      </c>
      <c r="C1472" s="9">
        <f>$B$6</f>
        <v>1.171875</v>
      </c>
      <c r="D1472" s="9">
        <f>B1472+C1472</f>
        <v>1713.28125</v>
      </c>
      <c r="E1472" s="8">
        <f>MIN($B$7,ROUND(D1472/$B$6,0))</f>
        <v>1462</v>
      </c>
      <c r="F1472" s="8" t="str">
        <f>DEC2BIN(INT(E1472/64),5)&amp;DEC2BIN(MOD(E1472,64),6)</f>
        <v>10110110110</v>
      </c>
      <c r="G1472" s="8" t="str">
        <f>DEC2HEX(E1472,3)</f>
        <v>5B6</v>
      </c>
      <c r="H1472" s="8" t="str">
        <f>IF(ROUND(D1472/$B$6,0)&gt;$B$7,"YES","NO")</f>
        <v>NO</v>
      </c>
    </row>
    <row r="1473" spans="1:8">
      <c r="A1473" s="10">
        <v>1463</v>
      </c>
      <c r="B1473" s="11">
        <f>D1472</f>
        <v>1713.28125</v>
      </c>
      <c r="C1473" s="11">
        <f>$B$6</f>
        <v>1.171875</v>
      </c>
      <c r="D1473" s="11">
        <f>B1473+C1473</f>
        <v>1714.453125</v>
      </c>
      <c r="E1473" s="10">
        <f>MIN($B$7,ROUND(D1473/$B$6,0))</f>
        <v>1463</v>
      </c>
      <c r="F1473" s="10" t="str">
        <f>DEC2BIN(INT(E1473/64),5)&amp;DEC2BIN(MOD(E1473,64),6)</f>
        <v>10110110111</v>
      </c>
      <c r="G1473" s="10" t="str">
        <f>DEC2HEX(E1473,3)</f>
        <v>5B7</v>
      </c>
      <c r="H1473" s="10" t="str">
        <f>IF(ROUND(D1473/$B$6,0)&gt;$B$7,"YES","NO")</f>
        <v>NO</v>
      </c>
    </row>
    <row r="1474" spans="1:8">
      <c r="A1474" s="8">
        <v>1464</v>
      </c>
      <c r="B1474" s="9">
        <f>D1473</f>
        <v>1714.453125</v>
      </c>
      <c r="C1474" s="9">
        <f>$B$6</f>
        <v>1.171875</v>
      </c>
      <c r="D1474" s="9">
        <f>B1474+C1474</f>
        <v>1715.625</v>
      </c>
      <c r="E1474" s="8">
        <f>MIN($B$7,ROUND(D1474/$B$6,0))</f>
        <v>1464</v>
      </c>
      <c r="F1474" s="8" t="str">
        <f>DEC2BIN(INT(E1474/64),5)&amp;DEC2BIN(MOD(E1474,64),6)</f>
        <v>10110111000</v>
      </c>
      <c r="G1474" s="8" t="str">
        <f>DEC2HEX(E1474,3)</f>
        <v>5B8</v>
      </c>
      <c r="H1474" s="8" t="str">
        <f>IF(ROUND(D1474/$B$6,0)&gt;$B$7,"YES","NO")</f>
        <v>NO</v>
      </c>
    </row>
    <row r="1475" spans="1:8">
      <c r="A1475" s="10">
        <v>1465</v>
      </c>
      <c r="B1475" s="11">
        <f>D1474</f>
        <v>1715.625</v>
      </c>
      <c r="C1475" s="11">
        <f>$B$6</f>
        <v>1.171875</v>
      </c>
      <c r="D1475" s="11">
        <f>B1475+C1475</f>
        <v>1716.796875</v>
      </c>
      <c r="E1475" s="10">
        <f>MIN($B$7,ROUND(D1475/$B$6,0))</f>
        <v>1465</v>
      </c>
      <c r="F1475" s="10" t="str">
        <f>DEC2BIN(INT(E1475/64),5)&amp;DEC2BIN(MOD(E1475,64),6)</f>
        <v>10110111001</v>
      </c>
      <c r="G1475" s="10" t="str">
        <f>DEC2HEX(E1475,3)</f>
        <v>5B9</v>
      </c>
      <c r="H1475" s="10" t="str">
        <f>IF(ROUND(D1475/$B$6,0)&gt;$B$7,"YES","NO")</f>
        <v>NO</v>
      </c>
    </row>
    <row r="1476" spans="1:8">
      <c r="A1476" s="8">
        <v>1466</v>
      </c>
      <c r="B1476" s="9">
        <f>D1475</f>
        <v>1716.796875</v>
      </c>
      <c r="C1476" s="9">
        <f>$B$6</f>
        <v>1.171875</v>
      </c>
      <c r="D1476" s="9">
        <f>B1476+C1476</f>
        <v>1717.96875</v>
      </c>
      <c r="E1476" s="8">
        <f>MIN($B$7,ROUND(D1476/$B$6,0))</f>
        <v>1466</v>
      </c>
      <c r="F1476" s="8" t="str">
        <f>DEC2BIN(INT(E1476/64),5)&amp;DEC2BIN(MOD(E1476,64),6)</f>
        <v>10110111010</v>
      </c>
      <c r="G1476" s="8" t="str">
        <f>DEC2HEX(E1476,3)</f>
        <v>5BA</v>
      </c>
      <c r="H1476" s="8" t="str">
        <f>IF(ROUND(D1476/$B$6,0)&gt;$B$7,"YES","NO")</f>
        <v>NO</v>
      </c>
    </row>
    <row r="1477" spans="1:8">
      <c r="A1477" s="10">
        <v>1467</v>
      </c>
      <c r="B1477" s="11">
        <f>D1476</f>
        <v>1717.96875</v>
      </c>
      <c r="C1477" s="11">
        <f>$B$6</f>
        <v>1.171875</v>
      </c>
      <c r="D1477" s="11">
        <f>B1477+C1477</f>
        <v>1719.140625</v>
      </c>
      <c r="E1477" s="10">
        <f>MIN($B$7,ROUND(D1477/$B$6,0))</f>
        <v>1467</v>
      </c>
      <c r="F1477" s="10" t="str">
        <f>DEC2BIN(INT(E1477/64),5)&amp;DEC2BIN(MOD(E1477,64),6)</f>
        <v>10110111011</v>
      </c>
      <c r="G1477" s="10" t="str">
        <f>DEC2HEX(E1477,3)</f>
        <v>5BB</v>
      </c>
      <c r="H1477" s="10" t="str">
        <f>IF(ROUND(D1477/$B$6,0)&gt;$B$7,"YES","NO")</f>
        <v>NO</v>
      </c>
    </row>
    <row r="1478" spans="1:8">
      <c r="A1478" s="8">
        <v>1468</v>
      </c>
      <c r="B1478" s="9">
        <f>D1477</f>
        <v>1719.140625</v>
      </c>
      <c r="C1478" s="9">
        <f>$B$6</f>
        <v>1.171875</v>
      </c>
      <c r="D1478" s="9">
        <f>B1478+C1478</f>
        <v>1720.3125</v>
      </c>
      <c r="E1478" s="8">
        <f>MIN($B$7,ROUND(D1478/$B$6,0))</f>
        <v>1468</v>
      </c>
      <c r="F1478" s="8" t="str">
        <f>DEC2BIN(INT(E1478/64),5)&amp;DEC2BIN(MOD(E1478,64),6)</f>
        <v>10110111100</v>
      </c>
      <c r="G1478" s="8" t="str">
        <f>DEC2HEX(E1478,3)</f>
        <v>5BC</v>
      </c>
      <c r="H1478" s="8" t="str">
        <f>IF(ROUND(D1478/$B$6,0)&gt;$B$7,"YES","NO")</f>
        <v>NO</v>
      </c>
    </row>
    <row r="1479" spans="1:8">
      <c r="A1479" s="10">
        <v>1469</v>
      </c>
      <c r="B1479" s="11">
        <f>D1478</f>
        <v>1720.3125</v>
      </c>
      <c r="C1479" s="11">
        <f>$B$6</f>
        <v>1.171875</v>
      </c>
      <c r="D1479" s="11">
        <f>B1479+C1479</f>
        <v>1721.484375</v>
      </c>
      <c r="E1479" s="10">
        <f>MIN($B$7,ROUND(D1479/$B$6,0))</f>
        <v>1469</v>
      </c>
      <c r="F1479" s="10" t="str">
        <f>DEC2BIN(INT(E1479/64),5)&amp;DEC2BIN(MOD(E1479,64),6)</f>
        <v>10110111101</v>
      </c>
      <c r="G1479" s="10" t="str">
        <f>DEC2HEX(E1479,3)</f>
        <v>5BD</v>
      </c>
      <c r="H1479" s="10" t="str">
        <f>IF(ROUND(D1479/$B$6,0)&gt;$B$7,"YES","NO")</f>
        <v>NO</v>
      </c>
    </row>
    <row r="1480" spans="1:8">
      <c r="A1480" s="8">
        <v>1470</v>
      </c>
      <c r="B1480" s="9">
        <f>D1479</f>
        <v>1721.484375</v>
      </c>
      <c r="C1480" s="9">
        <f>$B$6</f>
        <v>1.171875</v>
      </c>
      <c r="D1480" s="9">
        <f>B1480+C1480</f>
        <v>1722.65625</v>
      </c>
      <c r="E1480" s="8">
        <f>MIN($B$7,ROUND(D1480/$B$6,0))</f>
        <v>1470</v>
      </c>
      <c r="F1480" s="8" t="str">
        <f>DEC2BIN(INT(E1480/64),5)&amp;DEC2BIN(MOD(E1480,64),6)</f>
        <v>10110111110</v>
      </c>
      <c r="G1480" s="8" t="str">
        <f>DEC2HEX(E1480,3)</f>
        <v>5BE</v>
      </c>
      <c r="H1480" s="8" t="str">
        <f>IF(ROUND(D1480/$B$6,0)&gt;$B$7,"YES","NO")</f>
        <v>NO</v>
      </c>
    </row>
    <row r="1481" spans="1:8">
      <c r="A1481" s="10">
        <v>1471</v>
      </c>
      <c r="B1481" s="11">
        <f>D1480</f>
        <v>1722.65625</v>
      </c>
      <c r="C1481" s="11">
        <f>$B$6</f>
        <v>1.171875</v>
      </c>
      <c r="D1481" s="11">
        <f>B1481+C1481</f>
        <v>1723.828125</v>
      </c>
      <c r="E1481" s="10">
        <f>MIN($B$7,ROUND(D1481/$B$6,0))</f>
        <v>1471</v>
      </c>
      <c r="F1481" s="10" t="str">
        <f>DEC2BIN(INT(E1481/64),5)&amp;DEC2BIN(MOD(E1481,64),6)</f>
        <v>10110111111</v>
      </c>
      <c r="G1481" s="10" t="str">
        <f>DEC2HEX(E1481,3)</f>
        <v>5BF</v>
      </c>
      <c r="H1481" s="10" t="str">
        <f>IF(ROUND(D1481/$B$6,0)&gt;$B$7,"YES","NO")</f>
        <v>NO</v>
      </c>
    </row>
    <row r="1482" spans="1:8">
      <c r="A1482" s="8">
        <v>1472</v>
      </c>
      <c r="B1482" s="9">
        <f>D1481</f>
        <v>1723.828125</v>
      </c>
      <c r="C1482" s="9">
        <f>$B$6</f>
        <v>1.171875</v>
      </c>
      <c r="D1482" s="9">
        <f>B1482+C1482</f>
        <v>1725</v>
      </c>
      <c r="E1482" s="8">
        <f>MIN($B$7,ROUND(D1482/$B$6,0))</f>
        <v>1472</v>
      </c>
      <c r="F1482" s="8" t="str">
        <f>DEC2BIN(INT(E1482/64),5)&amp;DEC2BIN(MOD(E1482,64),6)</f>
        <v>10111000000</v>
      </c>
      <c r="G1482" s="8" t="str">
        <f>DEC2HEX(E1482,3)</f>
        <v>5C0</v>
      </c>
      <c r="H1482" s="8" t="str">
        <f>IF(ROUND(D1482/$B$6,0)&gt;$B$7,"YES","NO")</f>
        <v>NO</v>
      </c>
    </row>
    <row r="1483" spans="1:8">
      <c r="A1483" s="10">
        <v>1473</v>
      </c>
      <c r="B1483" s="11">
        <f>D1482</f>
        <v>1725</v>
      </c>
      <c r="C1483" s="11">
        <f>$B$6</f>
        <v>1.171875</v>
      </c>
      <c r="D1483" s="11">
        <f>B1483+C1483</f>
        <v>1726.171875</v>
      </c>
      <c r="E1483" s="10">
        <f>MIN($B$7,ROUND(D1483/$B$6,0))</f>
        <v>1473</v>
      </c>
      <c r="F1483" s="10" t="str">
        <f>DEC2BIN(INT(E1483/64),5)&amp;DEC2BIN(MOD(E1483,64),6)</f>
        <v>10111000001</v>
      </c>
      <c r="G1483" s="10" t="str">
        <f>DEC2HEX(E1483,3)</f>
        <v>5C1</v>
      </c>
      <c r="H1483" s="10" t="str">
        <f>IF(ROUND(D1483/$B$6,0)&gt;$B$7,"YES","NO")</f>
        <v>NO</v>
      </c>
    </row>
    <row r="1484" spans="1:8">
      <c r="A1484" s="8">
        <v>1474</v>
      </c>
      <c r="B1484" s="9">
        <f>D1483</f>
        <v>1726.171875</v>
      </c>
      <c r="C1484" s="9">
        <f>$B$6</f>
        <v>1.171875</v>
      </c>
      <c r="D1484" s="9">
        <f>B1484+C1484</f>
        <v>1727.34375</v>
      </c>
      <c r="E1484" s="8">
        <f>MIN($B$7,ROUND(D1484/$B$6,0))</f>
        <v>1474</v>
      </c>
      <c r="F1484" s="8" t="str">
        <f>DEC2BIN(INT(E1484/64),5)&amp;DEC2BIN(MOD(E1484,64),6)</f>
        <v>10111000010</v>
      </c>
      <c r="G1484" s="8" t="str">
        <f>DEC2HEX(E1484,3)</f>
        <v>5C2</v>
      </c>
      <c r="H1484" s="8" t="str">
        <f>IF(ROUND(D1484/$B$6,0)&gt;$B$7,"YES","NO")</f>
        <v>NO</v>
      </c>
    </row>
    <row r="1485" spans="1:8">
      <c r="A1485" s="10">
        <v>1475</v>
      </c>
      <c r="B1485" s="11">
        <f>D1484</f>
        <v>1727.34375</v>
      </c>
      <c r="C1485" s="11">
        <f>$B$6</f>
        <v>1.171875</v>
      </c>
      <c r="D1485" s="11">
        <f>B1485+C1485</f>
        <v>1728.515625</v>
      </c>
      <c r="E1485" s="10">
        <f>MIN($B$7,ROUND(D1485/$B$6,0))</f>
        <v>1475</v>
      </c>
      <c r="F1485" s="10" t="str">
        <f>DEC2BIN(INT(E1485/64),5)&amp;DEC2BIN(MOD(E1485,64),6)</f>
        <v>10111000011</v>
      </c>
      <c r="G1485" s="10" t="str">
        <f>DEC2HEX(E1485,3)</f>
        <v>5C3</v>
      </c>
      <c r="H1485" s="10" t="str">
        <f>IF(ROUND(D1485/$B$6,0)&gt;$B$7,"YES","NO")</f>
        <v>NO</v>
      </c>
    </row>
    <row r="1486" spans="1:8">
      <c r="A1486" s="8">
        <v>1476</v>
      </c>
      <c r="B1486" s="9">
        <f>D1485</f>
        <v>1728.515625</v>
      </c>
      <c r="C1486" s="9">
        <f>$B$6</f>
        <v>1.171875</v>
      </c>
      <c r="D1486" s="9">
        <f>B1486+C1486</f>
        <v>1729.6875</v>
      </c>
      <c r="E1486" s="8">
        <f>MIN($B$7,ROUND(D1486/$B$6,0))</f>
        <v>1476</v>
      </c>
      <c r="F1486" s="8" t="str">
        <f>DEC2BIN(INT(E1486/64),5)&amp;DEC2BIN(MOD(E1486,64),6)</f>
        <v>10111000100</v>
      </c>
      <c r="G1486" s="8" t="str">
        <f>DEC2HEX(E1486,3)</f>
        <v>5C4</v>
      </c>
      <c r="H1486" s="8" t="str">
        <f>IF(ROUND(D1486/$B$6,0)&gt;$B$7,"YES","NO")</f>
        <v>NO</v>
      </c>
    </row>
    <row r="1487" spans="1:8">
      <c r="A1487" s="10">
        <v>1477</v>
      </c>
      <c r="B1487" s="11">
        <f>D1486</f>
        <v>1729.6875</v>
      </c>
      <c r="C1487" s="11">
        <f>$B$6</f>
        <v>1.171875</v>
      </c>
      <c r="D1487" s="11">
        <f>B1487+C1487</f>
        <v>1730.859375</v>
      </c>
      <c r="E1487" s="10">
        <f>MIN($B$7,ROUND(D1487/$B$6,0))</f>
        <v>1477</v>
      </c>
      <c r="F1487" s="10" t="str">
        <f>DEC2BIN(INT(E1487/64),5)&amp;DEC2BIN(MOD(E1487,64),6)</f>
        <v>10111000101</v>
      </c>
      <c r="G1487" s="10" t="str">
        <f>DEC2HEX(E1487,3)</f>
        <v>5C5</v>
      </c>
      <c r="H1487" s="10" t="str">
        <f>IF(ROUND(D1487/$B$6,0)&gt;$B$7,"YES","NO")</f>
        <v>NO</v>
      </c>
    </row>
    <row r="1488" spans="1:8">
      <c r="A1488" s="8">
        <v>1478</v>
      </c>
      <c r="B1488" s="9">
        <f>D1487</f>
        <v>1730.859375</v>
      </c>
      <c r="C1488" s="9">
        <f>$B$6</f>
        <v>1.171875</v>
      </c>
      <c r="D1488" s="9">
        <f>B1488+C1488</f>
        <v>1732.03125</v>
      </c>
      <c r="E1488" s="8">
        <f>MIN($B$7,ROUND(D1488/$B$6,0))</f>
        <v>1478</v>
      </c>
      <c r="F1488" s="8" t="str">
        <f>DEC2BIN(INT(E1488/64),5)&amp;DEC2BIN(MOD(E1488,64),6)</f>
        <v>10111000110</v>
      </c>
      <c r="G1488" s="8" t="str">
        <f>DEC2HEX(E1488,3)</f>
        <v>5C6</v>
      </c>
      <c r="H1488" s="8" t="str">
        <f>IF(ROUND(D1488/$B$6,0)&gt;$B$7,"YES","NO")</f>
        <v>NO</v>
      </c>
    </row>
    <row r="1489" spans="1:8">
      <c r="A1489" s="10">
        <v>1479</v>
      </c>
      <c r="B1489" s="11">
        <f>D1488</f>
        <v>1732.03125</v>
      </c>
      <c r="C1489" s="11">
        <f>$B$6</f>
        <v>1.171875</v>
      </c>
      <c r="D1489" s="11">
        <f>B1489+C1489</f>
        <v>1733.203125</v>
      </c>
      <c r="E1489" s="10">
        <f>MIN($B$7,ROUND(D1489/$B$6,0))</f>
        <v>1479</v>
      </c>
      <c r="F1489" s="10" t="str">
        <f>DEC2BIN(INT(E1489/64),5)&amp;DEC2BIN(MOD(E1489,64),6)</f>
        <v>10111000111</v>
      </c>
      <c r="G1489" s="10" t="str">
        <f>DEC2HEX(E1489,3)</f>
        <v>5C7</v>
      </c>
      <c r="H1489" s="10" t="str">
        <f>IF(ROUND(D1489/$B$6,0)&gt;$B$7,"YES","NO")</f>
        <v>NO</v>
      </c>
    </row>
    <row r="1490" spans="1:8">
      <c r="A1490" s="8">
        <v>1480</v>
      </c>
      <c r="B1490" s="9">
        <f>D1489</f>
        <v>1733.203125</v>
      </c>
      <c r="C1490" s="9">
        <f>$B$6</f>
        <v>1.171875</v>
      </c>
      <c r="D1490" s="9">
        <f>B1490+C1490</f>
        <v>1734.375</v>
      </c>
      <c r="E1490" s="8">
        <f>MIN($B$7,ROUND(D1490/$B$6,0))</f>
        <v>1480</v>
      </c>
      <c r="F1490" s="8" t="str">
        <f>DEC2BIN(INT(E1490/64),5)&amp;DEC2BIN(MOD(E1490,64),6)</f>
        <v>10111001000</v>
      </c>
      <c r="G1490" s="8" t="str">
        <f>DEC2HEX(E1490,3)</f>
        <v>5C8</v>
      </c>
      <c r="H1490" s="8" t="str">
        <f>IF(ROUND(D1490/$B$6,0)&gt;$B$7,"YES","NO")</f>
        <v>NO</v>
      </c>
    </row>
    <row r="1491" spans="1:8">
      <c r="A1491" s="10">
        <v>1481</v>
      </c>
      <c r="B1491" s="11">
        <f>D1490</f>
        <v>1734.375</v>
      </c>
      <c r="C1491" s="11">
        <f>$B$6</f>
        <v>1.171875</v>
      </c>
      <c r="D1491" s="11">
        <f>B1491+C1491</f>
        <v>1735.546875</v>
      </c>
      <c r="E1491" s="10">
        <f>MIN($B$7,ROUND(D1491/$B$6,0))</f>
        <v>1481</v>
      </c>
      <c r="F1491" s="10" t="str">
        <f>DEC2BIN(INT(E1491/64),5)&amp;DEC2BIN(MOD(E1491,64),6)</f>
        <v>10111001001</v>
      </c>
      <c r="G1491" s="10" t="str">
        <f>DEC2HEX(E1491,3)</f>
        <v>5C9</v>
      </c>
      <c r="H1491" s="10" t="str">
        <f>IF(ROUND(D1491/$B$6,0)&gt;$B$7,"YES","NO")</f>
        <v>NO</v>
      </c>
    </row>
    <row r="1492" spans="1:8">
      <c r="A1492" s="8">
        <v>1482</v>
      </c>
      <c r="B1492" s="9">
        <f>D1491</f>
        <v>1735.546875</v>
      </c>
      <c r="C1492" s="9">
        <f>$B$6</f>
        <v>1.171875</v>
      </c>
      <c r="D1492" s="9">
        <f>B1492+C1492</f>
        <v>1736.71875</v>
      </c>
      <c r="E1492" s="8">
        <f>MIN($B$7,ROUND(D1492/$B$6,0))</f>
        <v>1482</v>
      </c>
      <c r="F1492" s="8" t="str">
        <f>DEC2BIN(INT(E1492/64),5)&amp;DEC2BIN(MOD(E1492,64),6)</f>
        <v>10111001010</v>
      </c>
      <c r="G1492" s="8" t="str">
        <f>DEC2HEX(E1492,3)</f>
        <v>5CA</v>
      </c>
      <c r="H1492" s="8" t="str">
        <f>IF(ROUND(D1492/$B$6,0)&gt;$B$7,"YES","NO")</f>
        <v>NO</v>
      </c>
    </row>
    <row r="1493" spans="1:8">
      <c r="A1493" s="10">
        <v>1483</v>
      </c>
      <c r="B1493" s="11">
        <f>D1492</f>
        <v>1736.71875</v>
      </c>
      <c r="C1493" s="11">
        <f>$B$6</f>
        <v>1.171875</v>
      </c>
      <c r="D1493" s="11">
        <f>B1493+C1493</f>
        <v>1737.890625</v>
      </c>
      <c r="E1493" s="10">
        <f>MIN($B$7,ROUND(D1493/$B$6,0))</f>
        <v>1483</v>
      </c>
      <c r="F1493" s="10" t="str">
        <f>DEC2BIN(INT(E1493/64),5)&amp;DEC2BIN(MOD(E1493,64),6)</f>
        <v>10111001011</v>
      </c>
      <c r="G1493" s="10" t="str">
        <f>DEC2HEX(E1493,3)</f>
        <v>5CB</v>
      </c>
      <c r="H1493" s="10" t="str">
        <f>IF(ROUND(D1493/$B$6,0)&gt;$B$7,"YES","NO")</f>
        <v>NO</v>
      </c>
    </row>
    <row r="1494" spans="1:8">
      <c r="A1494" s="8">
        <v>1484</v>
      </c>
      <c r="B1494" s="9">
        <f>D1493</f>
        <v>1737.890625</v>
      </c>
      <c r="C1494" s="9">
        <f>$B$6</f>
        <v>1.171875</v>
      </c>
      <c r="D1494" s="9">
        <f>B1494+C1494</f>
        <v>1739.0625</v>
      </c>
      <c r="E1494" s="8">
        <f>MIN($B$7,ROUND(D1494/$B$6,0))</f>
        <v>1484</v>
      </c>
      <c r="F1494" s="8" t="str">
        <f>DEC2BIN(INT(E1494/64),5)&amp;DEC2BIN(MOD(E1494,64),6)</f>
        <v>10111001100</v>
      </c>
      <c r="G1494" s="8" t="str">
        <f>DEC2HEX(E1494,3)</f>
        <v>5CC</v>
      </c>
      <c r="H1494" s="8" t="str">
        <f>IF(ROUND(D1494/$B$6,0)&gt;$B$7,"YES","NO")</f>
        <v>NO</v>
      </c>
    </row>
    <row r="1495" spans="1:8">
      <c r="A1495" s="10">
        <v>1485</v>
      </c>
      <c r="B1495" s="11">
        <f>D1494</f>
        <v>1739.0625</v>
      </c>
      <c r="C1495" s="11">
        <f>$B$6</f>
        <v>1.171875</v>
      </c>
      <c r="D1495" s="11">
        <f>B1495+C1495</f>
        <v>1740.234375</v>
      </c>
      <c r="E1495" s="10">
        <f>MIN($B$7,ROUND(D1495/$B$6,0))</f>
        <v>1485</v>
      </c>
      <c r="F1495" s="10" t="str">
        <f>DEC2BIN(INT(E1495/64),5)&amp;DEC2BIN(MOD(E1495,64),6)</f>
        <v>10111001101</v>
      </c>
      <c r="G1495" s="10" t="str">
        <f>DEC2HEX(E1495,3)</f>
        <v>5CD</v>
      </c>
      <c r="H1495" s="10" t="str">
        <f>IF(ROUND(D1495/$B$6,0)&gt;$B$7,"YES","NO")</f>
        <v>NO</v>
      </c>
    </row>
    <row r="1496" spans="1:8">
      <c r="A1496" s="8">
        <v>1486</v>
      </c>
      <c r="B1496" s="9">
        <f>D1495</f>
        <v>1740.234375</v>
      </c>
      <c r="C1496" s="9">
        <f>$B$6</f>
        <v>1.171875</v>
      </c>
      <c r="D1496" s="9">
        <f>B1496+C1496</f>
        <v>1741.40625</v>
      </c>
      <c r="E1496" s="8">
        <f>MIN($B$7,ROUND(D1496/$B$6,0))</f>
        <v>1486</v>
      </c>
      <c r="F1496" s="8" t="str">
        <f>DEC2BIN(INT(E1496/64),5)&amp;DEC2BIN(MOD(E1496,64),6)</f>
        <v>10111001110</v>
      </c>
      <c r="G1496" s="8" t="str">
        <f>DEC2HEX(E1496,3)</f>
        <v>5CE</v>
      </c>
      <c r="H1496" s="8" t="str">
        <f>IF(ROUND(D1496/$B$6,0)&gt;$B$7,"YES","NO")</f>
        <v>NO</v>
      </c>
    </row>
    <row r="1497" spans="1:8">
      <c r="A1497" s="10">
        <v>1487</v>
      </c>
      <c r="B1497" s="11">
        <f>D1496</f>
        <v>1741.40625</v>
      </c>
      <c r="C1497" s="11">
        <f>$B$6</f>
        <v>1.171875</v>
      </c>
      <c r="D1497" s="11">
        <f>B1497+C1497</f>
        <v>1742.578125</v>
      </c>
      <c r="E1497" s="10">
        <f>MIN($B$7,ROUND(D1497/$B$6,0))</f>
        <v>1487</v>
      </c>
      <c r="F1497" s="10" t="str">
        <f>DEC2BIN(INT(E1497/64),5)&amp;DEC2BIN(MOD(E1497,64),6)</f>
        <v>10111001111</v>
      </c>
      <c r="G1497" s="10" t="str">
        <f>DEC2HEX(E1497,3)</f>
        <v>5CF</v>
      </c>
      <c r="H1497" s="10" t="str">
        <f>IF(ROUND(D1497/$B$6,0)&gt;$B$7,"YES","NO")</f>
        <v>NO</v>
      </c>
    </row>
    <row r="1498" spans="1:8">
      <c r="A1498" s="8">
        <v>1488</v>
      </c>
      <c r="B1498" s="9">
        <f>D1497</f>
        <v>1742.578125</v>
      </c>
      <c r="C1498" s="9">
        <f>$B$6</f>
        <v>1.171875</v>
      </c>
      <c r="D1498" s="9">
        <f>B1498+C1498</f>
        <v>1743.75</v>
      </c>
      <c r="E1498" s="8">
        <f>MIN($B$7,ROUND(D1498/$B$6,0))</f>
        <v>1488</v>
      </c>
      <c r="F1498" s="8" t="str">
        <f>DEC2BIN(INT(E1498/64),5)&amp;DEC2BIN(MOD(E1498,64),6)</f>
        <v>10111010000</v>
      </c>
      <c r="G1498" s="8" t="str">
        <f>DEC2HEX(E1498,3)</f>
        <v>5D0</v>
      </c>
      <c r="H1498" s="8" t="str">
        <f>IF(ROUND(D1498/$B$6,0)&gt;$B$7,"YES","NO")</f>
        <v>NO</v>
      </c>
    </row>
    <row r="1499" spans="1:8">
      <c r="A1499" s="10">
        <v>1489</v>
      </c>
      <c r="B1499" s="11">
        <f>D1498</f>
        <v>1743.75</v>
      </c>
      <c r="C1499" s="11">
        <f>$B$6</f>
        <v>1.171875</v>
      </c>
      <c r="D1499" s="11">
        <f>B1499+C1499</f>
        <v>1744.921875</v>
      </c>
      <c r="E1499" s="10">
        <f>MIN($B$7,ROUND(D1499/$B$6,0))</f>
        <v>1489</v>
      </c>
      <c r="F1499" s="10" t="str">
        <f>DEC2BIN(INT(E1499/64),5)&amp;DEC2BIN(MOD(E1499,64),6)</f>
        <v>10111010001</v>
      </c>
      <c r="G1499" s="10" t="str">
        <f>DEC2HEX(E1499,3)</f>
        <v>5D1</v>
      </c>
      <c r="H1499" s="10" t="str">
        <f>IF(ROUND(D1499/$B$6,0)&gt;$B$7,"YES","NO")</f>
        <v>NO</v>
      </c>
    </row>
    <row r="1500" spans="1:8">
      <c r="A1500" s="8">
        <v>1490</v>
      </c>
      <c r="B1500" s="9">
        <f>D1499</f>
        <v>1744.921875</v>
      </c>
      <c r="C1500" s="9">
        <f>$B$6</f>
        <v>1.171875</v>
      </c>
      <c r="D1500" s="9">
        <f>B1500+C1500</f>
        <v>1746.09375</v>
      </c>
      <c r="E1500" s="8">
        <f>MIN($B$7,ROUND(D1500/$B$6,0))</f>
        <v>1490</v>
      </c>
      <c r="F1500" s="8" t="str">
        <f>DEC2BIN(INT(E1500/64),5)&amp;DEC2BIN(MOD(E1500,64),6)</f>
        <v>10111010010</v>
      </c>
      <c r="G1500" s="8" t="str">
        <f>DEC2HEX(E1500,3)</f>
        <v>5D2</v>
      </c>
      <c r="H1500" s="8" t="str">
        <f>IF(ROUND(D1500/$B$6,0)&gt;$B$7,"YES","NO")</f>
        <v>NO</v>
      </c>
    </row>
    <row r="1501" spans="1:8">
      <c r="A1501" s="10">
        <v>1491</v>
      </c>
      <c r="B1501" s="11">
        <f>D1500</f>
        <v>1746.09375</v>
      </c>
      <c r="C1501" s="11">
        <f>$B$6</f>
        <v>1.171875</v>
      </c>
      <c r="D1501" s="11">
        <f>B1501+C1501</f>
        <v>1747.265625</v>
      </c>
      <c r="E1501" s="10">
        <f>MIN($B$7,ROUND(D1501/$B$6,0))</f>
        <v>1491</v>
      </c>
      <c r="F1501" s="10" t="str">
        <f>DEC2BIN(INT(E1501/64),5)&amp;DEC2BIN(MOD(E1501,64),6)</f>
        <v>10111010011</v>
      </c>
      <c r="G1501" s="10" t="str">
        <f>DEC2HEX(E1501,3)</f>
        <v>5D3</v>
      </c>
      <c r="H1501" s="10" t="str">
        <f>IF(ROUND(D1501/$B$6,0)&gt;$B$7,"YES","NO")</f>
        <v>NO</v>
      </c>
    </row>
    <row r="1502" spans="1:8">
      <c r="A1502" s="8">
        <v>1492</v>
      </c>
      <c r="B1502" s="9">
        <f>D1501</f>
        <v>1747.265625</v>
      </c>
      <c r="C1502" s="9">
        <f>$B$6</f>
        <v>1.171875</v>
      </c>
      <c r="D1502" s="9">
        <f>B1502+C1502</f>
        <v>1748.4375</v>
      </c>
      <c r="E1502" s="8">
        <f>MIN($B$7,ROUND(D1502/$B$6,0))</f>
        <v>1492</v>
      </c>
      <c r="F1502" s="8" t="str">
        <f>DEC2BIN(INT(E1502/64),5)&amp;DEC2BIN(MOD(E1502,64),6)</f>
        <v>10111010100</v>
      </c>
      <c r="G1502" s="8" t="str">
        <f>DEC2HEX(E1502,3)</f>
        <v>5D4</v>
      </c>
      <c r="H1502" s="8" t="str">
        <f>IF(ROUND(D1502/$B$6,0)&gt;$B$7,"YES","NO")</f>
        <v>NO</v>
      </c>
    </row>
    <row r="1503" spans="1:8">
      <c r="A1503" s="10">
        <v>1493</v>
      </c>
      <c r="B1503" s="11">
        <f>D1502</f>
        <v>1748.4375</v>
      </c>
      <c r="C1503" s="11">
        <f>$B$6</f>
        <v>1.171875</v>
      </c>
      <c r="D1503" s="11">
        <f>B1503+C1503</f>
        <v>1749.609375</v>
      </c>
      <c r="E1503" s="10">
        <f>MIN($B$7,ROUND(D1503/$B$6,0))</f>
        <v>1493</v>
      </c>
      <c r="F1503" s="10" t="str">
        <f>DEC2BIN(INT(E1503/64),5)&amp;DEC2BIN(MOD(E1503,64),6)</f>
        <v>10111010101</v>
      </c>
      <c r="G1503" s="10" t="str">
        <f>DEC2HEX(E1503,3)</f>
        <v>5D5</v>
      </c>
      <c r="H1503" s="10" t="str">
        <f>IF(ROUND(D1503/$B$6,0)&gt;$B$7,"YES","NO")</f>
        <v>NO</v>
      </c>
    </row>
    <row r="1504" spans="1:8">
      <c r="A1504" s="8">
        <v>1494</v>
      </c>
      <c r="B1504" s="9">
        <f>D1503</f>
        <v>1749.609375</v>
      </c>
      <c r="C1504" s="9">
        <f>$B$6</f>
        <v>1.171875</v>
      </c>
      <c r="D1504" s="9">
        <f>B1504+C1504</f>
        <v>1750.78125</v>
      </c>
      <c r="E1504" s="8">
        <f>MIN($B$7,ROUND(D1504/$B$6,0))</f>
        <v>1494</v>
      </c>
      <c r="F1504" s="8" t="str">
        <f>DEC2BIN(INT(E1504/64),5)&amp;DEC2BIN(MOD(E1504,64),6)</f>
        <v>10111010110</v>
      </c>
      <c r="G1504" s="8" t="str">
        <f>DEC2HEX(E1504,3)</f>
        <v>5D6</v>
      </c>
      <c r="H1504" s="8" t="str">
        <f>IF(ROUND(D1504/$B$6,0)&gt;$B$7,"YES","NO")</f>
        <v>NO</v>
      </c>
    </row>
    <row r="1505" spans="1:8">
      <c r="A1505" s="10">
        <v>1495</v>
      </c>
      <c r="B1505" s="11">
        <f>D1504</f>
        <v>1750.78125</v>
      </c>
      <c r="C1505" s="11">
        <f>$B$6</f>
        <v>1.171875</v>
      </c>
      <c r="D1505" s="11">
        <f>B1505+C1505</f>
        <v>1751.953125</v>
      </c>
      <c r="E1505" s="10">
        <f>MIN($B$7,ROUND(D1505/$B$6,0))</f>
        <v>1495</v>
      </c>
      <c r="F1505" s="10" t="str">
        <f>DEC2BIN(INT(E1505/64),5)&amp;DEC2BIN(MOD(E1505,64),6)</f>
        <v>10111010111</v>
      </c>
      <c r="G1505" s="10" t="str">
        <f>DEC2HEX(E1505,3)</f>
        <v>5D7</v>
      </c>
      <c r="H1505" s="10" t="str">
        <f>IF(ROUND(D1505/$B$6,0)&gt;$B$7,"YES","NO")</f>
        <v>NO</v>
      </c>
    </row>
    <row r="1506" spans="1:8">
      <c r="A1506" s="8">
        <v>1496</v>
      </c>
      <c r="B1506" s="9">
        <f>D1505</f>
        <v>1751.953125</v>
      </c>
      <c r="C1506" s="9">
        <f>$B$6</f>
        <v>1.171875</v>
      </c>
      <c r="D1506" s="9">
        <f>B1506+C1506</f>
        <v>1753.125</v>
      </c>
      <c r="E1506" s="8">
        <f>MIN($B$7,ROUND(D1506/$B$6,0))</f>
        <v>1496</v>
      </c>
      <c r="F1506" s="8" t="str">
        <f>DEC2BIN(INT(E1506/64),5)&amp;DEC2BIN(MOD(E1506,64),6)</f>
        <v>10111011000</v>
      </c>
      <c r="G1506" s="8" t="str">
        <f>DEC2HEX(E1506,3)</f>
        <v>5D8</v>
      </c>
      <c r="H1506" s="8" t="str">
        <f>IF(ROUND(D1506/$B$6,0)&gt;$B$7,"YES","NO")</f>
        <v>NO</v>
      </c>
    </row>
    <row r="1507" spans="1:8">
      <c r="A1507" s="10">
        <v>1497</v>
      </c>
      <c r="B1507" s="11">
        <f>D1506</f>
        <v>1753.125</v>
      </c>
      <c r="C1507" s="11">
        <f>$B$6</f>
        <v>1.171875</v>
      </c>
      <c r="D1507" s="11">
        <f>B1507+C1507</f>
        <v>1754.296875</v>
      </c>
      <c r="E1507" s="10">
        <f>MIN($B$7,ROUND(D1507/$B$6,0))</f>
        <v>1497</v>
      </c>
      <c r="F1507" s="10" t="str">
        <f>DEC2BIN(INT(E1507/64),5)&amp;DEC2BIN(MOD(E1507,64),6)</f>
        <v>10111011001</v>
      </c>
      <c r="G1507" s="10" t="str">
        <f>DEC2HEX(E1507,3)</f>
        <v>5D9</v>
      </c>
      <c r="H1507" s="10" t="str">
        <f>IF(ROUND(D1507/$B$6,0)&gt;$B$7,"YES","NO")</f>
        <v>NO</v>
      </c>
    </row>
    <row r="1508" spans="1:8">
      <c r="A1508" s="8">
        <v>1498</v>
      </c>
      <c r="B1508" s="9">
        <f>D1507</f>
        <v>1754.296875</v>
      </c>
      <c r="C1508" s="9">
        <f>$B$6</f>
        <v>1.171875</v>
      </c>
      <c r="D1508" s="9">
        <f>B1508+C1508</f>
        <v>1755.46875</v>
      </c>
      <c r="E1508" s="8">
        <f>MIN($B$7,ROUND(D1508/$B$6,0))</f>
        <v>1498</v>
      </c>
      <c r="F1508" s="8" t="str">
        <f>DEC2BIN(INT(E1508/64),5)&amp;DEC2BIN(MOD(E1508,64),6)</f>
        <v>10111011010</v>
      </c>
      <c r="G1508" s="8" t="str">
        <f>DEC2HEX(E1508,3)</f>
        <v>5DA</v>
      </c>
      <c r="H1508" s="8" t="str">
        <f>IF(ROUND(D1508/$B$6,0)&gt;$B$7,"YES","NO")</f>
        <v>NO</v>
      </c>
    </row>
    <row r="1509" spans="1:8">
      <c r="A1509" s="10">
        <v>1499</v>
      </c>
      <c r="B1509" s="11">
        <f>D1508</f>
        <v>1755.46875</v>
      </c>
      <c r="C1509" s="11">
        <f>$B$6</f>
        <v>1.171875</v>
      </c>
      <c r="D1509" s="11">
        <f>B1509+C1509</f>
        <v>1756.640625</v>
      </c>
      <c r="E1509" s="10">
        <f>MIN($B$7,ROUND(D1509/$B$6,0))</f>
        <v>1499</v>
      </c>
      <c r="F1509" s="10" t="str">
        <f>DEC2BIN(INT(E1509/64),5)&amp;DEC2BIN(MOD(E1509,64),6)</f>
        <v>10111011011</v>
      </c>
      <c r="G1509" s="10" t="str">
        <f>DEC2HEX(E1509,3)</f>
        <v>5DB</v>
      </c>
      <c r="H1509" s="10" t="str">
        <f>IF(ROUND(D1509/$B$6,0)&gt;$B$7,"YES","NO")</f>
        <v>NO</v>
      </c>
    </row>
    <row r="1510" spans="1:8">
      <c r="A1510" s="8">
        <v>1500</v>
      </c>
      <c r="B1510" s="9">
        <f>D1509</f>
        <v>1756.640625</v>
      </c>
      <c r="C1510" s="9">
        <f>$B$6</f>
        <v>1.171875</v>
      </c>
      <c r="D1510" s="9">
        <f>B1510+C1510</f>
        <v>1757.8125</v>
      </c>
      <c r="E1510" s="8">
        <f>MIN($B$7,ROUND(D1510/$B$6,0))</f>
        <v>1500</v>
      </c>
      <c r="F1510" s="8" t="str">
        <f>DEC2BIN(INT(E1510/64),5)&amp;DEC2BIN(MOD(E1510,64),6)</f>
        <v>10111011100</v>
      </c>
      <c r="G1510" s="8" t="str">
        <f>DEC2HEX(E1510,3)</f>
        <v>5DC</v>
      </c>
      <c r="H1510" s="8" t="str">
        <f>IF(ROUND(D1510/$B$6,0)&gt;$B$7,"YES","NO")</f>
        <v>NO</v>
      </c>
    </row>
    <row r="1511" spans="1:8">
      <c r="A1511" s="10">
        <v>1501</v>
      </c>
      <c r="B1511" s="11">
        <f>D1510</f>
        <v>1757.8125</v>
      </c>
      <c r="C1511" s="11">
        <f>$B$6</f>
        <v>1.171875</v>
      </c>
      <c r="D1511" s="11">
        <f>B1511+C1511</f>
        <v>1758.984375</v>
      </c>
      <c r="E1511" s="10">
        <f>MIN($B$7,ROUND(D1511/$B$6,0))</f>
        <v>1501</v>
      </c>
      <c r="F1511" s="10" t="str">
        <f>DEC2BIN(INT(E1511/64),5)&amp;DEC2BIN(MOD(E1511,64),6)</f>
        <v>10111011101</v>
      </c>
      <c r="G1511" s="10" t="str">
        <f>DEC2HEX(E1511,3)</f>
        <v>5DD</v>
      </c>
      <c r="H1511" s="10" t="str">
        <f>IF(ROUND(D1511/$B$6,0)&gt;$B$7,"YES","NO")</f>
        <v>NO</v>
      </c>
    </row>
    <row r="1512" spans="1:8">
      <c r="A1512" s="8">
        <v>1502</v>
      </c>
      <c r="B1512" s="9">
        <f>D1511</f>
        <v>1758.984375</v>
      </c>
      <c r="C1512" s="9">
        <f>$B$6</f>
        <v>1.171875</v>
      </c>
      <c r="D1512" s="9">
        <f>B1512+C1512</f>
        <v>1760.15625</v>
      </c>
      <c r="E1512" s="8">
        <f>MIN($B$7,ROUND(D1512/$B$6,0))</f>
        <v>1502</v>
      </c>
      <c r="F1512" s="8" t="str">
        <f>DEC2BIN(INT(E1512/64),5)&amp;DEC2BIN(MOD(E1512,64),6)</f>
        <v>10111011110</v>
      </c>
      <c r="G1512" s="8" t="str">
        <f>DEC2HEX(E1512,3)</f>
        <v>5DE</v>
      </c>
      <c r="H1512" s="8" t="str">
        <f>IF(ROUND(D1512/$B$6,0)&gt;$B$7,"YES","NO")</f>
        <v>NO</v>
      </c>
    </row>
    <row r="1513" spans="1:8">
      <c r="A1513" s="10">
        <v>1503</v>
      </c>
      <c r="B1513" s="11">
        <f>D1512</f>
        <v>1760.15625</v>
      </c>
      <c r="C1513" s="11">
        <f>$B$6</f>
        <v>1.171875</v>
      </c>
      <c r="D1513" s="11">
        <f>B1513+C1513</f>
        <v>1761.328125</v>
      </c>
      <c r="E1513" s="10">
        <f>MIN($B$7,ROUND(D1513/$B$6,0))</f>
        <v>1503</v>
      </c>
      <c r="F1513" s="10" t="str">
        <f>DEC2BIN(INT(E1513/64),5)&amp;DEC2BIN(MOD(E1513,64),6)</f>
        <v>10111011111</v>
      </c>
      <c r="G1513" s="10" t="str">
        <f>DEC2HEX(E1513,3)</f>
        <v>5DF</v>
      </c>
      <c r="H1513" s="10" t="str">
        <f>IF(ROUND(D1513/$B$6,0)&gt;$B$7,"YES","NO")</f>
        <v>NO</v>
      </c>
    </row>
    <row r="1514" spans="1:8">
      <c r="A1514" s="8">
        <v>1504</v>
      </c>
      <c r="B1514" s="9">
        <f>D1513</f>
        <v>1761.328125</v>
      </c>
      <c r="C1514" s="9">
        <f>$B$6</f>
        <v>1.171875</v>
      </c>
      <c r="D1514" s="9">
        <f>B1514+C1514</f>
        <v>1762.5</v>
      </c>
      <c r="E1514" s="8">
        <f>MIN($B$7,ROUND(D1514/$B$6,0))</f>
        <v>1504</v>
      </c>
      <c r="F1514" s="8" t="str">
        <f>DEC2BIN(INT(E1514/64),5)&amp;DEC2BIN(MOD(E1514,64),6)</f>
        <v>10111100000</v>
      </c>
      <c r="G1514" s="8" t="str">
        <f>DEC2HEX(E1514,3)</f>
        <v>5E0</v>
      </c>
      <c r="H1514" s="8" t="str">
        <f>IF(ROUND(D1514/$B$6,0)&gt;$B$7,"YES","NO")</f>
        <v>NO</v>
      </c>
    </row>
    <row r="1515" spans="1:8">
      <c r="A1515" s="10">
        <v>1505</v>
      </c>
      <c r="B1515" s="11">
        <f>D1514</f>
        <v>1762.5</v>
      </c>
      <c r="C1515" s="11">
        <f>$B$6</f>
        <v>1.171875</v>
      </c>
      <c r="D1515" s="11">
        <f>B1515+C1515</f>
        <v>1763.671875</v>
      </c>
      <c r="E1515" s="10">
        <f>MIN($B$7,ROUND(D1515/$B$6,0))</f>
        <v>1505</v>
      </c>
      <c r="F1515" s="10" t="str">
        <f>DEC2BIN(INT(E1515/64),5)&amp;DEC2BIN(MOD(E1515,64),6)</f>
        <v>10111100001</v>
      </c>
      <c r="G1515" s="10" t="str">
        <f>DEC2HEX(E1515,3)</f>
        <v>5E1</v>
      </c>
      <c r="H1515" s="10" t="str">
        <f>IF(ROUND(D1515/$B$6,0)&gt;$B$7,"YES","NO")</f>
        <v>NO</v>
      </c>
    </row>
    <row r="1516" spans="1:8">
      <c r="A1516" s="8">
        <v>1506</v>
      </c>
      <c r="B1516" s="9">
        <f>D1515</f>
        <v>1763.671875</v>
      </c>
      <c r="C1516" s="9">
        <f>$B$6</f>
        <v>1.171875</v>
      </c>
      <c r="D1516" s="9">
        <f>B1516+C1516</f>
        <v>1764.84375</v>
      </c>
      <c r="E1516" s="8">
        <f>MIN($B$7,ROUND(D1516/$B$6,0))</f>
        <v>1506</v>
      </c>
      <c r="F1516" s="8" t="str">
        <f>DEC2BIN(INT(E1516/64),5)&amp;DEC2BIN(MOD(E1516,64),6)</f>
        <v>10111100010</v>
      </c>
      <c r="G1516" s="8" t="str">
        <f>DEC2HEX(E1516,3)</f>
        <v>5E2</v>
      </c>
      <c r="H1516" s="8" t="str">
        <f>IF(ROUND(D1516/$B$6,0)&gt;$B$7,"YES","NO")</f>
        <v>NO</v>
      </c>
    </row>
    <row r="1517" spans="1:8">
      <c r="A1517" s="10">
        <v>1507</v>
      </c>
      <c r="B1517" s="11">
        <f>D1516</f>
        <v>1764.84375</v>
      </c>
      <c r="C1517" s="11">
        <f>$B$6</f>
        <v>1.171875</v>
      </c>
      <c r="D1517" s="11">
        <f>B1517+C1517</f>
        <v>1766.015625</v>
      </c>
      <c r="E1517" s="10">
        <f>MIN($B$7,ROUND(D1517/$B$6,0))</f>
        <v>1507</v>
      </c>
      <c r="F1517" s="10" t="str">
        <f>DEC2BIN(INT(E1517/64),5)&amp;DEC2BIN(MOD(E1517,64),6)</f>
        <v>10111100011</v>
      </c>
      <c r="G1517" s="10" t="str">
        <f>DEC2HEX(E1517,3)</f>
        <v>5E3</v>
      </c>
      <c r="H1517" s="10" t="str">
        <f>IF(ROUND(D1517/$B$6,0)&gt;$B$7,"YES","NO")</f>
        <v>NO</v>
      </c>
    </row>
    <row r="1518" spans="1:8">
      <c r="A1518" s="8">
        <v>1508</v>
      </c>
      <c r="B1518" s="9">
        <f>D1517</f>
        <v>1766.015625</v>
      </c>
      <c r="C1518" s="9">
        <f>$B$6</f>
        <v>1.171875</v>
      </c>
      <c r="D1518" s="9">
        <f>B1518+C1518</f>
        <v>1767.1875</v>
      </c>
      <c r="E1518" s="8">
        <f>MIN($B$7,ROUND(D1518/$B$6,0))</f>
        <v>1508</v>
      </c>
      <c r="F1518" s="8" t="str">
        <f>DEC2BIN(INT(E1518/64),5)&amp;DEC2BIN(MOD(E1518,64),6)</f>
        <v>10111100100</v>
      </c>
      <c r="G1518" s="8" t="str">
        <f>DEC2HEX(E1518,3)</f>
        <v>5E4</v>
      </c>
      <c r="H1518" s="8" t="str">
        <f>IF(ROUND(D1518/$B$6,0)&gt;$B$7,"YES","NO")</f>
        <v>NO</v>
      </c>
    </row>
    <row r="1519" spans="1:8">
      <c r="A1519" s="10">
        <v>1509</v>
      </c>
      <c r="B1519" s="11">
        <f>D1518</f>
        <v>1767.1875</v>
      </c>
      <c r="C1519" s="11">
        <f>$B$6</f>
        <v>1.171875</v>
      </c>
      <c r="D1519" s="11">
        <f>B1519+C1519</f>
        <v>1768.359375</v>
      </c>
      <c r="E1519" s="10">
        <f>MIN($B$7,ROUND(D1519/$B$6,0))</f>
        <v>1509</v>
      </c>
      <c r="F1519" s="10" t="str">
        <f>DEC2BIN(INT(E1519/64),5)&amp;DEC2BIN(MOD(E1519,64),6)</f>
        <v>10111100101</v>
      </c>
      <c r="G1519" s="10" t="str">
        <f>DEC2HEX(E1519,3)</f>
        <v>5E5</v>
      </c>
      <c r="H1519" s="10" t="str">
        <f>IF(ROUND(D1519/$B$6,0)&gt;$B$7,"YES","NO")</f>
        <v>NO</v>
      </c>
    </row>
    <row r="1520" spans="1:8">
      <c r="A1520" s="8">
        <v>1510</v>
      </c>
      <c r="B1520" s="9">
        <f>D1519</f>
        <v>1768.359375</v>
      </c>
      <c r="C1520" s="9">
        <f>$B$6</f>
        <v>1.171875</v>
      </c>
      <c r="D1520" s="9">
        <f>B1520+C1520</f>
        <v>1769.53125</v>
      </c>
      <c r="E1520" s="8">
        <f>MIN($B$7,ROUND(D1520/$B$6,0))</f>
        <v>1510</v>
      </c>
      <c r="F1520" s="8" t="str">
        <f>DEC2BIN(INT(E1520/64),5)&amp;DEC2BIN(MOD(E1520,64),6)</f>
        <v>10111100110</v>
      </c>
      <c r="G1520" s="8" t="str">
        <f>DEC2HEX(E1520,3)</f>
        <v>5E6</v>
      </c>
      <c r="H1520" s="8" t="str">
        <f>IF(ROUND(D1520/$B$6,0)&gt;$B$7,"YES","NO")</f>
        <v>NO</v>
      </c>
    </row>
    <row r="1521" spans="1:8">
      <c r="A1521" s="10">
        <v>1511</v>
      </c>
      <c r="B1521" s="11">
        <f>D1520</f>
        <v>1769.53125</v>
      </c>
      <c r="C1521" s="11">
        <f>$B$6</f>
        <v>1.171875</v>
      </c>
      <c r="D1521" s="11">
        <f>B1521+C1521</f>
        <v>1770.703125</v>
      </c>
      <c r="E1521" s="10">
        <f>MIN($B$7,ROUND(D1521/$B$6,0))</f>
        <v>1511</v>
      </c>
      <c r="F1521" s="10" t="str">
        <f>DEC2BIN(INT(E1521/64),5)&amp;DEC2BIN(MOD(E1521,64),6)</f>
        <v>10111100111</v>
      </c>
      <c r="G1521" s="10" t="str">
        <f>DEC2HEX(E1521,3)</f>
        <v>5E7</v>
      </c>
      <c r="H1521" s="10" t="str">
        <f>IF(ROUND(D1521/$B$6,0)&gt;$B$7,"YES","NO")</f>
        <v>NO</v>
      </c>
    </row>
    <row r="1522" spans="1:8">
      <c r="A1522" s="8">
        <v>1512</v>
      </c>
      <c r="B1522" s="9">
        <f>D1521</f>
        <v>1770.703125</v>
      </c>
      <c r="C1522" s="9">
        <f>$B$6</f>
        <v>1.171875</v>
      </c>
      <c r="D1522" s="9">
        <f>B1522+C1522</f>
        <v>1771.875</v>
      </c>
      <c r="E1522" s="8">
        <f>MIN($B$7,ROUND(D1522/$B$6,0))</f>
        <v>1512</v>
      </c>
      <c r="F1522" s="8" t="str">
        <f>DEC2BIN(INT(E1522/64),5)&amp;DEC2BIN(MOD(E1522,64),6)</f>
        <v>10111101000</v>
      </c>
      <c r="G1522" s="8" t="str">
        <f>DEC2HEX(E1522,3)</f>
        <v>5E8</v>
      </c>
      <c r="H1522" s="8" t="str">
        <f>IF(ROUND(D1522/$B$6,0)&gt;$B$7,"YES","NO")</f>
        <v>NO</v>
      </c>
    </row>
    <row r="1523" spans="1:8">
      <c r="A1523" s="10">
        <v>1513</v>
      </c>
      <c r="B1523" s="11">
        <f>D1522</f>
        <v>1771.875</v>
      </c>
      <c r="C1523" s="11">
        <f>$B$6</f>
        <v>1.171875</v>
      </c>
      <c r="D1523" s="11">
        <f>B1523+C1523</f>
        <v>1773.046875</v>
      </c>
      <c r="E1523" s="10">
        <f>MIN($B$7,ROUND(D1523/$B$6,0))</f>
        <v>1513</v>
      </c>
      <c r="F1523" s="10" t="str">
        <f>DEC2BIN(INT(E1523/64),5)&amp;DEC2BIN(MOD(E1523,64),6)</f>
        <v>10111101001</v>
      </c>
      <c r="G1523" s="10" t="str">
        <f>DEC2HEX(E1523,3)</f>
        <v>5E9</v>
      </c>
      <c r="H1523" s="10" t="str">
        <f>IF(ROUND(D1523/$B$6,0)&gt;$B$7,"YES","NO")</f>
        <v>NO</v>
      </c>
    </row>
    <row r="1524" spans="1:8">
      <c r="A1524" s="8">
        <v>1514</v>
      </c>
      <c r="B1524" s="9">
        <f>D1523</f>
        <v>1773.046875</v>
      </c>
      <c r="C1524" s="9">
        <f>$B$6</f>
        <v>1.171875</v>
      </c>
      <c r="D1524" s="9">
        <f>B1524+C1524</f>
        <v>1774.21875</v>
      </c>
      <c r="E1524" s="8">
        <f>MIN($B$7,ROUND(D1524/$B$6,0))</f>
        <v>1514</v>
      </c>
      <c r="F1524" s="8" t="str">
        <f>DEC2BIN(INT(E1524/64),5)&amp;DEC2BIN(MOD(E1524,64),6)</f>
        <v>10111101010</v>
      </c>
      <c r="G1524" s="8" t="str">
        <f>DEC2HEX(E1524,3)</f>
        <v>5EA</v>
      </c>
      <c r="H1524" s="8" t="str">
        <f>IF(ROUND(D1524/$B$6,0)&gt;$B$7,"YES","NO")</f>
        <v>NO</v>
      </c>
    </row>
    <row r="1525" spans="1:8">
      <c r="A1525" s="10">
        <v>1515</v>
      </c>
      <c r="B1525" s="11">
        <f>D1524</f>
        <v>1774.21875</v>
      </c>
      <c r="C1525" s="11">
        <f>$B$6</f>
        <v>1.171875</v>
      </c>
      <c r="D1525" s="11">
        <f>B1525+C1525</f>
        <v>1775.390625</v>
      </c>
      <c r="E1525" s="10">
        <f>MIN($B$7,ROUND(D1525/$B$6,0))</f>
        <v>1515</v>
      </c>
      <c r="F1525" s="10" t="str">
        <f>DEC2BIN(INT(E1525/64),5)&amp;DEC2BIN(MOD(E1525,64),6)</f>
        <v>10111101011</v>
      </c>
      <c r="G1525" s="10" t="str">
        <f>DEC2HEX(E1525,3)</f>
        <v>5EB</v>
      </c>
      <c r="H1525" s="10" t="str">
        <f>IF(ROUND(D1525/$B$6,0)&gt;$B$7,"YES","NO")</f>
        <v>NO</v>
      </c>
    </row>
    <row r="1526" spans="1:8">
      <c r="A1526" s="8">
        <v>1516</v>
      </c>
      <c r="B1526" s="9">
        <f>D1525</f>
        <v>1775.390625</v>
      </c>
      <c r="C1526" s="9">
        <f>$B$6</f>
        <v>1.171875</v>
      </c>
      <c r="D1526" s="9">
        <f>B1526+C1526</f>
        <v>1776.5625</v>
      </c>
      <c r="E1526" s="8">
        <f>MIN($B$7,ROUND(D1526/$B$6,0))</f>
        <v>1516</v>
      </c>
      <c r="F1526" s="8" t="str">
        <f>DEC2BIN(INT(E1526/64),5)&amp;DEC2BIN(MOD(E1526,64),6)</f>
        <v>10111101100</v>
      </c>
      <c r="G1526" s="8" t="str">
        <f>DEC2HEX(E1526,3)</f>
        <v>5EC</v>
      </c>
      <c r="H1526" s="8" t="str">
        <f>IF(ROUND(D1526/$B$6,0)&gt;$B$7,"YES","NO")</f>
        <v>NO</v>
      </c>
    </row>
    <row r="1527" spans="1:8">
      <c r="A1527" s="10">
        <v>1517</v>
      </c>
      <c r="B1527" s="11">
        <f>D1526</f>
        <v>1776.5625</v>
      </c>
      <c r="C1527" s="11">
        <f>$B$6</f>
        <v>1.171875</v>
      </c>
      <c r="D1527" s="11">
        <f>B1527+C1527</f>
        <v>1777.734375</v>
      </c>
      <c r="E1527" s="10">
        <f>MIN($B$7,ROUND(D1527/$B$6,0))</f>
        <v>1517</v>
      </c>
      <c r="F1527" s="10" t="str">
        <f>DEC2BIN(INT(E1527/64),5)&amp;DEC2BIN(MOD(E1527,64),6)</f>
        <v>10111101101</v>
      </c>
      <c r="G1527" s="10" t="str">
        <f>DEC2HEX(E1527,3)</f>
        <v>5ED</v>
      </c>
      <c r="H1527" s="10" t="str">
        <f>IF(ROUND(D1527/$B$6,0)&gt;$B$7,"YES","NO")</f>
        <v>NO</v>
      </c>
    </row>
    <row r="1528" spans="1:8">
      <c r="A1528" s="8">
        <v>1518</v>
      </c>
      <c r="B1528" s="9">
        <f>D1527</f>
        <v>1777.734375</v>
      </c>
      <c r="C1528" s="9">
        <f>$B$6</f>
        <v>1.171875</v>
      </c>
      <c r="D1528" s="9">
        <f>B1528+C1528</f>
        <v>1778.90625</v>
      </c>
      <c r="E1528" s="8">
        <f>MIN($B$7,ROUND(D1528/$B$6,0))</f>
        <v>1518</v>
      </c>
      <c r="F1528" s="8" t="str">
        <f>DEC2BIN(INT(E1528/64),5)&amp;DEC2BIN(MOD(E1528,64),6)</f>
        <v>10111101110</v>
      </c>
      <c r="G1528" s="8" t="str">
        <f>DEC2HEX(E1528,3)</f>
        <v>5EE</v>
      </c>
      <c r="H1528" s="8" t="str">
        <f>IF(ROUND(D1528/$B$6,0)&gt;$B$7,"YES","NO")</f>
        <v>NO</v>
      </c>
    </row>
    <row r="1529" spans="1:8">
      <c r="A1529" s="10">
        <v>1519</v>
      </c>
      <c r="B1529" s="11">
        <f>D1528</f>
        <v>1778.90625</v>
      </c>
      <c r="C1529" s="11">
        <f>$B$6</f>
        <v>1.171875</v>
      </c>
      <c r="D1529" s="11">
        <f>B1529+C1529</f>
        <v>1780.078125</v>
      </c>
      <c r="E1529" s="10">
        <f>MIN($B$7,ROUND(D1529/$B$6,0))</f>
        <v>1519</v>
      </c>
      <c r="F1529" s="10" t="str">
        <f>DEC2BIN(INT(E1529/64),5)&amp;DEC2BIN(MOD(E1529,64),6)</f>
        <v>10111101111</v>
      </c>
      <c r="G1529" s="10" t="str">
        <f>DEC2HEX(E1529,3)</f>
        <v>5EF</v>
      </c>
      <c r="H1529" s="10" t="str">
        <f>IF(ROUND(D1529/$B$6,0)&gt;$B$7,"YES","NO")</f>
        <v>NO</v>
      </c>
    </row>
    <row r="1530" spans="1:8">
      <c r="A1530" s="8">
        <v>1520</v>
      </c>
      <c r="B1530" s="9">
        <f>D1529</f>
        <v>1780.078125</v>
      </c>
      <c r="C1530" s="9">
        <f>$B$6</f>
        <v>1.171875</v>
      </c>
      <c r="D1530" s="9">
        <f>B1530+C1530</f>
        <v>1781.25</v>
      </c>
      <c r="E1530" s="8">
        <f>MIN($B$7,ROUND(D1530/$B$6,0))</f>
        <v>1520</v>
      </c>
      <c r="F1530" s="8" t="str">
        <f>DEC2BIN(INT(E1530/64),5)&amp;DEC2BIN(MOD(E1530,64),6)</f>
        <v>10111110000</v>
      </c>
      <c r="G1530" s="8" t="str">
        <f>DEC2HEX(E1530,3)</f>
        <v>5F0</v>
      </c>
      <c r="H1530" s="8" t="str">
        <f>IF(ROUND(D1530/$B$6,0)&gt;$B$7,"YES","NO")</f>
        <v>NO</v>
      </c>
    </row>
    <row r="1531" spans="1:8">
      <c r="A1531" s="10">
        <v>1521</v>
      </c>
      <c r="B1531" s="11">
        <f>D1530</f>
        <v>1781.25</v>
      </c>
      <c r="C1531" s="11">
        <f>$B$6</f>
        <v>1.171875</v>
      </c>
      <c r="D1531" s="11">
        <f>B1531+C1531</f>
        <v>1782.421875</v>
      </c>
      <c r="E1531" s="10">
        <f>MIN($B$7,ROUND(D1531/$B$6,0))</f>
        <v>1521</v>
      </c>
      <c r="F1531" s="10" t="str">
        <f>DEC2BIN(INT(E1531/64),5)&amp;DEC2BIN(MOD(E1531,64),6)</f>
        <v>10111110001</v>
      </c>
      <c r="G1531" s="10" t="str">
        <f>DEC2HEX(E1531,3)</f>
        <v>5F1</v>
      </c>
      <c r="H1531" s="10" t="str">
        <f>IF(ROUND(D1531/$B$6,0)&gt;$B$7,"YES","NO")</f>
        <v>NO</v>
      </c>
    </row>
    <row r="1532" spans="1:8">
      <c r="A1532" s="8">
        <v>1522</v>
      </c>
      <c r="B1532" s="9">
        <f>D1531</f>
        <v>1782.421875</v>
      </c>
      <c r="C1532" s="9">
        <f>$B$6</f>
        <v>1.171875</v>
      </c>
      <c r="D1532" s="9">
        <f>B1532+C1532</f>
        <v>1783.59375</v>
      </c>
      <c r="E1532" s="8">
        <f>MIN($B$7,ROUND(D1532/$B$6,0))</f>
        <v>1522</v>
      </c>
      <c r="F1532" s="8" t="str">
        <f>DEC2BIN(INT(E1532/64),5)&amp;DEC2BIN(MOD(E1532,64),6)</f>
        <v>10111110010</v>
      </c>
      <c r="G1532" s="8" t="str">
        <f>DEC2HEX(E1532,3)</f>
        <v>5F2</v>
      </c>
      <c r="H1532" s="8" t="str">
        <f>IF(ROUND(D1532/$B$6,0)&gt;$B$7,"YES","NO")</f>
        <v>NO</v>
      </c>
    </row>
    <row r="1533" spans="1:8">
      <c r="A1533" s="10">
        <v>1523</v>
      </c>
      <c r="B1533" s="11">
        <f>D1532</f>
        <v>1783.59375</v>
      </c>
      <c r="C1533" s="11">
        <f>$B$6</f>
        <v>1.171875</v>
      </c>
      <c r="D1533" s="11">
        <f>B1533+C1533</f>
        <v>1784.765625</v>
      </c>
      <c r="E1533" s="10">
        <f>MIN($B$7,ROUND(D1533/$B$6,0))</f>
        <v>1523</v>
      </c>
      <c r="F1533" s="10" t="str">
        <f>DEC2BIN(INT(E1533/64),5)&amp;DEC2BIN(MOD(E1533,64),6)</f>
        <v>10111110011</v>
      </c>
      <c r="G1533" s="10" t="str">
        <f>DEC2HEX(E1533,3)</f>
        <v>5F3</v>
      </c>
      <c r="H1533" s="10" t="str">
        <f>IF(ROUND(D1533/$B$6,0)&gt;$B$7,"YES","NO")</f>
        <v>NO</v>
      </c>
    </row>
    <row r="1534" spans="1:8">
      <c r="A1534" s="8">
        <v>1524</v>
      </c>
      <c r="B1534" s="9">
        <f>D1533</f>
        <v>1784.765625</v>
      </c>
      <c r="C1534" s="9">
        <f>$B$6</f>
        <v>1.171875</v>
      </c>
      <c r="D1534" s="9">
        <f>B1534+C1534</f>
        <v>1785.9375</v>
      </c>
      <c r="E1534" s="8">
        <f>MIN($B$7,ROUND(D1534/$B$6,0))</f>
        <v>1524</v>
      </c>
      <c r="F1534" s="8" t="str">
        <f>DEC2BIN(INT(E1534/64),5)&amp;DEC2BIN(MOD(E1534,64),6)</f>
        <v>10111110100</v>
      </c>
      <c r="G1534" s="8" t="str">
        <f>DEC2HEX(E1534,3)</f>
        <v>5F4</v>
      </c>
      <c r="H1534" s="8" t="str">
        <f>IF(ROUND(D1534/$B$6,0)&gt;$B$7,"YES","NO")</f>
        <v>NO</v>
      </c>
    </row>
    <row r="1535" spans="1:8">
      <c r="A1535" s="10">
        <v>1525</v>
      </c>
      <c r="B1535" s="11">
        <f>D1534</f>
        <v>1785.9375</v>
      </c>
      <c r="C1535" s="11">
        <f>$B$6</f>
        <v>1.171875</v>
      </c>
      <c r="D1535" s="11">
        <f>B1535+C1535</f>
        <v>1787.109375</v>
      </c>
      <c r="E1535" s="10">
        <f>MIN($B$7,ROUND(D1535/$B$6,0))</f>
        <v>1525</v>
      </c>
      <c r="F1535" s="10" t="str">
        <f>DEC2BIN(INT(E1535/64),5)&amp;DEC2BIN(MOD(E1535,64),6)</f>
        <v>10111110101</v>
      </c>
      <c r="G1535" s="10" t="str">
        <f>DEC2HEX(E1535,3)</f>
        <v>5F5</v>
      </c>
      <c r="H1535" s="10" t="str">
        <f>IF(ROUND(D1535/$B$6,0)&gt;$B$7,"YES","NO")</f>
        <v>NO</v>
      </c>
    </row>
    <row r="1536" spans="1:8">
      <c r="A1536" s="8">
        <v>1526</v>
      </c>
      <c r="B1536" s="9">
        <f>D1535</f>
        <v>1787.109375</v>
      </c>
      <c r="C1536" s="9">
        <f>$B$6</f>
        <v>1.171875</v>
      </c>
      <c r="D1536" s="9">
        <f>B1536+C1536</f>
        <v>1788.28125</v>
      </c>
      <c r="E1536" s="8">
        <f>MIN($B$7,ROUND(D1536/$B$6,0))</f>
        <v>1526</v>
      </c>
      <c r="F1536" s="8" t="str">
        <f>DEC2BIN(INT(E1536/64),5)&amp;DEC2BIN(MOD(E1536,64),6)</f>
        <v>10111110110</v>
      </c>
      <c r="G1536" s="8" t="str">
        <f>DEC2HEX(E1536,3)</f>
        <v>5F6</v>
      </c>
      <c r="H1536" s="8" t="str">
        <f>IF(ROUND(D1536/$B$6,0)&gt;$B$7,"YES","NO")</f>
        <v>NO</v>
      </c>
    </row>
    <row r="1537" spans="1:8">
      <c r="A1537" s="10">
        <v>1527</v>
      </c>
      <c r="B1537" s="11">
        <f>D1536</f>
        <v>1788.28125</v>
      </c>
      <c r="C1537" s="11">
        <f>$B$6</f>
        <v>1.171875</v>
      </c>
      <c r="D1537" s="11">
        <f>B1537+C1537</f>
        <v>1789.453125</v>
      </c>
      <c r="E1537" s="10">
        <f>MIN($B$7,ROUND(D1537/$B$6,0))</f>
        <v>1527</v>
      </c>
      <c r="F1537" s="10" t="str">
        <f>DEC2BIN(INT(E1537/64),5)&amp;DEC2BIN(MOD(E1537,64),6)</f>
        <v>10111110111</v>
      </c>
      <c r="G1537" s="10" t="str">
        <f>DEC2HEX(E1537,3)</f>
        <v>5F7</v>
      </c>
      <c r="H1537" s="10" t="str">
        <f>IF(ROUND(D1537/$B$6,0)&gt;$B$7,"YES","NO")</f>
        <v>NO</v>
      </c>
    </row>
    <row r="1538" spans="1:8">
      <c r="A1538" s="8">
        <v>1528</v>
      </c>
      <c r="B1538" s="9">
        <f>D1537</f>
        <v>1789.453125</v>
      </c>
      <c r="C1538" s="9">
        <f>$B$6</f>
        <v>1.171875</v>
      </c>
      <c r="D1538" s="9">
        <f>B1538+C1538</f>
        <v>1790.625</v>
      </c>
      <c r="E1538" s="8">
        <f>MIN($B$7,ROUND(D1538/$B$6,0))</f>
        <v>1528</v>
      </c>
      <c r="F1538" s="8" t="str">
        <f>DEC2BIN(INT(E1538/64),5)&amp;DEC2BIN(MOD(E1538,64),6)</f>
        <v>10111111000</v>
      </c>
      <c r="G1538" s="8" t="str">
        <f>DEC2HEX(E1538,3)</f>
        <v>5F8</v>
      </c>
      <c r="H1538" s="8" t="str">
        <f>IF(ROUND(D1538/$B$6,0)&gt;$B$7,"YES","NO")</f>
        <v>NO</v>
      </c>
    </row>
    <row r="1539" spans="1:8">
      <c r="A1539" s="10">
        <v>1529</v>
      </c>
      <c r="B1539" s="11">
        <f>D1538</f>
        <v>1790.625</v>
      </c>
      <c r="C1539" s="11">
        <f>$B$6</f>
        <v>1.171875</v>
      </c>
      <c r="D1539" s="11">
        <f>B1539+C1539</f>
        <v>1791.796875</v>
      </c>
      <c r="E1539" s="10">
        <f>MIN($B$7,ROUND(D1539/$B$6,0))</f>
        <v>1529</v>
      </c>
      <c r="F1539" s="10" t="str">
        <f>DEC2BIN(INT(E1539/64),5)&amp;DEC2BIN(MOD(E1539,64),6)</f>
        <v>10111111001</v>
      </c>
      <c r="G1539" s="10" t="str">
        <f>DEC2HEX(E1539,3)</f>
        <v>5F9</v>
      </c>
      <c r="H1539" s="10" t="str">
        <f>IF(ROUND(D1539/$B$6,0)&gt;$B$7,"YES","NO")</f>
        <v>NO</v>
      </c>
    </row>
    <row r="1540" spans="1:8">
      <c r="A1540" s="8">
        <v>1530</v>
      </c>
      <c r="B1540" s="9">
        <f>D1539</f>
        <v>1791.796875</v>
      </c>
      <c r="C1540" s="9">
        <f>$B$6</f>
        <v>1.171875</v>
      </c>
      <c r="D1540" s="9">
        <f>B1540+C1540</f>
        <v>1792.96875</v>
      </c>
      <c r="E1540" s="8">
        <f>MIN($B$7,ROUND(D1540/$B$6,0))</f>
        <v>1530</v>
      </c>
      <c r="F1540" s="8" t="str">
        <f>DEC2BIN(INT(E1540/64),5)&amp;DEC2BIN(MOD(E1540,64),6)</f>
        <v>10111111010</v>
      </c>
      <c r="G1540" s="8" t="str">
        <f>DEC2HEX(E1540,3)</f>
        <v>5FA</v>
      </c>
      <c r="H1540" s="8" t="str">
        <f>IF(ROUND(D1540/$B$6,0)&gt;$B$7,"YES","NO")</f>
        <v>NO</v>
      </c>
    </row>
    <row r="1541" spans="1:8">
      <c r="A1541" s="10">
        <v>1531</v>
      </c>
      <c r="B1541" s="11">
        <f>D1540</f>
        <v>1792.96875</v>
      </c>
      <c r="C1541" s="11">
        <f>$B$6</f>
        <v>1.171875</v>
      </c>
      <c r="D1541" s="11">
        <f>B1541+C1541</f>
        <v>1794.140625</v>
      </c>
      <c r="E1541" s="10">
        <f>MIN($B$7,ROUND(D1541/$B$6,0))</f>
        <v>1531</v>
      </c>
      <c r="F1541" s="10" t="str">
        <f>DEC2BIN(INT(E1541/64),5)&amp;DEC2BIN(MOD(E1541,64),6)</f>
        <v>10111111011</v>
      </c>
      <c r="G1541" s="10" t="str">
        <f>DEC2HEX(E1541,3)</f>
        <v>5FB</v>
      </c>
      <c r="H1541" s="10" t="str">
        <f>IF(ROUND(D1541/$B$6,0)&gt;$B$7,"YES","NO")</f>
        <v>NO</v>
      </c>
    </row>
    <row r="1542" spans="1:8">
      <c r="A1542" s="8">
        <v>1532</v>
      </c>
      <c r="B1542" s="9">
        <f>D1541</f>
        <v>1794.140625</v>
      </c>
      <c r="C1542" s="9">
        <f>$B$6</f>
        <v>1.171875</v>
      </c>
      <c r="D1542" s="9">
        <f>B1542+C1542</f>
        <v>1795.3125</v>
      </c>
      <c r="E1542" s="8">
        <f>MIN($B$7,ROUND(D1542/$B$6,0))</f>
        <v>1532</v>
      </c>
      <c r="F1542" s="8" t="str">
        <f>DEC2BIN(INT(E1542/64),5)&amp;DEC2BIN(MOD(E1542,64),6)</f>
        <v>10111111100</v>
      </c>
      <c r="G1542" s="8" t="str">
        <f>DEC2HEX(E1542,3)</f>
        <v>5FC</v>
      </c>
      <c r="H1542" s="8" t="str">
        <f>IF(ROUND(D1542/$B$6,0)&gt;$B$7,"YES","NO")</f>
        <v>NO</v>
      </c>
    </row>
    <row r="1543" spans="1:8">
      <c r="A1543" s="10">
        <v>1533</v>
      </c>
      <c r="B1543" s="11">
        <f>D1542</f>
        <v>1795.3125</v>
      </c>
      <c r="C1543" s="11">
        <f>$B$6</f>
        <v>1.171875</v>
      </c>
      <c r="D1543" s="11">
        <f>B1543+C1543</f>
        <v>1796.484375</v>
      </c>
      <c r="E1543" s="10">
        <f>MIN($B$7,ROUND(D1543/$B$6,0))</f>
        <v>1533</v>
      </c>
      <c r="F1543" s="10" t="str">
        <f>DEC2BIN(INT(E1543/64),5)&amp;DEC2BIN(MOD(E1543,64),6)</f>
        <v>10111111101</v>
      </c>
      <c r="G1543" s="10" t="str">
        <f>DEC2HEX(E1543,3)</f>
        <v>5FD</v>
      </c>
      <c r="H1543" s="10" t="str">
        <f>IF(ROUND(D1543/$B$6,0)&gt;$B$7,"YES","NO")</f>
        <v>NO</v>
      </c>
    </row>
    <row r="1544" spans="1:8">
      <c r="A1544" s="8">
        <v>1534</v>
      </c>
      <c r="B1544" s="9">
        <f>D1543</f>
        <v>1796.484375</v>
      </c>
      <c r="C1544" s="9">
        <f>$B$6</f>
        <v>1.171875</v>
      </c>
      <c r="D1544" s="9">
        <f>B1544+C1544</f>
        <v>1797.65625</v>
      </c>
      <c r="E1544" s="8">
        <f>MIN($B$7,ROUND(D1544/$B$6,0))</f>
        <v>1534</v>
      </c>
      <c r="F1544" s="8" t="str">
        <f>DEC2BIN(INT(E1544/64),5)&amp;DEC2BIN(MOD(E1544,64),6)</f>
        <v>10111111110</v>
      </c>
      <c r="G1544" s="8" t="str">
        <f>DEC2HEX(E1544,3)</f>
        <v>5FE</v>
      </c>
      <c r="H1544" s="8" t="str">
        <f>IF(ROUND(D1544/$B$6,0)&gt;$B$7,"YES","NO")</f>
        <v>NO</v>
      </c>
    </row>
    <row r="1545" spans="1:8">
      <c r="A1545" s="10">
        <v>1535</v>
      </c>
      <c r="B1545" s="11">
        <f>D1544</f>
        <v>1797.65625</v>
      </c>
      <c r="C1545" s="11">
        <f>$B$6</f>
        <v>1.171875</v>
      </c>
      <c r="D1545" s="11">
        <f>B1545+C1545</f>
        <v>1798.828125</v>
      </c>
      <c r="E1545" s="10">
        <f>MIN($B$7,ROUND(D1545/$B$6,0))</f>
        <v>1535</v>
      </c>
      <c r="F1545" s="10" t="str">
        <f>DEC2BIN(INT(E1545/64),5)&amp;DEC2BIN(MOD(E1545,64),6)</f>
        <v>10111111111</v>
      </c>
      <c r="G1545" s="10" t="str">
        <f>DEC2HEX(E1545,3)</f>
        <v>5FF</v>
      </c>
      <c r="H1545" s="10" t="str">
        <f>IF(ROUND(D1545/$B$6,0)&gt;$B$7,"YES","NO")</f>
        <v>NO</v>
      </c>
    </row>
    <row r="1546" spans="1:8">
      <c r="A1546" s="8">
        <v>1536</v>
      </c>
      <c r="B1546" s="9">
        <f>D1545</f>
        <v>1798.828125</v>
      </c>
      <c r="C1546" s="9">
        <f>$B$6</f>
        <v>1.171875</v>
      </c>
      <c r="D1546" s="9">
        <f>B1546+C1546</f>
        <v>1800</v>
      </c>
      <c r="E1546" s="8">
        <f>MIN($B$7,ROUND(D1546/$B$6,0))</f>
        <v>1536</v>
      </c>
      <c r="F1546" s="8" t="str">
        <f>DEC2BIN(INT(E1546/64),5)&amp;DEC2BIN(MOD(E1546,64),6)</f>
        <v>11000000000</v>
      </c>
      <c r="G1546" s="8" t="str">
        <f>DEC2HEX(E1546,3)</f>
        <v>600</v>
      </c>
      <c r="H1546" s="8" t="str">
        <f>IF(ROUND(D1546/$B$6,0)&gt;$B$7,"YES","NO")</f>
        <v>NO</v>
      </c>
    </row>
    <row r="1547" spans="1:8">
      <c r="A1547" s="10">
        <v>1537</v>
      </c>
      <c r="B1547" s="11">
        <f>D1546</f>
        <v>1800</v>
      </c>
      <c r="C1547" s="11">
        <f>$B$6</f>
        <v>1.171875</v>
      </c>
      <c r="D1547" s="11">
        <f>B1547+C1547</f>
        <v>1801.171875</v>
      </c>
      <c r="E1547" s="10">
        <f>MIN($B$7,ROUND(D1547/$B$6,0))</f>
        <v>1537</v>
      </c>
      <c r="F1547" s="10" t="str">
        <f>DEC2BIN(INT(E1547/64),5)&amp;DEC2BIN(MOD(E1547,64),6)</f>
        <v>11000000001</v>
      </c>
      <c r="G1547" s="10" t="str">
        <f>DEC2HEX(E1547,3)</f>
        <v>601</v>
      </c>
      <c r="H1547" s="10" t="str">
        <f>IF(ROUND(D1547/$B$6,0)&gt;$B$7,"YES","NO")</f>
        <v>NO</v>
      </c>
    </row>
    <row r="1548" spans="1:8">
      <c r="A1548" s="8">
        <v>1538</v>
      </c>
      <c r="B1548" s="9">
        <f>D1547</f>
        <v>1801.171875</v>
      </c>
      <c r="C1548" s="9">
        <f>$B$6</f>
        <v>1.171875</v>
      </c>
      <c r="D1548" s="9">
        <f>B1548+C1548</f>
        <v>1802.34375</v>
      </c>
      <c r="E1548" s="8">
        <f>MIN($B$7,ROUND(D1548/$B$6,0))</f>
        <v>1538</v>
      </c>
      <c r="F1548" s="8" t="str">
        <f>DEC2BIN(INT(E1548/64),5)&amp;DEC2BIN(MOD(E1548,64),6)</f>
        <v>11000000010</v>
      </c>
      <c r="G1548" s="8" t="str">
        <f>DEC2HEX(E1548,3)</f>
        <v>602</v>
      </c>
      <c r="H1548" s="8" t="str">
        <f>IF(ROUND(D1548/$B$6,0)&gt;$B$7,"YES","NO")</f>
        <v>NO</v>
      </c>
    </row>
    <row r="1549" spans="1:8">
      <c r="A1549" s="10">
        <v>1539</v>
      </c>
      <c r="B1549" s="11">
        <f>D1548</f>
        <v>1802.34375</v>
      </c>
      <c r="C1549" s="11">
        <f>$B$6</f>
        <v>1.171875</v>
      </c>
      <c r="D1549" s="11">
        <f>B1549+C1549</f>
        <v>1803.515625</v>
      </c>
      <c r="E1549" s="10">
        <f>MIN($B$7,ROUND(D1549/$B$6,0))</f>
        <v>1539</v>
      </c>
      <c r="F1549" s="10" t="str">
        <f>DEC2BIN(INT(E1549/64),5)&amp;DEC2BIN(MOD(E1549,64),6)</f>
        <v>11000000011</v>
      </c>
      <c r="G1549" s="10" t="str">
        <f>DEC2HEX(E1549,3)</f>
        <v>603</v>
      </c>
      <c r="H1549" s="10" t="str">
        <f>IF(ROUND(D1549/$B$6,0)&gt;$B$7,"YES","NO")</f>
        <v>NO</v>
      </c>
    </row>
    <row r="1550" spans="1:8">
      <c r="A1550" s="8">
        <v>1540</v>
      </c>
      <c r="B1550" s="9">
        <f>D1549</f>
        <v>1803.515625</v>
      </c>
      <c r="C1550" s="9">
        <f>$B$6</f>
        <v>1.171875</v>
      </c>
      <c r="D1550" s="9">
        <f>B1550+C1550</f>
        <v>1804.6875</v>
      </c>
      <c r="E1550" s="8">
        <f>MIN($B$7,ROUND(D1550/$B$6,0))</f>
        <v>1540</v>
      </c>
      <c r="F1550" s="8" t="str">
        <f>DEC2BIN(INT(E1550/64),5)&amp;DEC2BIN(MOD(E1550,64),6)</f>
        <v>11000000100</v>
      </c>
      <c r="G1550" s="8" t="str">
        <f>DEC2HEX(E1550,3)</f>
        <v>604</v>
      </c>
      <c r="H1550" s="8" t="str">
        <f>IF(ROUND(D1550/$B$6,0)&gt;$B$7,"YES","NO")</f>
        <v>NO</v>
      </c>
    </row>
    <row r="1551" spans="1:8">
      <c r="A1551" s="10">
        <v>1541</v>
      </c>
      <c r="B1551" s="11">
        <f>D1550</f>
        <v>1804.6875</v>
      </c>
      <c r="C1551" s="11">
        <f>$B$6</f>
        <v>1.171875</v>
      </c>
      <c r="D1551" s="11">
        <f>B1551+C1551</f>
        <v>1805.859375</v>
      </c>
      <c r="E1551" s="10">
        <f>MIN($B$7,ROUND(D1551/$B$6,0))</f>
        <v>1541</v>
      </c>
      <c r="F1551" s="10" t="str">
        <f>DEC2BIN(INT(E1551/64),5)&amp;DEC2BIN(MOD(E1551,64),6)</f>
        <v>11000000101</v>
      </c>
      <c r="G1551" s="10" t="str">
        <f>DEC2HEX(E1551,3)</f>
        <v>605</v>
      </c>
      <c r="H1551" s="10" t="str">
        <f>IF(ROUND(D1551/$B$6,0)&gt;$B$7,"YES","NO")</f>
        <v>NO</v>
      </c>
    </row>
    <row r="1552" spans="1:8">
      <c r="A1552" s="8">
        <v>1542</v>
      </c>
      <c r="B1552" s="9">
        <f>D1551</f>
        <v>1805.859375</v>
      </c>
      <c r="C1552" s="9">
        <f>$B$6</f>
        <v>1.171875</v>
      </c>
      <c r="D1552" s="9">
        <f>B1552+C1552</f>
        <v>1807.03125</v>
      </c>
      <c r="E1552" s="8">
        <f>MIN($B$7,ROUND(D1552/$B$6,0))</f>
        <v>1542</v>
      </c>
      <c r="F1552" s="8" t="str">
        <f>DEC2BIN(INT(E1552/64),5)&amp;DEC2BIN(MOD(E1552,64),6)</f>
        <v>11000000110</v>
      </c>
      <c r="G1552" s="8" t="str">
        <f>DEC2HEX(E1552,3)</f>
        <v>606</v>
      </c>
      <c r="H1552" s="8" t="str">
        <f>IF(ROUND(D1552/$B$6,0)&gt;$B$7,"YES","NO")</f>
        <v>NO</v>
      </c>
    </row>
    <row r="1553" spans="1:8">
      <c r="A1553" s="10">
        <v>1543</v>
      </c>
      <c r="B1553" s="11">
        <f>D1552</f>
        <v>1807.03125</v>
      </c>
      <c r="C1553" s="11">
        <f>$B$6</f>
        <v>1.171875</v>
      </c>
      <c r="D1553" s="11">
        <f>B1553+C1553</f>
        <v>1808.203125</v>
      </c>
      <c r="E1553" s="10">
        <f>MIN($B$7,ROUND(D1553/$B$6,0))</f>
        <v>1543</v>
      </c>
      <c r="F1553" s="10" t="str">
        <f>DEC2BIN(INT(E1553/64),5)&amp;DEC2BIN(MOD(E1553,64),6)</f>
        <v>11000000111</v>
      </c>
      <c r="G1553" s="10" t="str">
        <f>DEC2HEX(E1553,3)</f>
        <v>607</v>
      </c>
      <c r="H1553" s="10" t="str">
        <f>IF(ROUND(D1553/$B$6,0)&gt;$B$7,"YES","NO")</f>
        <v>NO</v>
      </c>
    </row>
    <row r="1554" spans="1:8">
      <c r="A1554" s="8">
        <v>1544</v>
      </c>
      <c r="B1554" s="9">
        <f>D1553</f>
        <v>1808.203125</v>
      </c>
      <c r="C1554" s="9">
        <f>$B$6</f>
        <v>1.171875</v>
      </c>
      <c r="D1554" s="9">
        <f>B1554+C1554</f>
        <v>1809.375</v>
      </c>
      <c r="E1554" s="8">
        <f>MIN($B$7,ROUND(D1554/$B$6,0))</f>
        <v>1544</v>
      </c>
      <c r="F1554" s="8" t="str">
        <f>DEC2BIN(INT(E1554/64),5)&amp;DEC2BIN(MOD(E1554,64),6)</f>
        <v>11000001000</v>
      </c>
      <c r="G1554" s="8" t="str">
        <f>DEC2HEX(E1554,3)</f>
        <v>608</v>
      </c>
      <c r="H1554" s="8" t="str">
        <f>IF(ROUND(D1554/$B$6,0)&gt;$B$7,"YES","NO")</f>
        <v>NO</v>
      </c>
    </row>
    <row r="1555" spans="1:8">
      <c r="A1555" s="10">
        <v>1545</v>
      </c>
      <c r="B1555" s="11">
        <f>D1554</f>
        <v>1809.375</v>
      </c>
      <c r="C1555" s="11">
        <f>$B$6</f>
        <v>1.171875</v>
      </c>
      <c r="D1555" s="11">
        <f>B1555+C1555</f>
        <v>1810.546875</v>
      </c>
      <c r="E1555" s="10">
        <f>MIN($B$7,ROUND(D1555/$B$6,0))</f>
        <v>1545</v>
      </c>
      <c r="F1555" s="10" t="str">
        <f>DEC2BIN(INT(E1555/64),5)&amp;DEC2BIN(MOD(E1555,64),6)</f>
        <v>11000001001</v>
      </c>
      <c r="G1555" s="10" t="str">
        <f>DEC2HEX(E1555,3)</f>
        <v>609</v>
      </c>
      <c r="H1555" s="10" t="str">
        <f>IF(ROUND(D1555/$B$6,0)&gt;$B$7,"YES","NO")</f>
        <v>NO</v>
      </c>
    </row>
    <row r="1556" spans="1:8">
      <c r="A1556" s="8">
        <v>1546</v>
      </c>
      <c r="B1556" s="9">
        <f>D1555</f>
        <v>1810.546875</v>
      </c>
      <c r="C1556" s="9">
        <f>$B$6</f>
        <v>1.171875</v>
      </c>
      <c r="D1556" s="9">
        <f>B1556+C1556</f>
        <v>1811.71875</v>
      </c>
      <c r="E1556" s="8">
        <f>MIN($B$7,ROUND(D1556/$B$6,0))</f>
        <v>1546</v>
      </c>
      <c r="F1556" s="8" t="str">
        <f>DEC2BIN(INT(E1556/64),5)&amp;DEC2BIN(MOD(E1556,64),6)</f>
        <v>11000001010</v>
      </c>
      <c r="G1556" s="8" t="str">
        <f>DEC2HEX(E1556,3)</f>
        <v>60A</v>
      </c>
      <c r="H1556" s="8" t="str">
        <f>IF(ROUND(D1556/$B$6,0)&gt;$B$7,"YES","NO")</f>
        <v>NO</v>
      </c>
    </row>
    <row r="1557" spans="1:8">
      <c r="A1557" s="10">
        <v>1547</v>
      </c>
      <c r="B1557" s="11">
        <f>D1556</f>
        <v>1811.71875</v>
      </c>
      <c r="C1557" s="11">
        <f>$B$6</f>
        <v>1.171875</v>
      </c>
      <c r="D1557" s="11">
        <f>B1557+C1557</f>
        <v>1812.890625</v>
      </c>
      <c r="E1557" s="10">
        <f>MIN($B$7,ROUND(D1557/$B$6,0))</f>
        <v>1547</v>
      </c>
      <c r="F1557" s="10" t="str">
        <f>DEC2BIN(INT(E1557/64),5)&amp;DEC2BIN(MOD(E1557,64),6)</f>
        <v>11000001011</v>
      </c>
      <c r="G1557" s="10" t="str">
        <f>DEC2HEX(E1557,3)</f>
        <v>60B</v>
      </c>
      <c r="H1557" s="10" t="str">
        <f>IF(ROUND(D1557/$B$6,0)&gt;$B$7,"YES","NO")</f>
        <v>NO</v>
      </c>
    </row>
    <row r="1558" spans="1:8">
      <c r="A1558" s="8">
        <v>1548</v>
      </c>
      <c r="B1558" s="9">
        <f>D1557</f>
        <v>1812.890625</v>
      </c>
      <c r="C1558" s="9">
        <f>$B$6</f>
        <v>1.171875</v>
      </c>
      <c r="D1558" s="9">
        <f>B1558+C1558</f>
        <v>1814.0625</v>
      </c>
      <c r="E1558" s="8">
        <f>MIN($B$7,ROUND(D1558/$B$6,0))</f>
        <v>1548</v>
      </c>
      <c r="F1558" s="8" t="str">
        <f>DEC2BIN(INT(E1558/64),5)&amp;DEC2BIN(MOD(E1558,64),6)</f>
        <v>11000001100</v>
      </c>
      <c r="G1558" s="8" t="str">
        <f>DEC2HEX(E1558,3)</f>
        <v>60C</v>
      </c>
      <c r="H1558" s="8" t="str">
        <f>IF(ROUND(D1558/$B$6,0)&gt;$B$7,"YES","NO")</f>
        <v>NO</v>
      </c>
    </row>
    <row r="1559" spans="1:8">
      <c r="A1559" s="10">
        <v>1549</v>
      </c>
      <c r="B1559" s="11">
        <f>D1558</f>
        <v>1814.0625</v>
      </c>
      <c r="C1559" s="11">
        <f>$B$6</f>
        <v>1.171875</v>
      </c>
      <c r="D1559" s="11">
        <f>B1559+C1559</f>
        <v>1815.234375</v>
      </c>
      <c r="E1559" s="10">
        <f>MIN($B$7,ROUND(D1559/$B$6,0))</f>
        <v>1549</v>
      </c>
      <c r="F1559" s="10" t="str">
        <f>DEC2BIN(INT(E1559/64),5)&amp;DEC2BIN(MOD(E1559,64),6)</f>
        <v>11000001101</v>
      </c>
      <c r="G1559" s="10" t="str">
        <f>DEC2HEX(E1559,3)</f>
        <v>60D</v>
      </c>
      <c r="H1559" s="10" t="str">
        <f>IF(ROUND(D1559/$B$6,0)&gt;$B$7,"YES","NO")</f>
        <v>NO</v>
      </c>
    </row>
    <row r="1560" spans="1:8">
      <c r="A1560" s="8">
        <v>1550</v>
      </c>
      <c r="B1560" s="9">
        <f>D1559</f>
        <v>1815.234375</v>
      </c>
      <c r="C1560" s="9">
        <f>$B$6</f>
        <v>1.171875</v>
      </c>
      <c r="D1560" s="9">
        <f>B1560+C1560</f>
        <v>1816.40625</v>
      </c>
      <c r="E1560" s="8">
        <f>MIN($B$7,ROUND(D1560/$B$6,0))</f>
        <v>1550</v>
      </c>
      <c r="F1560" s="8" t="str">
        <f>DEC2BIN(INT(E1560/64),5)&amp;DEC2BIN(MOD(E1560,64),6)</f>
        <v>11000001110</v>
      </c>
      <c r="G1560" s="8" t="str">
        <f>DEC2HEX(E1560,3)</f>
        <v>60E</v>
      </c>
      <c r="H1560" s="8" t="str">
        <f>IF(ROUND(D1560/$B$6,0)&gt;$B$7,"YES","NO")</f>
        <v>NO</v>
      </c>
    </row>
    <row r="1561" spans="1:8">
      <c r="A1561" s="10">
        <v>1551</v>
      </c>
      <c r="B1561" s="11">
        <f>D1560</f>
        <v>1816.40625</v>
      </c>
      <c r="C1561" s="11">
        <f>$B$6</f>
        <v>1.171875</v>
      </c>
      <c r="D1561" s="11">
        <f>B1561+C1561</f>
        <v>1817.578125</v>
      </c>
      <c r="E1561" s="10">
        <f>MIN($B$7,ROUND(D1561/$B$6,0))</f>
        <v>1551</v>
      </c>
      <c r="F1561" s="10" t="str">
        <f>DEC2BIN(INT(E1561/64),5)&amp;DEC2BIN(MOD(E1561,64),6)</f>
        <v>11000001111</v>
      </c>
      <c r="G1561" s="10" t="str">
        <f>DEC2HEX(E1561,3)</f>
        <v>60F</v>
      </c>
      <c r="H1561" s="10" t="str">
        <f>IF(ROUND(D1561/$B$6,0)&gt;$B$7,"YES","NO")</f>
        <v>NO</v>
      </c>
    </row>
    <row r="1562" spans="1:8">
      <c r="A1562" s="8">
        <v>1552</v>
      </c>
      <c r="B1562" s="9">
        <f>D1561</f>
        <v>1817.578125</v>
      </c>
      <c r="C1562" s="9">
        <f>$B$6</f>
        <v>1.171875</v>
      </c>
      <c r="D1562" s="9">
        <f>B1562+C1562</f>
        <v>1818.75</v>
      </c>
      <c r="E1562" s="8">
        <f>MIN($B$7,ROUND(D1562/$B$6,0))</f>
        <v>1552</v>
      </c>
      <c r="F1562" s="8" t="str">
        <f>DEC2BIN(INT(E1562/64),5)&amp;DEC2BIN(MOD(E1562,64),6)</f>
        <v>11000010000</v>
      </c>
      <c r="G1562" s="8" t="str">
        <f>DEC2HEX(E1562,3)</f>
        <v>610</v>
      </c>
      <c r="H1562" s="8" t="str">
        <f>IF(ROUND(D1562/$B$6,0)&gt;$B$7,"YES","NO")</f>
        <v>NO</v>
      </c>
    </row>
    <row r="1563" spans="1:8">
      <c r="A1563" s="10">
        <v>1553</v>
      </c>
      <c r="B1563" s="11">
        <f>D1562</f>
        <v>1818.75</v>
      </c>
      <c r="C1563" s="11">
        <f>$B$6</f>
        <v>1.171875</v>
      </c>
      <c r="D1563" s="11">
        <f>B1563+C1563</f>
        <v>1819.921875</v>
      </c>
      <c r="E1563" s="10">
        <f>MIN($B$7,ROUND(D1563/$B$6,0))</f>
        <v>1553</v>
      </c>
      <c r="F1563" s="10" t="str">
        <f>DEC2BIN(INT(E1563/64),5)&amp;DEC2BIN(MOD(E1563,64),6)</f>
        <v>11000010001</v>
      </c>
      <c r="G1563" s="10" t="str">
        <f>DEC2HEX(E1563,3)</f>
        <v>611</v>
      </c>
      <c r="H1563" s="10" t="str">
        <f>IF(ROUND(D1563/$B$6,0)&gt;$B$7,"YES","NO")</f>
        <v>NO</v>
      </c>
    </row>
    <row r="1564" spans="1:8">
      <c r="A1564" s="8">
        <v>1554</v>
      </c>
      <c r="B1564" s="9">
        <f>D1563</f>
        <v>1819.921875</v>
      </c>
      <c r="C1564" s="9">
        <f>$B$6</f>
        <v>1.171875</v>
      </c>
      <c r="D1564" s="9">
        <f>B1564+C1564</f>
        <v>1821.09375</v>
      </c>
      <c r="E1564" s="8">
        <f>MIN($B$7,ROUND(D1564/$B$6,0))</f>
        <v>1554</v>
      </c>
      <c r="F1564" s="8" t="str">
        <f>DEC2BIN(INT(E1564/64),5)&amp;DEC2BIN(MOD(E1564,64),6)</f>
        <v>11000010010</v>
      </c>
      <c r="G1564" s="8" t="str">
        <f>DEC2HEX(E1564,3)</f>
        <v>612</v>
      </c>
      <c r="H1564" s="8" t="str">
        <f>IF(ROUND(D1564/$B$6,0)&gt;$B$7,"YES","NO")</f>
        <v>NO</v>
      </c>
    </row>
    <row r="1565" spans="1:8">
      <c r="A1565" s="10">
        <v>1555</v>
      </c>
      <c r="B1565" s="11">
        <f>D1564</f>
        <v>1821.09375</v>
      </c>
      <c r="C1565" s="11">
        <f>$B$6</f>
        <v>1.171875</v>
      </c>
      <c r="D1565" s="11">
        <f>B1565+C1565</f>
        <v>1822.265625</v>
      </c>
      <c r="E1565" s="10">
        <f>MIN($B$7,ROUND(D1565/$B$6,0))</f>
        <v>1555</v>
      </c>
      <c r="F1565" s="10" t="str">
        <f>DEC2BIN(INT(E1565/64),5)&amp;DEC2BIN(MOD(E1565,64),6)</f>
        <v>11000010011</v>
      </c>
      <c r="G1565" s="10" t="str">
        <f>DEC2HEX(E1565,3)</f>
        <v>613</v>
      </c>
      <c r="H1565" s="10" t="str">
        <f>IF(ROUND(D1565/$B$6,0)&gt;$B$7,"YES","NO")</f>
        <v>NO</v>
      </c>
    </row>
    <row r="1566" spans="1:8">
      <c r="A1566" s="8">
        <v>1556</v>
      </c>
      <c r="B1566" s="9">
        <f>D1565</f>
        <v>1822.265625</v>
      </c>
      <c r="C1566" s="9">
        <f>$B$6</f>
        <v>1.171875</v>
      </c>
      <c r="D1566" s="9">
        <f>B1566+C1566</f>
        <v>1823.4375</v>
      </c>
      <c r="E1566" s="8">
        <f>MIN($B$7,ROUND(D1566/$B$6,0))</f>
        <v>1556</v>
      </c>
      <c r="F1566" s="8" t="str">
        <f>DEC2BIN(INT(E1566/64),5)&amp;DEC2BIN(MOD(E1566,64),6)</f>
        <v>11000010100</v>
      </c>
      <c r="G1566" s="8" t="str">
        <f>DEC2HEX(E1566,3)</f>
        <v>614</v>
      </c>
      <c r="H1566" s="8" t="str">
        <f>IF(ROUND(D1566/$B$6,0)&gt;$B$7,"YES","NO")</f>
        <v>NO</v>
      </c>
    </row>
    <row r="1567" spans="1:8">
      <c r="A1567" s="10">
        <v>1557</v>
      </c>
      <c r="B1567" s="11">
        <f>D1566</f>
        <v>1823.4375</v>
      </c>
      <c r="C1567" s="11">
        <f>$B$6</f>
        <v>1.171875</v>
      </c>
      <c r="D1567" s="11">
        <f>B1567+C1567</f>
        <v>1824.609375</v>
      </c>
      <c r="E1567" s="10">
        <f>MIN($B$7,ROUND(D1567/$B$6,0))</f>
        <v>1557</v>
      </c>
      <c r="F1567" s="10" t="str">
        <f>DEC2BIN(INT(E1567/64),5)&amp;DEC2BIN(MOD(E1567,64),6)</f>
        <v>11000010101</v>
      </c>
      <c r="G1567" s="10" t="str">
        <f>DEC2HEX(E1567,3)</f>
        <v>615</v>
      </c>
      <c r="H1567" s="10" t="str">
        <f>IF(ROUND(D1567/$B$6,0)&gt;$B$7,"YES","NO")</f>
        <v>NO</v>
      </c>
    </row>
    <row r="1568" spans="1:8">
      <c r="A1568" s="8">
        <v>1558</v>
      </c>
      <c r="B1568" s="9">
        <f>D1567</f>
        <v>1824.609375</v>
      </c>
      <c r="C1568" s="9">
        <f>$B$6</f>
        <v>1.171875</v>
      </c>
      <c r="D1568" s="9">
        <f>B1568+C1568</f>
        <v>1825.78125</v>
      </c>
      <c r="E1568" s="8">
        <f>MIN($B$7,ROUND(D1568/$B$6,0))</f>
        <v>1558</v>
      </c>
      <c r="F1568" s="8" t="str">
        <f>DEC2BIN(INT(E1568/64),5)&amp;DEC2BIN(MOD(E1568,64),6)</f>
        <v>11000010110</v>
      </c>
      <c r="G1568" s="8" t="str">
        <f>DEC2HEX(E1568,3)</f>
        <v>616</v>
      </c>
      <c r="H1568" s="8" t="str">
        <f>IF(ROUND(D1568/$B$6,0)&gt;$B$7,"YES","NO")</f>
        <v>NO</v>
      </c>
    </row>
    <row r="1569" spans="1:8">
      <c r="A1569" s="10">
        <v>1559</v>
      </c>
      <c r="B1569" s="11">
        <f>D1568</f>
        <v>1825.78125</v>
      </c>
      <c r="C1569" s="11">
        <f>$B$6</f>
        <v>1.171875</v>
      </c>
      <c r="D1569" s="11">
        <f>B1569+C1569</f>
        <v>1826.953125</v>
      </c>
      <c r="E1569" s="10">
        <f>MIN($B$7,ROUND(D1569/$B$6,0))</f>
        <v>1559</v>
      </c>
      <c r="F1569" s="10" t="str">
        <f>DEC2BIN(INT(E1569/64),5)&amp;DEC2BIN(MOD(E1569,64),6)</f>
        <v>11000010111</v>
      </c>
      <c r="G1569" s="10" t="str">
        <f>DEC2HEX(E1569,3)</f>
        <v>617</v>
      </c>
      <c r="H1569" s="10" t="str">
        <f>IF(ROUND(D1569/$B$6,0)&gt;$B$7,"YES","NO")</f>
        <v>NO</v>
      </c>
    </row>
    <row r="1570" spans="1:8">
      <c r="A1570" s="8">
        <v>1560</v>
      </c>
      <c r="B1570" s="9">
        <f>D1569</f>
        <v>1826.953125</v>
      </c>
      <c r="C1570" s="9">
        <f>$B$6</f>
        <v>1.171875</v>
      </c>
      <c r="D1570" s="9">
        <f>B1570+C1570</f>
        <v>1828.125</v>
      </c>
      <c r="E1570" s="8">
        <f>MIN($B$7,ROUND(D1570/$B$6,0))</f>
        <v>1560</v>
      </c>
      <c r="F1570" s="8" t="str">
        <f>DEC2BIN(INT(E1570/64),5)&amp;DEC2BIN(MOD(E1570,64),6)</f>
        <v>11000011000</v>
      </c>
      <c r="G1570" s="8" t="str">
        <f>DEC2HEX(E1570,3)</f>
        <v>618</v>
      </c>
      <c r="H1570" s="8" t="str">
        <f>IF(ROUND(D1570/$B$6,0)&gt;$B$7,"YES","NO")</f>
        <v>NO</v>
      </c>
    </row>
    <row r="1571" spans="1:8">
      <c r="A1571" s="10">
        <v>1561</v>
      </c>
      <c r="B1571" s="11">
        <f>D1570</f>
        <v>1828.125</v>
      </c>
      <c r="C1571" s="11">
        <f>$B$6</f>
        <v>1.171875</v>
      </c>
      <c r="D1571" s="11">
        <f>B1571+C1571</f>
        <v>1829.296875</v>
      </c>
      <c r="E1571" s="10">
        <f>MIN($B$7,ROUND(D1571/$B$6,0))</f>
        <v>1561</v>
      </c>
      <c r="F1571" s="10" t="str">
        <f>DEC2BIN(INT(E1571/64),5)&amp;DEC2BIN(MOD(E1571,64),6)</f>
        <v>11000011001</v>
      </c>
      <c r="G1571" s="10" t="str">
        <f>DEC2HEX(E1571,3)</f>
        <v>619</v>
      </c>
      <c r="H1571" s="10" t="str">
        <f>IF(ROUND(D1571/$B$6,0)&gt;$B$7,"YES","NO")</f>
        <v>NO</v>
      </c>
    </row>
    <row r="1572" spans="1:8">
      <c r="A1572" s="8">
        <v>1562</v>
      </c>
      <c r="B1572" s="9">
        <f>D1571</f>
        <v>1829.296875</v>
      </c>
      <c r="C1572" s="9">
        <f>$B$6</f>
        <v>1.171875</v>
      </c>
      <c r="D1572" s="9">
        <f>B1572+C1572</f>
        <v>1830.46875</v>
      </c>
      <c r="E1572" s="8">
        <f>MIN($B$7,ROUND(D1572/$B$6,0))</f>
        <v>1562</v>
      </c>
      <c r="F1572" s="8" t="str">
        <f>DEC2BIN(INT(E1572/64),5)&amp;DEC2BIN(MOD(E1572,64),6)</f>
        <v>11000011010</v>
      </c>
      <c r="G1572" s="8" t="str">
        <f>DEC2HEX(E1572,3)</f>
        <v>61A</v>
      </c>
      <c r="H1572" s="8" t="str">
        <f>IF(ROUND(D1572/$B$6,0)&gt;$B$7,"YES","NO")</f>
        <v>NO</v>
      </c>
    </row>
    <row r="1573" spans="1:8">
      <c r="A1573" s="10">
        <v>1563</v>
      </c>
      <c r="B1573" s="11">
        <f>D1572</f>
        <v>1830.46875</v>
      </c>
      <c r="C1573" s="11">
        <f>$B$6</f>
        <v>1.171875</v>
      </c>
      <c r="D1573" s="11">
        <f>B1573+C1573</f>
        <v>1831.640625</v>
      </c>
      <c r="E1573" s="10">
        <f>MIN($B$7,ROUND(D1573/$B$6,0))</f>
        <v>1563</v>
      </c>
      <c r="F1573" s="10" t="str">
        <f>DEC2BIN(INT(E1573/64),5)&amp;DEC2BIN(MOD(E1573,64),6)</f>
        <v>11000011011</v>
      </c>
      <c r="G1573" s="10" t="str">
        <f>DEC2HEX(E1573,3)</f>
        <v>61B</v>
      </c>
      <c r="H1573" s="10" t="str">
        <f>IF(ROUND(D1573/$B$6,0)&gt;$B$7,"YES","NO")</f>
        <v>NO</v>
      </c>
    </row>
    <row r="1574" spans="1:8">
      <c r="A1574" s="8">
        <v>1564</v>
      </c>
      <c r="B1574" s="9">
        <f>D1573</f>
        <v>1831.640625</v>
      </c>
      <c r="C1574" s="9">
        <f>$B$6</f>
        <v>1.171875</v>
      </c>
      <c r="D1574" s="9">
        <f>B1574+C1574</f>
        <v>1832.8125</v>
      </c>
      <c r="E1574" s="8">
        <f>MIN($B$7,ROUND(D1574/$B$6,0))</f>
        <v>1564</v>
      </c>
      <c r="F1574" s="8" t="str">
        <f>DEC2BIN(INT(E1574/64),5)&amp;DEC2BIN(MOD(E1574,64),6)</f>
        <v>11000011100</v>
      </c>
      <c r="G1574" s="8" t="str">
        <f>DEC2HEX(E1574,3)</f>
        <v>61C</v>
      </c>
      <c r="H1574" s="8" t="str">
        <f>IF(ROUND(D1574/$B$6,0)&gt;$B$7,"YES","NO")</f>
        <v>NO</v>
      </c>
    </row>
    <row r="1575" spans="1:8">
      <c r="A1575" s="10">
        <v>1565</v>
      </c>
      <c r="B1575" s="11">
        <f>D1574</f>
        <v>1832.8125</v>
      </c>
      <c r="C1575" s="11">
        <f>$B$6</f>
        <v>1.171875</v>
      </c>
      <c r="D1575" s="11">
        <f>B1575+C1575</f>
        <v>1833.984375</v>
      </c>
      <c r="E1575" s="10">
        <f>MIN($B$7,ROUND(D1575/$B$6,0))</f>
        <v>1565</v>
      </c>
      <c r="F1575" s="10" t="str">
        <f>DEC2BIN(INT(E1575/64),5)&amp;DEC2BIN(MOD(E1575,64),6)</f>
        <v>11000011101</v>
      </c>
      <c r="G1575" s="10" t="str">
        <f>DEC2HEX(E1575,3)</f>
        <v>61D</v>
      </c>
      <c r="H1575" s="10" t="str">
        <f>IF(ROUND(D1575/$B$6,0)&gt;$B$7,"YES","NO")</f>
        <v>NO</v>
      </c>
    </row>
    <row r="1576" spans="1:8">
      <c r="A1576" s="8">
        <v>1566</v>
      </c>
      <c r="B1576" s="9">
        <f>D1575</f>
        <v>1833.984375</v>
      </c>
      <c r="C1576" s="9">
        <f>$B$6</f>
        <v>1.171875</v>
      </c>
      <c r="D1576" s="9">
        <f>B1576+C1576</f>
        <v>1835.15625</v>
      </c>
      <c r="E1576" s="8">
        <f>MIN($B$7,ROUND(D1576/$B$6,0))</f>
        <v>1566</v>
      </c>
      <c r="F1576" s="8" t="str">
        <f>DEC2BIN(INT(E1576/64),5)&amp;DEC2BIN(MOD(E1576,64),6)</f>
        <v>11000011110</v>
      </c>
      <c r="G1576" s="8" t="str">
        <f>DEC2HEX(E1576,3)</f>
        <v>61E</v>
      </c>
      <c r="H1576" s="8" t="str">
        <f>IF(ROUND(D1576/$B$6,0)&gt;$B$7,"YES","NO")</f>
        <v>NO</v>
      </c>
    </row>
    <row r="1577" spans="1:8">
      <c r="A1577" s="10">
        <v>1567</v>
      </c>
      <c r="B1577" s="11">
        <f>D1576</f>
        <v>1835.15625</v>
      </c>
      <c r="C1577" s="11">
        <f>$B$6</f>
        <v>1.171875</v>
      </c>
      <c r="D1577" s="11">
        <f>B1577+C1577</f>
        <v>1836.328125</v>
      </c>
      <c r="E1577" s="10">
        <f>MIN($B$7,ROUND(D1577/$B$6,0))</f>
        <v>1567</v>
      </c>
      <c r="F1577" s="10" t="str">
        <f>DEC2BIN(INT(E1577/64),5)&amp;DEC2BIN(MOD(E1577,64),6)</f>
        <v>11000011111</v>
      </c>
      <c r="G1577" s="10" t="str">
        <f>DEC2HEX(E1577,3)</f>
        <v>61F</v>
      </c>
      <c r="H1577" s="10" t="str">
        <f>IF(ROUND(D1577/$B$6,0)&gt;$B$7,"YES","NO")</f>
        <v>NO</v>
      </c>
    </row>
    <row r="1578" spans="1:8">
      <c r="A1578" s="8">
        <v>1568</v>
      </c>
      <c r="B1578" s="9">
        <f>D1577</f>
        <v>1836.328125</v>
      </c>
      <c r="C1578" s="9">
        <f>$B$6</f>
        <v>1.171875</v>
      </c>
      <c r="D1578" s="9">
        <f>B1578+C1578</f>
        <v>1837.5</v>
      </c>
      <c r="E1578" s="8">
        <f>MIN($B$7,ROUND(D1578/$B$6,0))</f>
        <v>1568</v>
      </c>
      <c r="F1578" s="8" t="str">
        <f>DEC2BIN(INT(E1578/64),5)&amp;DEC2BIN(MOD(E1578,64),6)</f>
        <v>11000100000</v>
      </c>
      <c r="G1578" s="8" t="str">
        <f>DEC2HEX(E1578,3)</f>
        <v>620</v>
      </c>
      <c r="H1578" s="8" t="str">
        <f>IF(ROUND(D1578/$B$6,0)&gt;$B$7,"YES","NO")</f>
        <v>NO</v>
      </c>
    </row>
    <row r="1579" spans="1:8">
      <c r="A1579" s="10">
        <v>1569</v>
      </c>
      <c r="B1579" s="11">
        <f>D1578</f>
        <v>1837.5</v>
      </c>
      <c r="C1579" s="11">
        <f>$B$6</f>
        <v>1.171875</v>
      </c>
      <c r="D1579" s="11">
        <f>B1579+C1579</f>
        <v>1838.671875</v>
      </c>
      <c r="E1579" s="10">
        <f>MIN($B$7,ROUND(D1579/$B$6,0))</f>
        <v>1569</v>
      </c>
      <c r="F1579" s="10" t="str">
        <f>DEC2BIN(INT(E1579/64),5)&amp;DEC2BIN(MOD(E1579,64),6)</f>
        <v>11000100001</v>
      </c>
      <c r="G1579" s="10" t="str">
        <f>DEC2HEX(E1579,3)</f>
        <v>621</v>
      </c>
      <c r="H1579" s="10" t="str">
        <f>IF(ROUND(D1579/$B$6,0)&gt;$B$7,"YES","NO")</f>
        <v>NO</v>
      </c>
    </row>
    <row r="1580" spans="1:8">
      <c r="A1580" s="8">
        <v>1570</v>
      </c>
      <c r="B1580" s="9">
        <f>D1579</f>
        <v>1838.671875</v>
      </c>
      <c r="C1580" s="9">
        <f>$B$6</f>
        <v>1.171875</v>
      </c>
      <c r="D1580" s="9">
        <f>B1580+C1580</f>
        <v>1839.84375</v>
      </c>
      <c r="E1580" s="8">
        <f>MIN($B$7,ROUND(D1580/$B$6,0))</f>
        <v>1570</v>
      </c>
      <c r="F1580" s="8" t="str">
        <f>DEC2BIN(INT(E1580/64),5)&amp;DEC2BIN(MOD(E1580,64),6)</f>
        <v>11000100010</v>
      </c>
      <c r="G1580" s="8" t="str">
        <f>DEC2HEX(E1580,3)</f>
        <v>622</v>
      </c>
      <c r="H1580" s="8" t="str">
        <f>IF(ROUND(D1580/$B$6,0)&gt;$B$7,"YES","NO")</f>
        <v>NO</v>
      </c>
    </row>
    <row r="1581" spans="1:8">
      <c r="A1581" s="10">
        <v>1571</v>
      </c>
      <c r="B1581" s="11">
        <f>D1580</f>
        <v>1839.84375</v>
      </c>
      <c r="C1581" s="11">
        <f>$B$6</f>
        <v>1.171875</v>
      </c>
      <c r="D1581" s="11">
        <f>B1581+C1581</f>
        <v>1841.015625</v>
      </c>
      <c r="E1581" s="10">
        <f>MIN($B$7,ROUND(D1581/$B$6,0))</f>
        <v>1571</v>
      </c>
      <c r="F1581" s="10" t="str">
        <f>DEC2BIN(INT(E1581/64),5)&amp;DEC2BIN(MOD(E1581,64),6)</f>
        <v>11000100011</v>
      </c>
      <c r="G1581" s="10" t="str">
        <f>DEC2HEX(E1581,3)</f>
        <v>623</v>
      </c>
      <c r="H1581" s="10" t="str">
        <f>IF(ROUND(D1581/$B$6,0)&gt;$B$7,"YES","NO")</f>
        <v>NO</v>
      </c>
    </row>
    <row r="1582" spans="1:8">
      <c r="A1582" s="8">
        <v>1572</v>
      </c>
      <c r="B1582" s="9">
        <f>D1581</f>
        <v>1841.015625</v>
      </c>
      <c r="C1582" s="9">
        <f>$B$6</f>
        <v>1.171875</v>
      </c>
      <c r="D1582" s="9">
        <f>B1582+C1582</f>
        <v>1842.1875</v>
      </c>
      <c r="E1582" s="8">
        <f>MIN($B$7,ROUND(D1582/$B$6,0))</f>
        <v>1572</v>
      </c>
      <c r="F1582" s="8" t="str">
        <f>DEC2BIN(INT(E1582/64),5)&amp;DEC2BIN(MOD(E1582,64),6)</f>
        <v>11000100100</v>
      </c>
      <c r="G1582" s="8" t="str">
        <f>DEC2HEX(E1582,3)</f>
        <v>624</v>
      </c>
      <c r="H1582" s="8" t="str">
        <f>IF(ROUND(D1582/$B$6,0)&gt;$B$7,"YES","NO")</f>
        <v>NO</v>
      </c>
    </row>
    <row r="1583" spans="1:8">
      <c r="A1583" s="10">
        <v>1573</v>
      </c>
      <c r="B1583" s="11">
        <f>D1582</f>
        <v>1842.1875</v>
      </c>
      <c r="C1583" s="11">
        <f>$B$6</f>
        <v>1.171875</v>
      </c>
      <c r="D1583" s="11">
        <f>B1583+C1583</f>
        <v>1843.359375</v>
      </c>
      <c r="E1583" s="10">
        <f>MIN($B$7,ROUND(D1583/$B$6,0))</f>
        <v>1573</v>
      </c>
      <c r="F1583" s="10" t="str">
        <f>DEC2BIN(INT(E1583/64),5)&amp;DEC2BIN(MOD(E1583,64),6)</f>
        <v>11000100101</v>
      </c>
      <c r="G1583" s="10" t="str">
        <f>DEC2HEX(E1583,3)</f>
        <v>625</v>
      </c>
      <c r="H1583" s="10" t="str">
        <f>IF(ROUND(D1583/$B$6,0)&gt;$B$7,"YES","NO")</f>
        <v>NO</v>
      </c>
    </row>
    <row r="1584" spans="1:8">
      <c r="A1584" s="8">
        <v>1574</v>
      </c>
      <c r="B1584" s="9">
        <f>D1583</f>
        <v>1843.359375</v>
      </c>
      <c r="C1584" s="9">
        <f>$B$6</f>
        <v>1.171875</v>
      </c>
      <c r="D1584" s="9">
        <f>B1584+C1584</f>
        <v>1844.53125</v>
      </c>
      <c r="E1584" s="8">
        <f>MIN($B$7,ROUND(D1584/$B$6,0))</f>
        <v>1574</v>
      </c>
      <c r="F1584" s="8" t="str">
        <f>DEC2BIN(INT(E1584/64),5)&amp;DEC2BIN(MOD(E1584,64),6)</f>
        <v>11000100110</v>
      </c>
      <c r="G1584" s="8" t="str">
        <f>DEC2HEX(E1584,3)</f>
        <v>626</v>
      </c>
      <c r="H1584" s="8" t="str">
        <f>IF(ROUND(D1584/$B$6,0)&gt;$B$7,"YES","NO")</f>
        <v>NO</v>
      </c>
    </row>
    <row r="1585" spans="1:8">
      <c r="A1585" s="10">
        <v>1575</v>
      </c>
      <c r="B1585" s="11">
        <f>D1584</f>
        <v>1844.53125</v>
      </c>
      <c r="C1585" s="11">
        <f>$B$6</f>
        <v>1.171875</v>
      </c>
      <c r="D1585" s="11">
        <f>B1585+C1585</f>
        <v>1845.703125</v>
      </c>
      <c r="E1585" s="10">
        <f>MIN($B$7,ROUND(D1585/$B$6,0))</f>
        <v>1575</v>
      </c>
      <c r="F1585" s="10" t="str">
        <f>DEC2BIN(INT(E1585/64),5)&amp;DEC2BIN(MOD(E1585,64),6)</f>
        <v>11000100111</v>
      </c>
      <c r="G1585" s="10" t="str">
        <f>DEC2HEX(E1585,3)</f>
        <v>627</v>
      </c>
      <c r="H1585" s="10" t="str">
        <f>IF(ROUND(D1585/$B$6,0)&gt;$B$7,"YES","NO")</f>
        <v>NO</v>
      </c>
    </row>
    <row r="1586" spans="1:8">
      <c r="A1586" s="8">
        <v>1576</v>
      </c>
      <c r="B1586" s="9">
        <f>D1585</f>
        <v>1845.703125</v>
      </c>
      <c r="C1586" s="9">
        <f>$B$6</f>
        <v>1.171875</v>
      </c>
      <c r="D1586" s="9">
        <f>B1586+C1586</f>
        <v>1846.875</v>
      </c>
      <c r="E1586" s="8">
        <f>MIN($B$7,ROUND(D1586/$B$6,0))</f>
        <v>1576</v>
      </c>
      <c r="F1586" s="8" t="str">
        <f>DEC2BIN(INT(E1586/64),5)&amp;DEC2BIN(MOD(E1586,64),6)</f>
        <v>11000101000</v>
      </c>
      <c r="G1586" s="8" t="str">
        <f>DEC2HEX(E1586,3)</f>
        <v>628</v>
      </c>
      <c r="H1586" s="8" t="str">
        <f>IF(ROUND(D1586/$B$6,0)&gt;$B$7,"YES","NO")</f>
        <v>NO</v>
      </c>
    </row>
    <row r="1587" spans="1:8">
      <c r="A1587" s="10">
        <v>1577</v>
      </c>
      <c r="B1587" s="11">
        <f>D1586</f>
        <v>1846.875</v>
      </c>
      <c r="C1587" s="11">
        <f>$B$6</f>
        <v>1.171875</v>
      </c>
      <c r="D1587" s="11">
        <f>B1587+C1587</f>
        <v>1848.046875</v>
      </c>
      <c r="E1587" s="10">
        <f>MIN($B$7,ROUND(D1587/$B$6,0))</f>
        <v>1577</v>
      </c>
      <c r="F1587" s="10" t="str">
        <f>DEC2BIN(INT(E1587/64),5)&amp;DEC2BIN(MOD(E1587,64),6)</f>
        <v>11000101001</v>
      </c>
      <c r="G1587" s="10" t="str">
        <f>DEC2HEX(E1587,3)</f>
        <v>629</v>
      </c>
      <c r="H1587" s="10" t="str">
        <f>IF(ROUND(D1587/$B$6,0)&gt;$B$7,"YES","NO")</f>
        <v>NO</v>
      </c>
    </row>
    <row r="1588" spans="1:8">
      <c r="A1588" s="8">
        <v>1578</v>
      </c>
      <c r="B1588" s="9">
        <f>D1587</f>
        <v>1848.046875</v>
      </c>
      <c r="C1588" s="9">
        <f>$B$6</f>
        <v>1.171875</v>
      </c>
      <c r="D1588" s="9">
        <f>B1588+C1588</f>
        <v>1849.21875</v>
      </c>
      <c r="E1588" s="8">
        <f>MIN($B$7,ROUND(D1588/$B$6,0))</f>
        <v>1578</v>
      </c>
      <c r="F1588" s="8" t="str">
        <f>DEC2BIN(INT(E1588/64),5)&amp;DEC2BIN(MOD(E1588,64),6)</f>
        <v>11000101010</v>
      </c>
      <c r="G1588" s="8" t="str">
        <f>DEC2HEX(E1588,3)</f>
        <v>62A</v>
      </c>
      <c r="H1588" s="8" t="str">
        <f>IF(ROUND(D1588/$B$6,0)&gt;$B$7,"YES","NO")</f>
        <v>NO</v>
      </c>
    </row>
    <row r="1589" spans="1:8">
      <c r="A1589" s="10">
        <v>1579</v>
      </c>
      <c r="B1589" s="11">
        <f>D1588</f>
        <v>1849.21875</v>
      </c>
      <c r="C1589" s="11">
        <f>$B$6</f>
        <v>1.171875</v>
      </c>
      <c r="D1589" s="11">
        <f>B1589+C1589</f>
        <v>1850.390625</v>
      </c>
      <c r="E1589" s="10">
        <f>MIN($B$7,ROUND(D1589/$B$6,0))</f>
        <v>1579</v>
      </c>
      <c r="F1589" s="10" t="str">
        <f>DEC2BIN(INT(E1589/64),5)&amp;DEC2BIN(MOD(E1589,64),6)</f>
        <v>11000101011</v>
      </c>
      <c r="G1589" s="10" t="str">
        <f>DEC2HEX(E1589,3)</f>
        <v>62B</v>
      </c>
      <c r="H1589" s="10" t="str">
        <f>IF(ROUND(D1589/$B$6,0)&gt;$B$7,"YES","NO")</f>
        <v>NO</v>
      </c>
    </row>
    <row r="1590" spans="1:8">
      <c r="A1590" s="8">
        <v>1580</v>
      </c>
      <c r="B1590" s="9">
        <f>D1589</f>
        <v>1850.390625</v>
      </c>
      <c r="C1590" s="9">
        <f>$B$6</f>
        <v>1.171875</v>
      </c>
      <c r="D1590" s="9">
        <f>B1590+C1590</f>
        <v>1851.5625</v>
      </c>
      <c r="E1590" s="8">
        <f>MIN($B$7,ROUND(D1590/$B$6,0))</f>
        <v>1580</v>
      </c>
      <c r="F1590" s="8" t="str">
        <f>DEC2BIN(INT(E1590/64),5)&amp;DEC2BIN(MOD(E1590,64),6)</f>
        <v>11000101100</v>
      </c>
      <c r="G1590" s="8" t="str">
        <f>DEC2HEX(E1590,3)</f>
        <v>62C</v>
      </c>
      <c r="H1590" s="8" t="str">
        <f>IF(ROUND(D1590/$B$6,0)&gt;$B$7,"YES","NO")</f>
        <v>NO</v>
      </c>
    </row>
    <row r="1591" spans="1:8">
      <c r="A1591" s="10">
        <v>1581</v>
      </c>
      <c r="B1591" s="11">
        <f>D1590</f>
        <v>1851.5625</v>
      </c>
      <c r="C1591" s="11">
        <f>$B$6</f>
        <v>1.171875</v>
      </c>
      <c r="D1591" s="11">
        <f>B1591+C1591</f>
        <v>1852.734375</v>
      </c>
      <c r="E1591" s="10">
        <f>MIN($B$7,ROUND(D1591/$B$6,0))</f>
        <v>1581</v>
      </c>
      <c r="F1591" s="10" t="str">
        <f>DEC2BIN(INT(E1591/64),5)&amp;DEC2BIN(MOD(E1591,64),6)</f>
        <v>11000101101</v>
      </c>
      <c r="G1591" s="10" t="str">
        <f>DEC2HEX(E1591,3)</f>
        <v>62D</v>
      </c>
      <c r="H1591" s="10" t="str">
        <f>IF(ROUND(D1591/$B$6,0)&gt;$B$7,"YES","NO")</f>
        <v>NO</v>
      </c>
    </row>
    <row r="1592" spans="1:8">
      <c r="A1592" s="8">
        <v>1582</v>
      </c>
      <c r="B1592" s="9">
        <f>D1591</f>
        <v>1852.734375</v>
      </c>
      <c r="C1592" s="9">
        <f>$B$6</f>
        <v>1.171875</v>
      </c>
      <c r="D1592" s="9">
        <f>B1592+C1592</f>
        <v>1853.90625</v>
      </c>
      <c r="E1592" s="8">
        <f>MIN($B$7,ROUND(D1592/$B$6,0))</f>
        <v>1582</v>
      </c>
      <c r="F1592" s="8" t="str">
        <f>DEC2BIN(INT(E1592/64),5)&amp;DEC2BIN(MOD(E1592,64),6)</f>
        <v>11000101110</v>
      </c>
      <c r="G1592" s="8" t="str">
        <f>DEC2HEX(E1592,3)</f>
        <v>62E</v>
      </c>
      <c r="H1592" s="8" t="str">
        <f>IF(ROUND(D1592/$B$6,0)&gt;$B$7,"YES","NO")</f>
        <v>NO</v>
      </c>
    </row>
    <row r="1593" spans="1:8">
      <c r="A1593" s="10">
        <v>1583</v>
      </c>
      <c r="B1593" s="11">
        <f>D1592</f>
        <v>1853.90625</v>
      </c>
      <c r="C1593" s="11">
        <f>$B$6</f>
        <v>1.171875</v>
      </c>
      <c r="D1593" s="11">
        <f>B1593+C1593</f>
        <v>1855.078125</v>
      </c>
      <c r="E1593" s="10">
        <f>MIN($B$7,ROUND(D1593/$B$6,0))</f>
        <v>1583</v>
      </c>
      <c r="F1593" s="10" t="str">
        <f>DEC2BIN(INT(E1593/64),5)&amp;DEC2BIN(MOD(E1593,64),6)</f>
        <v>11000101111</v>
      </c>
      <c r="G1593" s="10" t="str">
        <f>DEC2HEX(E1593,3)</f>
        <v>62F</v>
      </c>
      <c r="H1593" s="10" t="str">
        <f>IF(ROUND(D1593/$B$6,0)&gt;$B$7,"YES","NO")</f>
        <v>NO</v>
      </c>
    </row>
    <row r="1594" spans="1:8">
      <c r="A1594" s="8">
        <v>1584</v>
      </c>
      <c r="B1594" s="9">
        <f>D1593</f>
        <v>1855.078125</v>
      </c>
      <c r="C1594" s="9">
        <f>$B$6</f>
        <v>1.171875</v>
      </c>
      <c r="D1594" s="9">
        <f>B1594+C1594</f>
        <v>1856.25</v>
      </c>
      <c r="E1594" s="8">
        <f>MIN($B$7,ROUND(D1594/$B$6,0))</f>
        <v>1584</v>
      </c>
      <c r="F1594" s="8" t="str">
        <f>DEC2BIN(INT(E1594/64),5)&amp;DEC2BIN(MOD(E1594,64),6)</f>
        <v>11000110000</v>
      </c>
      <c r="G1594" s="8" t="str">
        <f>DEC2HEX(E1594,3)</f>
        <v>630</v>
      </c>
      <c r="H1594" s="8" t="str">
        <f>IF(ROUND(D1594/$B$6,0)&gt;$B$7,"YES","NO")</f>
        <v>NO</v>
      </c>
    </row>
    <row r="1595" spans="1:8">
      <c r="A1595" s="10">
        <v>1585</v>
      </c>
      <c r="B1595" s="11">
        <f>D1594</f>
        <v>1856.25</v>
      </c>
      <c r="C1595" s="11">
        <f>$B$6</f>
        <v>1.171875</v>
      </c>
      <c r="D1595" s="11">
        <f>B1595+C1595</f>
        <v>1857.421875</v>
      </c>
      <c r="E1595" s="10">
        <f>MIN($B$7,ROUND(D1595/$B$6,0))</f>
        <v>1585</v>
      </c>
      <c r="F1595" s="10" t="str">
        <f>DEC2BIN(INT(E1595/64),5)&amp;DEC2BIN(MOD(E1595,64),6)</f>
        <v>11000110001</v>
      </c>
      <c r="G1595" s="10" t="str">
        <f>DEC2HEX(E1595,3)</f>
        <v>631</v>
      </c>
      <c r="H1595" s="10" t="str">
        <f>IF(ROUND(D1595/$B$6,0)&gt;$B$7,"YES","NO")</f>
        <v>NO</v>
      </c>
    </row>
    <row r="1596" spans="1:8">
      <c r="A1596" s="8">
        <v>1586</v>
      </c>
      <c r="B1596" s="9">
        <f>D1595</f>
        <v>1857.421875</v>
      </c>
      <c r="C1596" s="9">
        <f>$B$6</f>
        <v>1.171875</v>
      </c>
      <c r="D1596" s="9">
        <f>B1596+C1596</f>
        <v>1858.59375</v>
      </c>
      <c r="E1596" s="8">
        <f>MIN($B$7,ROUND(D1596/$B$6,0))</f>
        <v>1586</v>
      </c>
      <c r="F1596" s="8" t="str">
        <f>DEC2BIN(INT(E1596/64),5)&amp;DEC2BIN(MOD(E1596,64),6)</f>
        <v>11000110010</v>
      </c>
      <c r="G1596" s="8" t="str">
        <f>DEC2HEX(E1596,3)</f>
        <v>632</v>
      </c>
      <c r="H1596" s="8" t="str">
        <f>IF(ROUND(D1596/$B$6,0)&gt;$B$7,"YES","NO")</f>
        <v>NO</v>
      </c>
    </row>
    <row r="1597" spans="1:8">
      <c r="A1597" s="10">
        <v>1587</v>
      </c>
      <c r="B1597" s="11">
        <f>D1596</f>
        <v>1858.59375</v>
      </c>
      <c r="C1597" s="11">
        <f>$B$6</f>
        <v>1.171875</v>
      </c>
      <c r="D1597" s="11">
        <f>B1597+C1597</f>
        <v>1859.765625</v>
      </c>
      <c r="E1597" s="10">
        <f>MIN($B$7,ROUND(D1597/$B$6,0))</f>
        <v>1587</v>
      </c>
      <c r="F1597" s="10" t="str">
        <f>DEC2BIN(INT(E1597/64),5)&amp;DEC2BIN(MOD(E1597,64),6)</f>
        <v>11000110011</v>
      </c>
      <c r="G1597" s="10" t="str">
        <f>DEC2HEX(E1597,3)</f>
        <v>633</v>
      </c>
      <c r="H1597" s="10" t="str">
        <f>IF(ROUND(D1597/$B$6,0)&gt;$B$7,"YES","NO")</f>
        <v>NO</v>
      </c>
    </row>
    <row r="1598" spans="1:8">
      <c r="A1598" s="8">
        <v>1588</v>
      </c>
      <c r="B1598" s="9">
        <f>D1597</f>
        <v>1859.765625</v>
      </c>
      <c r="C1598" s="9">
        <f>$B$6</f>
        <v>1.171875</v>
      </c>
      <c r="D1598" s="9">
        <f>B1598+C1598</f>
        <v>1860.9375</v>
      </c>
      <c r="E1598" s="8">
        <f>MIN($B$7,ROUND(D1598/$B$6,0))</f>
        <v>1588</v>
      </c>
      <c r="F1598" s="8" t="str">
        <f>DEC2BIN(INT(E1598/64),5)&amp;DEC2BIN(MOD(E1598,64),6)</f>
        <v>11000110100</v>
      </c>
      <c r="G1598" s="8" t="str">
        <f>DEC2HEX(E1598,3)</f>
        <v>634</v>
      </c>
      <c r="H1598" s="8" t="str">
        <f>IF(ROUND(D1598/$B$6,0)&gt;$B$7,"YES","NO")</f>
        <v>NO</v>
      </c>
    </row>
    <row r="1599" spans="1:8">
      <c r="A1599" s="10">
        <v>1589</v>
      </c>
      <c r="B1599" s="11">
        <f>D1598</f>
        <v>1860.9375</v>
      </c>
      <c r="C1599" s="11">
        <f>$B$6</f>
        <v>1.171875</v>
      </c>
      <c r="D1599" s="11">
        <f>B1599+C1599</f>
        <v>1862.109375</v>
      </c>
      <c r="E1599" s="10">
        <f>MIN($B$7,ROUND(D1599/$B$6,0))</f>
        <v>1589</v>
      </c>
      <c r="F1599" s="10" t="str">
        <f>DEC2BIN(INT(E1599/64),5)&amp;DEC2BIN(MOD(E1599,64),6)</f>
        <v>11000110101</v>
      </c>
      <c r="G1599" s="10" t="str">
        <f>DEC2HEX(E1599,3)</f>
        <v>635</v>
      </c>
      <c r="H1599" s="10" t="str">
        <f>IF(ROUND(D1599/$B$6,0)&gt;$B$7,"YES","NO")</f>
        <v>NO</v>
      </c>
    </row>
    <row r="1600" spans="1:8">
      <c r="A1600" s="8">
        <v>1590</v>
      </c>
      <c r="B1600" s="9">
        <f>D1599</f>
        <v>1862.109375</v>
      </c>
      <c r="C1600" s="9">
        <f>$B$6</f>
        <v>1.171875</v>
      </c>
      <c r="D1600" s="9">
        <f>B1600+C1600</f>
        <v>1863.28125</v>
      </c>
      <c r="E1600" s="8">
        <f>MIN($B$7,ROUND(D1600/$B$6,0))</f>
        <v>1590</v>
      </c>
      <c r="F1600" s="8" t="str">
        <f>DEC2BIN(INT(E1600/64),5)&amp;DEC2BIN(MOD(E1600,64),6)</f>
        <v>11000110110</v>
      </c>
      <c r="G1600" s="8" t="str">
        <f>DEC2HEX(E1600,3)</f>
        <v>636</v>
      </c>
      <c r="H1600" s="8" t="str">
        <f>IF(ROUND(D1600/$B$6,0)&gt;$B$7,"YES","NO")</f>
        <v>NO</v>
      </c>
    </row>
    <row r="1601" spans="1:8">
      <c r="A1601" s="10">
        <v>1591</v>
      </c>
      <c r="B1601" s="11">
        <f>D1600</f>
        <v>1863.28125</v>
      </c>
      <c r="C1601" s="11">
        <f>$B$6</f>
        <v>1.171875</v>
      </c>
      <c r="D1601" s="11">
        <f>B1601+C1601</f>
        <v>1864.453125</v>
      </c>
      <c r="E1601" s="10">
        <f>MIN($B$7,ROUND(D1601/$B$6,0))</f>
        <v>1591</v>
      </c>
      <c r="F1601" s="10" t="str">
        <f>DEC2BIN(INT(E1601/64),5)&amp;DEC2BIN(MOD(E1601,64),6)</f>
        <v>11000110111</v>
      </c>
      <c r="G1601" s="10" t="str">
        <f>DEC2HEX(E1601,3)</f>
        <v>637</v>
      </c>
      <c r="H1601" s="10" t="str">
        <f>IF(ROUND(D1601/$B$6,0)&gt;$B$7,"YES","NO")</f>
        <v>NO</v>
      </c>
    </row>
    <row r="1602" spans="1:8">
      <c r="A1602" s="8">
        <v>1592</v>
      </c>
      <c r="B1602" s="9">
        <f>D1601</f>
        <v>1864.453125</v>
      </c>
      <c r="C1602" s="9">
        <f>$B$6</f>
        <v>1.171875</v>
      </c>
      <c r="D1602" s="9">
        <f>B1602+C1602</f>
        <v>1865.625</v>
      </c>
      <c r="E1602" s="8">
        <f>MIN($B$7,ROUND(D1602/$B$6,0))</f>
        <v>1592</v>
      </c>
      <c r="F1602" s="8" t="str">
        <f>DEC2BIN(INT(E1602/64),5)&amp;DEC2BIN(MOD(E1602,64),6)</f>
        <v>11000111000</v>
      </c>
      <c r="G1602" s="8" t="str">
        <f>DEC2HEX(E1602,3)</f>
        <v>638</v>
      </c>
      <c r="H1602" s="8" t="str">
        <f>IF(ROUND(D1602/$B$6,0)&gt;$B$7,"YES","NO")</f>
        <v>NO</v>
      </c>
    </row>
    <row r="1603" spans="1:8">
      <c r="A1603" s="10">
        <v>1593</v>
      </c>
      <c r="B1603" s="11">
        <f>D1602</f>
        <v>1865.625</v>
      </c>
      <c r="C1603" s="11">
        <f>$B$6</f>
        <v>1.171875</v>
      </c>
      <c r="D1603" s="11">
        <f>B1603+C1603</f>
        <v>1866.796875</v>
      </c>
      <c r="E1603" s="10">
        <f>MIN($B$7,ROUND(D1603/$B$6,0))</f>
        <v>1593</v>
      </c>
      <c r="F1603" s="10" t="str">
        <f>DEC2BIN(INT(E1603/64),5)&amp;DEC2BIN(MOD(E1603,64),6)</f>
        <v>11000111001</v>
      </c>
      <c r="G1603" s="10" t="str">
        <f>DEC2HEX(E1603,3)</f>
        <v>639</v>
      </c>
      <c r="H1603" s="10" t="str">
        <f>IF(ROUND(D1603/$B$6,0)&gt;$B$7,"YES","NO")</f>
        <v>NO</v>
      </c>
    </row>
    <row r="1604" spans="1:8">
      <c r="A1604" s="8">
        <v>1594</v>
      </c>
      <c r="B1604" s="9">
        <f>D1603</f>
        <v>1866.796875</v>
      </c>
      <c r="C1604" s="9">
        <f>$B$6</f>
        <v>1.171875</v>
      </c>
      <c r="D1604" s="9">
        <f>B1604+C1604</f>
        <v>1867.96875</v>
      </c>
      <c r="E1604" s="8">
        <f>MIN($B$7,ROUND(D1604/$B$6,0))</f>
        <v>1594</v>
      </c>
      <c r="F1604" s="8" t="str">
        <f>DEC2BIN(INT(E1604/64),5)&amp;DEC2BIN(MOD(E1604,64),6)</f>
        <v>11000111010</v>
      </c>
      <c r="G1604" s="8" t="str">
        <f>DEC2HEX(E1604,3)</f>
        <v>63A</v>
      </c>
      <c r="H1604" s="8" t="str">
        <f>IF(ROUND(D1604/$B$6,0)&gt;$B$7,"YES","NO")</f>
        <v>NO</v>
      </c>
    </row>
    <row r="1605" spans="1:8">
      <c r="A1605" s="10">
        <v>1595</v>
      </c>
      <c r="B1605" s="11">
        <f>D1604</f>
        <v>1867.96875</v>
      </c>
      <c r="C1605" s="11">
        <f>$B$6</f>
        <v>1.171875</v>
      </c>
      <c r="D1605" s="11">
        <f>B1605+C1605</f>
        <v>1869.140625</v>
      </c>
      <c r="E1605" s="10">
        <f>MIN($B$7,ROUND(D1605/$B$6,0))</f>
        <v>1595</v>
      </c>
      <c r="F1605" s="10" t="str">
        <f>DEC2BIN(INT(E1605/64),5)&amp;DEC2BIN(MOD(E1605,64),6)</f>
        <v>11000111011</v>
      </c>
      <c r="G1605" s="10" t="str">
        <f>DEC2HEX(E1605,3)</f>
        <v>63B</v>
      </c>
      <c r="H1605" s="10" t="str">
        <f>IF(ROUND(D1605/$B$6,0)&gt;$B$7,"YES","NO")</f>
        <v>NO</v>
      </c>
    </row>
    <row r="1606" spans="1:8">
      <c r="A1606" s="8">
        <v>1596</v>
      </c>
      <c r="B1606" s="9">
        <f>D1605</f>
        <v>1869.140625</v>
      </c>
      <c r="C1606" s="9">
        <f>$B$6</f>
        <v>1.171875</v>
      </c>
      <c r="D1606" s="9">
        <f>B1606+C1606</f>
        <v>1870.3125</v>
      </c>
      <c r="E1606" s="8">
        <f>MIN($B$7,ROUND(D1606/$B$6,0))</f>
        <v>1596</v>
      </c>
      <c r="F1606" s="8" t="str">
        <f>DEC2BIN(INT(E1606/64),5)&amp;DEC2BIN(MOD(E1606,64),6)</f>
        <v>11000111100</v>
      </c>
      <c r="G1606" s="8" t="str">
        <f>DEC2HEX(E1606,3)</f>
        <v>63C</v>
      </c>
      <c r="H1606" s="8" t="str">
        <f>IF(ROUND(D1606/$B$6,0)&gt;$B$7,"YES","NO")</f>
        <v>NO</v>
      </c>
    </row>
    <row r="1607" spans="1:8">
      <c r="A1607" s="10">
        <v>1597</v>
      </c>
      <c r="B1607" s="11">
        <f>D1606</f>
        <v>1870.3125</v>
      </c>
      <c r="C1607" s="11">
        <f>$B$6</f>
        <v>1.171875</v>
      </c>
      <c r="D1607" s="11">
        <f>B1607+C1607</f>
        <v>1871.484375</v>
      </c>
      <c r="E1607" s="10">
        <f>MIN($B$7,ROUND(D1607/$B$6,0))</f>
        <v>1597</v>
      </c>
      <c r="F1607" s="10" t="str">
        <f>DEC2BIN(INT(E1607/64),5)&amp;DEC2BIN(MOD(E1607,64),6)</f>
        <v>11000111101</v>
      </c>
      <c r="G1607" s="10" t="str">
        <f>DEC2HEX(E1607,3)</f>
        <v>63D</v>
      </c>
      <c r="H1607" s="10" t="str">
        <f>IF(ROUND(D1607/$B$6,0)&gt;$B$7,"YES","NO")</f>
        <v>NO</v>
      </c>
    </row>
    <row r="1608" spans="1:8">
      <c r="A1608" s="8">
        <v>1598</v>
      </c>
      <c r="B1608" s="9">
        <f>D1607</f>
        <v>1871.484375</v>
      </c>
      <c r="C1608" s="9">
        <f>$B$6</f>
        <v>1.171875</v>
      </c>
      <c r="D1608" s="9">
        <f>B1608+C1608</f>
        <v>1872.65625</v>
      </c>
      <c r="E1608" s="8">
        <f>MIN($B$7,ROUND(D1608/$B$6,0))</f>
        <v>1598</v>
      </c>
      <c r="F1608" s="8" t="str">
        <f>DEC2BIN(INT(E1608/64),5)&amp;DEC2BIN(MOD(E1608,64),6)</f>
        <v>11000111110</v>
      </c>
      <c r="G1608" s="8" t="str">
        <f>DEC2HEX(E1608,3)</f>
        <v>63E</v>
      </c>
      <c r="H1608" s="8" t="str">
        <f>IF(ROUND(D1608/$B$6,0)&gt;$B$7,"YES","NO")</f>
        <v>NO</v>
      </c>
    </row>
    <row r="1609" spans="1:8">
      <c r="A1609" s="10">
        <v>1599</v>
      </c>
      <c r="B1609" s="11">
        <f>D1608</f>
        <v>1872.65625</v>
      </c>
      <c r="C1609" s="11">
        <f>$B$6</f>
        <v>1.171875</v>
      </c>
      <c r="D1609" s="11">
        <f>B1609+C1609</f>
        <v>1873.828125</v>
      </c>
      <c r="E1609" s="10">
        <f>MIN($B$7,ROUND(D1609/$B$6,0))</f>
        <v>1599</v>
      </c>
      <c r="F1609" s="10" t="str">
        <f>DEC2BIN(INT(E1609/64),5)&amp;DEC2BIN(MOD(E1609,64),6)</f>
        <v>11000111111</v>
      </c>
      <c r="G1609" s="10" t="str">
        <f>DEC2HEX(E1609,3)</f>
        <v>63F</v>
      </c>
      <c r="H1609" s="10" t="str">
        <f>IF(ROUND(D1609/$B$6,0)&gt;$B$7,"YES","NO")</f>
        <v>NO</v>
      </c>
    </row>
    <row r="1610" spans="1:8">
      <c r="A1610" s="8">
        <v>1600</v>
      </c>
      <c r="B1610" s="9">
        <f>D1609</f>
        <v>1873.828125</v>
      </c>
      <c r="C1610" s="9">
        <f>$B$6</f>
        <v>1.171875</v>
      </c>
      <c r="D1610" s="9">
        <f>B1610+C1610</f>
        <v>1875</v>
      </c>
      <c r="E1610" s="8">
        <f>MIN($B$7,ROUND(D1610/$B$6,0))</f>
        <v>1600</v>
      </c>
      <c r="F1610" s="8" t="str">
        <f>DEC2BIN(INT(E1610/64),5)&amp;DEC2BIN(MOD(E1610,64),6)</f>
        <v>11001000000</v>
      </c>
      <c r="G1610" s="8" t="str">
        <f>DEC2HEX(E1610,3)</f>
        <v>640</v>
      </c>
      <c r="H1610" s="8" t="str">
        <f>IF(ROUND(D1610/$B$6,0)&gt;$B$7,"YES","NO")</f>
        <v>NO</v>
      </c>
    </row>
    <row r="1611" spans="1:8">
      <c r="A1611" s="10">
        <v>1601</v>
      </c>
      <c r="B1611" s="11">
        <f>D1610</f>
        <v>1875</v>
      </c>
      <c r="C1611" s="11">
        <f>$B$6</f>
        <v>1.171875</v>
      </c>
      <c r="D1611" s="11">
        <f>B1611+C1611</f>
        <v>1876.171875</v>
      </c>
      <c r="E1611" s="10">
        <f>MIN($B$7,ROUND(D1611/$B$6,0))</f>
        <v>1601</v>
      </c>
      <c r="F1611" s="10" t="str">
        <f>DEC2BIN(INT(E1611/64),5)&amp;DEC2BIN(MOD(E1611,64),6)</f>
        <v>11001000001</v>
      </c>
      <c r="G1611" s="10" t="str">
        <f>DEC2HEX(E1611,3)</f>
        <v>641</v>
      </c>
      <c r="H1611" s="10" t="str">
        <f>IF(ROUND(D1611/$B$6,0)&gt;$B$7,"YES","NO")</f>
        <v>NO</v>
      </c>
    </row>
    <row r="1612" spans="1:8">
      <c r="A1612" s="8">
        <v>1602</v>
      </c>
      <c r="B1612" s="9">
        <f>D1611</f>
        <v>1876.171875</v>
      </c>
      <c r="C1612" s="9">
        <f>$B$6</f>
        <v>1.171875</v>
      </c>
      <c r="D1612" s="9">
        <f>B1612+C1612</f>
        <v>1877.34375</v>
      </c>
      <c r="E1612" s="8">
        <f>MIN($B$7,ROUND(D1612/$B$6,0))</f>
        <v>1602</v>
      </c>
      <c r="F1612" s="8" t="str">
        <f>DEC2BIN(INT(E1612/64),5)&amp;DEC2BIN(MOD(E1612,64),6)</f>
        <v>11001000010</v>
      </c>
      <c r="G1612" s="8" t="str">
        <f>DEC2HEX(E1612,3)</f>
        <v>642</v>
      </c>
      <c r="H1612" s="8" t="str">
        <f>IF(ROUND(D1612/$B$6,0)&gt;$B$7,"YES","NO")</f>
        <v>NO</v>
      </c>
    </row>
    <row r="1613" spans="1:8">
      <c r="A1613" s="10">
        <v>1603</v>
      </c>
      <c r="B1613" s="11">
        <f>D1612</f>
        <v>1877.34375</v>
      </c>
      <c r="C1613" s="11">
        <f>$B$6</f>
        <v>1.171875</v>
      </c>
      <c r="D1613" s="11">
        <f>B1613+C1613</f>
        <v>1878.515625</v>
      </c>
      <c r="E1613" s="10">
        <f>MIN($B$7,ROUND(D1613/$B$6,0))</f>
        <v>1603</v>
      </c>
      <c r="F1613" s="10" t="str">
        <f>DEC2BIN(INT(E1613/64),5)&amp;DEC2BIN(MOD(E1613,64),6)</f>
        <v>11001000011</v>
      </c>
      <c r="G1613" s="10" t="str">
        <f>DEC2HEX(E1613,3)</f>
        <v>643</v>
      </c>
      <c r="H1613" s="10" t="str">
        <f>IF(ROUND(D1613/$B$6,0)&gt;$B$7,"YES","NO")</f>
        <v>NO</v>
      </c>
    </row>
    <row r="1614" spans="1:8">
      <c r="A1614" s="8">
        <v>1604</v>
      </c>
      <c r="B1614" s="9">
        <f>D1613</f>
        <v>1878.515625</v>
      </c>
      <c r="C1614" s="9">
        <f>$B$6</f>
        <v>1.171875</v>
      </c>
      <c r="D1614" s="9">
        <f>B1614+C1614</f>
        <v>1879.6875</v>
      </c>
      <c r="E1614" s="8">
        <f>MIN($B$7,ROUND(D1614/$B$6,0))</f>
        <v>1604</v>
      </c>
      <c r="F1614" s="8" t="str">
        <f>DEC2BIN(INT(E1614/64),5)&amp;DEC2BIN(MOD(E1614,64),6)</f>
        <v>11001000100</v>
      </c>
      <c r="G1614" s="8" t="str">
        <f>DEC2HEX(E1614,3)</f>
        <v>644</v>
      </c>
      <c r="H1614" s="8" t="str">
        <f>IF(ROUND(D1614/$B$6,0)&gt;$B$7,"YES","NO")</f>
        <v>NO</v>
      </c>
    </row>
    <row r="1615" spans="1:8">
      <c r="A1615" s="10">
        <v>1605</v>
      </c>
      <c r="B1615" s="11">
        <f>D1614</f>
        <v>1879.6875</v>
      </c>
      <c r="C1615" s="11">
        <f>$B$6</f>
        <v>1.171875</v>
      </c>
      <c r="D1615" s="11">
        <f>B1615+C1615</f>
        <v>1880.859375</v>
      </c>
      <c r="E1615" s="10">
        <f>MIN($B$7,ROUND(D1615/$B$6,0))</f>
        <v>1605</v>
      </c>
      <c r="F1615" s="10" t="str">
        <f>DEC2BIN(INT(E1615/64),5)&amp;DEC2BIN(MOD(E1615,64),6)</f>
        <v>11001000101</v>
      </c>
      <c r="G1615" s="10" t="str">
        <f>DEC2HEX(E1615,3)</f>
        <v>645</v>
      </c>
      <c r="H1615" s="10" t="str">
        <f>IF(ROUND(D1615/$B$6,0)&gt;$B$7,"YES","NO")</f>
        <v>NO</v>
      </c>
    </row>
    <row r="1616" spans="1:8">
      <c r="A1616" s="8">
        <v>1606</v>
      </c>
      <c r="B1616" s="9">
        <f>D1615</f>
        <v>1880.859375</v>
      </c>
      <c r="C1616" s="9">
        <f>$B$6</f>
        <v>1.171875</v>
      </c>
      <c r="D1616" s="9">
        <f>B1616+C1616</f>
        <v>1882.03125</v>
      </c>
      <c r="E1616" s="8">
        <f>MIN($B$7,ROUND(D1616/$B$6,0))</f>
        <v>1606</v>
      </c>
      <c r="F1616" s="8" t="str">
        <f>DEC2BIN(INT(E1616/64),5)&amp;DEC2BIN(MOD(E1616,64),6)</f>
        <v>11001000110</v>
      </c>
      <c r="G1616" s="8" t="str">
        <f>DEC2HEX(E1616,3)</f>
        <v>646</v>
      </c>
      <c r="H1616" s="8" t="str">
        <f>IF(ROUND(D1616/$B$6,0)&gt;$B$7,"YES","NO")</f>
        <v>NO</v>
      </c>
    </row>
    <row r="1617" spans="1:8">
      <c r="A1617" s="10">
        <v>1607</v>
      </c>
      <c r="B1617" s="11">
        <f>D1616</f>
        <v>1882.03125</v>
      </c>
      <c r="C1617" s="11">
        <f>$B$6</f>
        <v>1.171875</v>
      </c>
      <c r="D1617" s="11">
        <f>B1617+C1617</f>
        <v>1883.203125</v>
      </c>
      <c r="E1617" s="10">
        <f>MIN($B$7,ROUND(D1617/$B$6,0))</f>
        <v>1607</v>
      </c>
      <c r="F1617" s="10" t="str">
        <f>DEC2BIN(INT(E1617/64),5)&amp;DEC2BIN(MOD(E1617,64),6)</f>
        <v>11001000111</v>
      </c>
      <c r="G1617" s="10" t="str">
        <f>DEC2HEX(E1617,3)</f>
        <v>647</v>
      </c>
      <c r="H1617" s="10" t="str">
        <f>IF(ROUND(D1617/$B$6,0)&gt;$B$7,"YES","NO")</f>
        <v>NO</v>
      </c>
    </row>
    <row r="1618" spans="1:8">
      <c r="A1618" s="8">
        <v>1608</v>
      </c>
      <c r="B1618" s="9">
        <f>D1617</f>
        <v>1883.203125</v>
      </c>
      <c r="C1618" s="9">
        <f>$B$6</f>
        <v>1.171875</v>
      </c>
      <c r="D1618" s="9">
        <f>B1618+C1618</f>
        <v>1884.375</v>
      </c>
      <c r="E1618" s="8">
        <f>MIN($B$7,ROUND(D1618/$B$6,0))</f>
        <v>1608</v>
      </c>
      <c r="F1618" s="8" t="str">
        <f>DEC2BIN(INT(E1618/64),5)&amp;DEC2BIN(MOD(E1618,64),6)</f>
        <v>11001001000</v>
      </c>
      <c r="G1618" s="8" t="str">
        <f>DEC2HEX(E1618,3)</f>
        <v>648</v>
      </c>
      <c r="H1618" s="8" t="str">
        <f>IF(ROUND(D1618/$B$6,0)&gt;$B$7,"YES","NO")</f>
        <v>NO</v>
      </c>
    </row>
    <row r="1619" spans="1:8">
      <c r="A1619" s="10">
        <v>1609</v>
      </c>
      <c r="B1619" s="11">
        <f>D1618</f>
        <v>1884.375</v>
      </c>
      <c r="C1619" s="11">
        <f>$B$6</f>
        <v>1.171875</v>
      </c>
      <c r="D1619" s="11">
        <f>B1619+C1619</f>
        <v>1885.546875</v>
      </c>
      <c r="E1619" s="10">
        <f>MIN($B$7,ROUND(D1619/$B$6,0))</f>
        <v>1609</v>
      </c>
      <c r="F1619" s="10" t="str">
        <f>DEC2BIN(INT(E1619/64),5)&amp;DEC2BIN(MOD(E1619,64),6)</f>
        <v>11001001001</v>
      </c>
      <c r="G1619" s="10" t="str">
        <f>DEC2HEX(E1619,3)</f>
        <v>649</v>
      </c>
      <c r="H1619" s="10" t="str">
        <f>IF(ROUND(D1619/$B$6,0)&gt;$B$7,"YES","NO")</f>
        <v>NO</v>
      </c>
    </row>
    <row r="1620" spans="1:8">
      <c r="A1620" s="8">
        <v>1610</v>
      </c>
      <c r="B1620" s="9">
        <f>D1619</f>
        <v>1885.546875</v>
      </c>
      <c r="C1620" s="9">
        <f>$B$6</f>
        <v>1.171875</v>
      </c>
      <c r="D1620" s="9">
        <f>B1620+C1620</f>
        <v>1886.71875</v>
      </c>
      <c r="E1620" s="8">
        <f>MIN($B$7,ROUND(D1620/$B$6,0))</f>
        <v>1610</v>
      </c>
      <c r="F1620" s="8" t="str">
        <f>DEC2BIN(INT(E1620/64),5)&amp;DEC2BIN(MOD(E1620,64),6)</f>
        <v>11001001010</v>
      </c>
      <c r="G1620" s="8" t="str">
        <f>DEC2HEX(E1620,3)</f>
        <v>64A</v>
      </c>
      <c r="H1620" s="8" t="str">
        <f>IF(ROUND(D1620/$B$6,0)&gt;$B$7,"YES","NO")</f>
        <v>NO</v>
      </c>
    </row>
    <row r="1621" spans="1:8">
      <c r="A1621" s="10">
        <v>1611</v>
      </c>
      <c r="B1621" s="11">
        <f>D1620</f>
        <v>1886.71875</v>
      </c>
      <c r="C1621" s="11">
        <f>$B$6</f>
        <v>1.171875</v>
      </c>
      <c r="D1621" s="11">
        <f>B1621+C1621</f>
        <v>1887.890625</v>
      </c>
      <c r="E1621" s="10">
        <f>MIN($B$7,ROUND(D1621/$B$6,0))</f>
        <v>1611</v>
      </c>
      <c r="F1621" s="10" t="str">
        <f>DEC2BIN(INT(E1621/64),5)&amp;DEC2BIN(MOD(E1621,64),6)</f>
        <v>11001001011</v>
      </c>
      <c r="G1621" s="10" t="str">
        <f>DEC2HEX(E1621,3)</f>
        <v>64B</v>
      </c>
      <c r="H1621" s="10" t="str">
        <f>IF(ROUND(D1621/$B$6,0)&gt;$B$7,"YES","NO")</f>
        <v>NO</v>
      </c>
    </row>
    <row r="1622" spans="1:8">
      <c r="A1622" s="8">
        <v>1612</v>
      </c>
      <c r="B1622" s="9">
        <f>D1621</f>
        <v>1887.890625</v>
      </c>
      <c r="C1622" s="9">
        <f>$B$6</f>
        <v>1.171875</v>
      </c>
      <c r="D1622" s="9">
        <f>B1622+C1622</f>
        <v>1889.0625</v>
      </c>
      <c r="E1622" s="8">
        <f>MIN($B$7,ROUND(D1622/$B$6,0))</f>
        <v>1612</v>
      </c>
      <c r="F1622" s="8" t="str">
        <f>DEC2BIN(INT(E1622/64),5)&amp;DEC2BIN(MOD(E1622,64),6)</f>
        <v>11001001100</v>
      </c>
      <c r="G1622" s="8" t="str">
        <f>DEC2HEX(E1622,3)</f>
        <v>64C</v>
      </c>
      <c r="H1622" s="8" t="str">
        <f>IF(ROUND(D1622/$B$6,0)&gt;$B$7,"YES","NO")</f>
        <v>NO</v>
      </c>
    </row>
    <row r="1623" spans="1:8">
      <c r="A1623" s="10">
        <v>1613</v>
      </c>
      <c r="B1623" s="11">
        <f>D1622</f>
        <v>1889.0625</v>
      </c>
      <c r="C1623" s="11">
        <f>$B$6</f>
        <v>1.171875</v>
      </c>
      <c r="D1623" s="11">
        <f>B1623+C1623</f>
        <v>1890.234375</v>
      </c>
      <c r="E1623" s="10">
        <f>MIN($B$7,ROUND(D1623/$B$6,0))</f>
        <v>1613</v>
      </c>
      <c r="F1623" s="10" t="str">
        <f>DEC2BIN(INT(E1623/64),5)&amp;DEC2BIN(MOD(E1623,64),6)</f>
        <v>11001001101</v>
      </c>
      <c r="G1623" s="10" t="str">
        <f>DEC2HEX(E1623,3)</f>
        <v>64D</v>
      </c>
      <c r="H1623" s="10" t="str">
        <f>IF(ROUND(D1623/$B$6,0)&gt;$B$7,"YES","NO")</f>
        <v>NO</v>
      </c>
    </row>
    <row r="1624" spans="1:8">
      <c r="A1624" s="8">
        <v>1614</v>
      </c>
      <c r="B1624" s="9">
        <f>D1623</f>
        <v>1890.234375</v>
      </c>
      <c r="C1624" s="9">
        <f>$B$6</f>
        <v>1.171875</v>
      </c>
      <c r="D1624" s="9">
        <f>B1624+C1624</f>
        <v>1891.40625</v>
      </c>
      <c r="E1624" s="8">
        <f>MIN($B$7,ROUND(D1624/$B$6,0))</f>
        <v>1614</v>
      </c>
      <c r="F1624" s="8" t="str">
        <f>DEC2BIN(INT(E1624/64),5)&amp;DEC2BIN(MOD(E1624,64),6)</f>
        <v>11001001110</v>
      </c>
      <c r="G1624" s="8" t="str">
        <f>DEC2HEX(E1624,3)</f>
        <v>64E</v>
      </c>
      <c r="H1624" s="8" t="str">
        <f>IF(ROUND(D1624/$B$6,0)&gt;$B$7,"YES","NO")</f>
        <v>NO</v>
      </c>
    </row>
    <row r="1625" spans="1:8">
      <c r="A1625" s="10">
        <v>1615</v>
      </c>
      <c r="B1625" s="11">
        <f>D1624</f>
        <v>1891.40625</v>
      </c>
      <c r="C1625" s="11">
        <f>$B$6</f>
        <v>1.171875</v>
      </c>
      <c r="D1625" s="11">
        <f>B1625+C1625</f>
        <v>1892.578125</v>
      </c>
      <c r="E1625" s="10">
        <f>MIN($B$7,ROUND(D1625/$B$6,0))</f>
        <v>1615</v>
      </c>
      <c r="F1625" s="10" t="str">
        <f>DEC2BIN(INT(E1625/64),5)&amp;DEC2BIN(MOD(E1625,64),6)</f>
        <v>11001001111</v>
      </c>
      <c r="G1625" s="10" t="str">
        <f>DEC2HEX(E1625,3)</f>
        <v>64F</v>
      </c>
      <c r="H1625" s="10" t="str">
        <f>IF(ROUND(D1625/$B$6,0)&gt;$B$7,"YES","NO")</f>
        <v>NO</v>
      </c>
    </row>
    <row r="1626" spans="1:8">
      <c r="A1626" s="8">
        <v>1616</v>
      </c>
      <c r="B1626" s="9">
        <f>D1625</f>
        <v>1892.578125</v>
      </c>
      <c r="C1626" s="9">
        <f>$B$6</f>
        <v>1.171875</v>
      </c>
      <c r="D1626" s="9">
        <f>B1626+C1626</f>
        <v>1893.75</v>
      </c>
      <c r="E1626" s="8">
        <f>MIN($B$7,ROUND(D1626/$B$6,0))</f>
        <v>1616</v>
      </c>
      <c r="F1626" s="8" t="str">
        <f>DEC2BIN(INT(E1626/64),5)&amp;DEC2BIN(MOD(E1626,64),6)</f>
        <v>11001010000</v>
      </c>
      <c r="G1626" s="8" t="str">
        <f>DEC2HEX(E1626,3)</f>
        <v>650</v>
      </c>
      <c r="H1626" s="8" t="str">
        <f>IF(ROUND(D1626/$B$6,0)&gt;$B$7,"YES","NO")</f>
        <v>NO</v>
      </c>
    </row>
    <row r="1627" spans="1:8">
      <c r="A1627" s="10">
        <v>1617</v>
      </c>
      <c r="B1627" s="11">
        <f>D1626</f>
        <v>1893.75</v>
      </c>
      <c r="C1627" s="11">
        <f>$B$6</f>
        <v>1.171875</v>
      </c>
      <c r="D1627" s="11">
        <f>B1627+C1627</f>
        <v>1894.921875</v>
      </c>
      <c r="E1627" s="10">
        <f>MIN($B$7,ROUND(D1627/$B$6,0))</f>
        <v>1617</v>
      </c>
      <c r="F1627" s="10" t="str">
        <f>DEC2BIN(INT(E1627/64),5)&amp;DEC2BIN(MOD(E1627,64),6)</f>
        <v>11001010001</v>
      </c>
      <c r="G1627" s="10" t="str">
        <f>DEC2HEX(E1627,3)</f>
        <v>651</v>
      </c>
      <c r="H1627" s="10" t="str">
        <f>IF(ROUND(D1627/$B$6,0)&gt;$B$7,"YES","NO")</f>
        <v>NO</v>
      </c>
    </row>
    <row r="1628" spans="1:8">
      <c r="A1628" s="8">
        <v>1618</v>
      </c>
      <c r="B1628" s="9">
        <f>D1627</f>
        <v>1894.921875</v>
      </c>
      <c r="C1628" s="9">
        <f>$B$6</f>
        <v>1.171875</v>
      </c>
      <c r="D1628" s="9">
        <f>B1628+C1628</f>
        <v>1896.09375</v>
      </c>
      <c r="E1628" s="8">
        <f>MIN($B$7,ROUND(D1628/$B$6,0))</f>
        <v>1618</v>
      </c>
      <c r="F1628" s="8" t="str">
        <f>DEC2BIN(INT(E1628/64),5)&amp;DEC2BIN(MOD(E1628,64),6)</f>
        <v>11001010010</v>
      </c>
      <c r="G1628" s="8" t="str">
        <f>DEC2HEX(E1628,3)</f>
        <v>652</v>
      </c>
      <c r="H1628" s="8" t="str">
        <f>IF(ROUND(D1628/$B$6,0)&gt;$B$7,"YES","NO")</f>
        <v>NO</v>
      </c>
    </row>
    <row r="1629" spans="1:8">
      <c r="A1629" s="10">
        <v>1619</v>
      </c>
      <c r="B1629" s="11">
        <f>D1628</f>
        <v>1896.09375</v>
      </c>
      <c r="C1629" s="11">
        <f>$B$6</f>
        <v>1.171875</v>
      </c>
      <c r="D1629" s="11">
        <f>B1629+C1629</f>
        <v>1897.265625</v>
      </c>
      <c r="E1629" s="10">
        <f>MIN($B$7,ROUND(D1629/$B$6,0))</f>
        <v>1619</v>
      </c>
      <c r="F1629" s="10" t="str">
        <f>DEC2BIN(INT(E1629/64),5)&amp;DEC2BIN(MOD(E1629,64),6)</f>
        <v>11001010011</v>
      </c>
      <c r="G1629" s="10" t="str">
        <f>DEC2HEX(E1629,3)</f>
        <v>653</v>
      </c>
      <c r="H1629" s="10" t="str">
        <f>IF(ROUND(D1629/$B$6,0)&gt;$B$7,"YES","NO")</f>
        <v>NO</v>
      </c>
    </row>
    <row r="1630" spans="1:8">
      <c r="A1630" s="8">
        <v>1620</v>
      </c>
      <c r="B1630" s="9">
        <f>D1629</f>
        <v>1897.265625</v>
      </c>
      <c r="C1630" s="9">
        <f>$B$6</f>
        <v>1.171875</v>
      </c>
      <c r="D1630" s="9">
        <f>B1630+C1630</f>
        <v>1898.4375</v>
      </c>
      <c r="E1630" s="8">
        <f>MIN($B$7,ROUND(D1630/$B$6,0))</f>
        <v>1620</v>
      </c>
      <c r="F1630" s="8" t="str">
        <f>DEC2BIN(INT(E1630/64),5)&amp;DEC2BIN(MOD(E1630,64),6)</f>
        <v>11001010100</v>
      </c>
      <c r="G1630" s="8" t="str">
        <f>DEC2HEX(E1630,3)</f>
        <v>654</v>
      </c>
      <c r="H1630" s="8" t="str">
        <f>IF(ROUND(D1630/$B$6,0)&gt;$B$7,"YES","NO")</f>
        <v>NO</v>
      </c>
    </row>
    <row r="1631" spans="1:8">
      <c r="A1631" s="10">
        <v>1621</v>
      </c>
      <c r="B1631" s="11">
        <f>D1630</f>
        <v>1898.4375</v>
      </c>
      <c r="C1631" s="11">
        <f>$B$6</f>
        <v>1.171875</v>
      </c>
      <c r="D1631" s="11">
        <f>B1631+C1631</f>
        <v>1899.609375</v>
      </c>
      <c r="E1631" s="10">
        <f>MIN($B$7,ROUND(D1631/$B$6,0))</f>
        <v>1621</v>
      </c>
      <c r="F1631" s="10" t="str">
        <f>DEC2BIN(INT(E1631/64),5)&amp;DEC2BIN(MOD(E1631,64),6)</f>
        <v>11001010101</v>
      </c>
      <c r="G1631" s="10" t="str">
        <f>DEC2HEX(E1631,3)</f>
        <v>655</v>
      </c>
      <c r="H1631" s="10" t="str">
        <f>IF(ROUND(D1631/$B$6,0)&gt;$B$7,"YES","NO")</f>
        <v>NO</v>
      </c>
    </row>
    <row r="1632" spans="1:8">
      <c r="A1632" s="8">
        <v>1622</v>
      </c>
      <c r="B1632" s="9">
        <f>D1631</f>
        <v>1899.609375</v>
      </c>
      <c r="C1632" s="9">
        <f>$B$6</f>
        <v>1.171875</v>
      </c>
      <c r="D1632" s="9">
        <f>B1632+C1632</f>
        <v>1900.78125</v>
      </c>
      <c r="E1632" s="8">
        <f>MIN($B$7,ROUND(D1632/$B$6,0))</f>
        <v>1622</v>
      </c>
      <c r="F1632" s="8" t="str">
        <f>DEC2BIN(INT(E1632/64),5)&amp;DEC2BIN(MOD(E1632,64),6)</f>
        <v>11001010110</v>
      </c>
      <c r="G1632" s="8" t="str">
        <f>DEC2HEX(E1632,3)</f>
        <v>656</v>
      </c>
      <c r="H1632" s="8" t="str">
        <f>IF(ROUND(D1632/$B$6,0)&gt;$B$7,"YES","NO")</f>
        <v>NO</v>
      </c>
    </row>
    <row r="1633" spans="1:8">
      <c r="A1633" s="10">
        <v>1623</v>
      </c>
      <c r="B1633" s="11">
        <f>D1632</f>
        <v>1900.78125</v>
      </c>
      <c r="C1633" s="11">
        <f>$B$6</f>
        <v>1.171875</v>
      </c>
      <c r="D1633" s="11">
        <f>B1633+C1633</f>
        <v>1901.953125</v>
      </c>
      <c r="E1633" s="10">
        <f>MIN($B$7,ROUND(D1633/$B$6,0))</f>
        <v>1623</v>
      </c>
      <c r="F1633" s="10" t="str">
        <f>DEC2BIN(INT(E1633/64),5)&amp;DEC2BIN(MOD(E1633,64),6)</f>
        <v>11001010111</v>
      </c>
      <c r="G1633" s="10" t="str">
        <f>DEC2HEX(E1633,3)</f>
        <v>657</v>
      </c>
      <c r="H1633" s="10" t="str">
        <f>IF(ROUND(D1633/$B$6,0)&gt;$B$7,"YES","NO")</f>
        <v>NO</v>
      </c>
    </row>
    <row r="1634" spans="1:8">
      <c r="A1634" s="8">
        <v>1624</v>
      </c>
      <c r="B1634" s="9">
        <f>D1633</f>
        <v>1901.953125</v>
      </c>
      <c r="C1634" s="9">
        <f>$B$6</f>
        <v>1.171875</v>
      </c>
      <c r="D1634" s="9">
        <f>B1634+C1634</f>
        <v>1903.125</v>
      </c>
      <c r="E1634" s="8">
        <f>MIN($B$7,ROUND(D1634/$B$6,0))</f>
        <v>1624</v>
      </c>
      <c r="F1634" s="8" t="str">
        <f>DEC2BIN(INT(E1634/64),5)&amp;DEC2BIN(MOD(E1634,64),6)</f>
        <v>11001011000</v>
      </c>
      <c r="G1634" s="8" t="str">
        <f>DEC2HEX(E1634,3)</f>
        <v>658</v>
      </c>
      <c r="H1634" s="8" t="str">
        <f>IF(ROUND(D1634/$B$6,0)&gt;$B$7,"YES","NO")</f>
        <v>NO</v>
      </c>
    </row>
    <row r="1635" spans="1:8">
      <c r="A1635" s="10">
        <v>1625</v>
      </c>
      <c r="B1635" s="11">
        <f>D1634</f>
        <v>1903.125</v>
      </c>
      <c r="C1635" s="11">
        <f>$B$6</f>
        <v>1.171875</v>
      </c>
      <c r="D1635" s="11">
        <f>B1635+C1635</f>
        <v>1904.296875</v>
      </c>
      <c r="E1635" s="10">
        <f>MIN($B$7,ROUND(D1635/$B$6,0))</f>
        <v>1625</v>
      </c>
      <c r="F1635" s="10" t="str">
        <f>DEC2BIN(INT(E1635/64),5)&amp;DEC2BIN(MOD(E1635,64),6)</f>
        <v>11001011001</v>
      </c>
      <c r="G1635" s="10" t="str">
        <f>DEC2HEX(E1635,3)</f>
        <v>659</v>
      </c>
      <c r="H1635" s="10" t="str">
        <f>IF(ROUND(D1635/$B$6,0)&gt;$B$7,"YES","NO")</f>
        <v>NO</v>
      </c>
    </row>
    <row r="1636" spans="1:8">
      <c r="A1636" s="8">
        <v>1626</v>
      </c>
      <c r="B1636" s="9">
        <f>D1635</f>
        <v>1904.296875</v>
      </c>
      <c r="C1636" s="9">
        <f>$B$6</f>
        <v>1.171875</v>
      </c>
      <c r="D1636" s="9">
        <f>B1636+C1636</f>
        <v>1905.46875</v>
      </c>
      <c r="E1636" s="8">
        <f>MIN($B$7,ROUND(D1636/$B$6,0))</f>
        <v>1626</v>
      </c>
      <c r="F1636" s="8" t="str">
        <f>DEC2BIN(INT(E1636/64),5)&amp;DEC2BIN(MOD(E1636,64),6)</f>
        <v>11001011010</v>
      </c>
      <c r="G1636" s="8" t="str">
        <f>DEC2HEX(E1636,3)</f>
        <v>65A</v>
      </c>
      <c r="H1636" s="8" t="str">
        <f>IF(ROUND(D1636/$B$6,0)&gt;$B$7,"YES","NO")</f>
        <v>NO</v>
      </c>
    </row>
    <row r="1637" spans="1:8">
      <c r="A1637" s="10">
        <v>1627</v>
      </c>
      <c r="B1637" s="11">
        <f>D1636</f>
        <v>1905.46875</v>
      </c>
      <c r="C1637" s="11">
        <f>$B$6</f>
        <v>1.171875</v>
      </c>
      <c r="D1637" s="11">
        <f>B1637+C1637</f>
        <v>1906.640625</v>
      </c>
      <c r="E1637" s="10">
        <f>MIN($B$7,ROUND(D1637/$B$6,0))</f>
        <v>1627</v>
      </c>
      <c r="F1637" s="10" t="str">
        <f>DEC2BIN(INT(E1637/64),5)&amp;DEC2BIN(MOD(E1637,64),6)</f>
        <v>11001011011</v>
      </c>
      <c r="G1637" s="10" t="str">
        <f>DEC2HEX(E1637,3)</f>
        <v>65B</v>
      </c>
      <c r="H1637" s="10" t="str">
        <f>IF(ROUND(D1637/$B$6,0)&gt;$B$7,"YES","NO")</f>
        <v>NO</v>
      </c>
    </row>
    <row r="1638" spans="1:8">
      <c r="A1638" s="8">
        <v>1628</v>
      </c>
      <c r="B1638" s="9">
        <f>D1637</f>
        <v>1906.640625</v>
      </c>
      <c r="C1638" s="9">
        <f>$B$6</f>
        <v>1.171875</v>
      </c>
      <c r="D1638" s="9">
        <f>B1638+C1638</f>
        <v>1907.8125</v>
      </c>
      <c r="E1638" s="8">
        <f>MIN($B$7,ROUND(D1638/$B$6,0))</f>
        <v>1628</v>
      </c>
      <c r="F1638" s="8" t="str">
        <f>DEC2BIN(INT(E1638/64),5)&amp;DEC2BIN(MOD(E1638,64),6)</f>
        <v>11001011100</v>
      </c>
      <c r="G1638" s="8" t="str">
        <f>DEC2HEX(E1638,3)</f>
        <v>65C</v>
      </c>
      <c r="H1638" s="8" t="str">
        <f>IF(ROUND(D1638/$B$6,0)&gt;$B$7,"YES","NO")</f>
        <v>NO</v>
      </c>
    </row>
    <row r="1639" spans="1:8">
      <c r="A1639" s="10">
        <v>1629</v>
      </c>
      <c r="B1639" s="11">
        <f>D1638</f>
        <v>1907.8125</v>
      </c>
      <c r="C1639" s="11">
        <f>$B$6</f>
        <v>1.171875</v>
      </c>
      <c r="D1639" s="11">
        <f>B1639+C1639</f>
        <v>1908.984375</v>
      </c>
      <c r="E1639" s="10">
        <f>MIN($B$7,ROUND(D1639/$B$6,0))</f>
        <v>1629</v>
      </c>
      <c r="F1639" s="10" t="str">
        <f>DEC2BIN(INT(E1639/64),5)&amp;DEC2BIN(MOD(E1639,64),6)</f>
        <v>11001011101</v>
      </c>
      <c r="G1639" s="10" t="str">
        <f>DEC2HEX(E1639,3)</f>
        <v>65D</v>
      </c>
      <c r="H1639" s="10" t="str">
        <f>IF(ROUND(D1639/$B$6,0)&gt;$B$7,"YES","NO")</f>
        <v>NO</v>
      </c>
    </row>
    <row r="1640" spans="1:8">
      <c r="A1640" s="8">
        <v>1630</v>
      </c>
      <c r="B1640" s="9">
        <f>D1639</f>
        <v>1908.984375</v>
      </c>
      <c r="C1640" s="9">
        <f>$B$6</f>
        <v>1.171875</v>
      </c>
      <c r="D1640" s="9">
        <f>B1640+C1640</f>
        <v>1910.15625</v>
      </c>
      <c r="E1640" s="8">
        <f>MIN($B$7,ROUND(D1640/$B$6,0))</f>
        <v>1630</v>
      </c>
      <c r="F1640" s="8" t="str">
        <f>DEC2BIN(INT(E1640/64),5)&amp;DEC2BIN(MOD(E1640,64),6)</f>
        <v>11001011110</v>
      </c>
      <c r="G1640" s="8" t="str">
        <f>DEC2HEX(E1640,3)</f>
        <v>65E</v>
      </c>
      <c r="H1640" s="8" t="str">
        <f>IF(ROUND(D1640/$B$6,0)&gt;$B$7,"YES","NO")</f>
        <v>NO</v>
      </c>
    </row>
    <row r="1641" spans="1:8">
      <c r="A1641" s="10">
        <v>1631</v>
      </c>
      <c r="B1641" s="11">
        <f>D1640</f>
        <v>1910.15625</v>
      </c>
      <c r="C1641" s="11">
        <f>$B$6</f>
        <v>1.171875</v>
      </c>
      <c r="D1641" s="11">
        <f>B1641+C1641</f>
        <v>1911.328125</v>
      </c>
      <c r="E1641" s="10">
        <f>MIN($B$7,ROUND(D1641/$B$6,0))</f>
        <v>1631</v>
      </c>
      <c r="F1641" s="10" t="str">
        <f>DEC2BIN(INT(E1641/64),5)&amp;DEC2BIN(MOD(E1641,64),6)</f>
        <v>11001011111</v>
      </c>
      <c r="G1641" s="10" t="str">
        <f>DEC2HEX(E1641,3)</f>
        <v>65F</v>
      </c>
      <c r="H1641" s="10" t="str">
        <f>IF(ROUND(D1641/$B$6,0)&gt;$B$7,"YES","NO")</f>
        <v>NO</v>
      </c>
    </row>
    <row r="1642" spans="1:8">
      <c r="A1642" s="8">
        <v>1632</v>
      </c>
      <c r="B1642" s="9">
        <f>D1641</f>
        <v>1911.328125</v>
      </c>
      <c r="C1642" s="9">
        <f>$B$6</f>
        <v>1.171875</v>
      </c>
      <c r="D1642" s="9">
        <f>B1642+C1642</f>
        <v>1912.5</v>
      </c>
      <c r="E1642" s="8">
        <f>MIN($B$7,ROUND(D1642/$B$6,0))</f>
        <v>1632</v>
      </c>
      <c r="F1642" s="8" t="str">
        <f>DEC2BIN(INT(E1642/64),5)&amp;DEC2BIN(MOD(E1642,64),6)</f>
        <v>11001100000</v>
      </c>
      <c r="G1642" s="8" t="str">
        <f>DEC2HEX(E1642,3)</f>
        <v>660</v>
      </c>
      <c r="H1642" s="8" t="str">
        <f>IF(ROUND(D1642/$B$6,0)&gt;$B$7,"YES","NO")</f>
        <v>NO</v>
      </c>
    </row>
    <row r="1643" spans="1:8">
      <c r="A1643" s="10">
        <v>1633</v>
      </c>
      <c r="B1643" s="11">
        <f>D1642</f>
        <v>1912.5</v>
      </c>
      <c r="C1643" s="11">
        <f>$B$6</f>
        <v>1.171875</v>
      </c>
      <c r="D1643" s="11">
        <f>B1643+C1643</f>
        <v>1913.671875</v>
      </c>
      <c r="E1643" s="10">
        <f>MIN($B$7,ROUND(D1643/$B$6,0))</f>
        <v>1633</v>
      </c>
      <c r="F1643" s="10" t="str">
        <f>DEC2BIN(INT(E1643/64),5)&amp;DEC2BIN(MOD(E1643,64),6)</f>
        <v>11001100001</v>
      </c>
      <c r="G1643" s="10" t="str">
        <f>DEC2HEX(E1643,3)</f>
        <v>661</v>
      </c>
      <c r="H1643" s="10" t="str">
        <f>IF(ROUND(D1643/$B$6,0)&gt;$B$7,"YES","NO")</f>
        <v>NO</v>
      </c>
    </row>
    <row r="1644" spans="1:8">
      <c r="A1644" s="8">
        <v>1634</v>
      </c>
      <c r="B1644" s="9">
        <f>D1643</f>
        <v>1913.671875</v>
      </c>
      <c r="C1644" s="9">
        <f>$B$6</f>
        <v>1.171875</v>
      </c>
      <c r="D1644" s="9">
        <f>B1644+C1644</f>
        <v>1914.84375</v>
      </c>
      <c r="E1644" s="8">
        <f>MIN($B$7,ROUND(D1644/$B$6,0))</f>
        <v>1634</v>
      </c>
      <c r="F1644" s="8" t="str">
        <f>DEC2BIN(INT(E1644/64),5)&amp;DEC2BIN(MOD(E1644,64),6)</f>
        <v>11001100010</v>
      </c>
      <c r="G1644" s="8" t="str">
        <f>DEC2HEX(E1644,3)</f>
        <v>662</v>
      </c>
      <c r="H1644" s="8" t="str">
        <f>IF(ROUND(D1644/$B$6,0)&gt;$B$7,"YES","NO")</f>
        <v>NO</v>
      </c>
    </row>
    <row r="1645" spans="1:8">
      <c r="A1645" s="10">
        <v>1635</v>
      </c>
      <c r="B1645" s="11">
        <f>D1644</f>
        <v>1914.84375</v>
      </c>
      <c r="C1645" s="11">
        <f>$B$6</f>
        <v>1.171875</v>
      </c>
      <c r="D1645" s="11">
        <f>B1645+C1645</f>
        <v>1916.015625</v>
      </c>
      <c r="E1645" s="10">
        <f>MIN($B$7,ROUND(D1645/$B$6,0))</f>
        <v>1635</v>
      </c>
      <c r="F1645" s="10" t="str">
        <f>DEC2BIN(INT(E1645/64),5)&amp;DEC2BIN(MOD(E1645,64),6)</f>
        <v>11001100011</v>
      </c>
      <c r="G1645" s="10" t="str">
        <f>DEC2HEX(E1645,3)</f>
        <v>663</v>
      </c>
      <c r="H1645" s="10" t="str">
        <f>IF(ROUND(D1645/$B$6,0)&gt;$B$7,"YES","NO")</f>
        <v>NO</v>
      </c>
    </row>
    <row r="1646" spans="1:8">
      <c r="A1646" s="8">
        <v>1636</v>
      </c>
      <c r="B1646" s="9">
        <f>D1645</f>
        <v>1916.015625</v>
      </c>
      <c r="C1646" s="9">
        <f>$B$6</f>
        <v>1.171875</v>
      </c>
      <c r="D1646" s="9">
        <f>B1646+C1646</f>
        <v>1917.1875</v>
      </c>
      <c r="E1646" s="8">
        <f>MIN($B$7,ROUND(D1646/$B$6,0))</f>
        <v>1636</v>
      </c>
      <c r="F1646" s="8" t="str">
        <f>DEC2BIN(INT(E1646/64),5)&amp;DEC2BIN(MOD(E1646,64),6)</f>
        <v>11001100100</v>
      </c>
      <c r="G1646" s="8" t="str">
        <f>DEC2HEX(E1646,3)</f>
        <v>664</v>
      </c>
      <c r="H1646" s="8" t="str">
        <f>IF(ROUND(D1646/$B$6,0)&gt;$B$7,"YES","NO")</f>
        <v>NO</v>
      </c>
    </row>
    <row r="1647" spans="1:8">
      <c r="A1647" s="10">
        <v>1637</v>
      </c>
      <c r="B1647" s="11">
        <f>D1646</f>
        <v>1917.1875</v>
      </c>
      <c r="C1647" s="11">
        <f>$B$6</f>
        <v>1.171875</v>
      </c>
      <c r="D1647" s="11">
        <f>B1647+C1647</f>
        <v>1918.359375</v>
      </c>
      <c r="E1647" s="10">
        <f>MIN($B$7,ROUND(D1647/$B$6,0))</f>
        <v>1637</v>
      </c>
      <c r="F1647" s="10" t="str">
        <f>DEC2BIN(INT(E1647/64),5)&amp;DEC2BIN(MOD(E1647,64),6)</f>
        <v>11001100101</v>
      </c>
      <c r="G1647" s="10" t="str">
        <f>DEC2HEX(E1647,3)</f>
        <v>665</v>
      </c>
      <c r="H1647" s="10" t="str">
        <f>IF(ROUND(D1647/$B$6,0)&gt;$B$7,"YES","NO")</f>
        <v>NO</v>
      </c>
    </row>
    <row r="1648" spans="1:8">
      <c r="A1648" s="8">
        <v>1638</v>
      </c>
      <c r="B1648" s="9">
        <f>D1647</f>
        <v>1918.359375</v>
      </c>
      <c r="C1648" s="9">
        <f>$B$6</f>
        <v>1.171875</v>
      </c>
      <c r="D1648" s="9">
        <f>B1648+C1648</f>
        <v>1919.53125</v>
      </c>
      <c r="E1648" s="8">
        <f>MIN($B$7,ROUND(D1648/$B$6,0))</f>
        <v>1638</v>
      </c>
      <c r="F1648" s="8" t="str">
        <f>DEC2BIN(INT(E1648/64),5)&amp;DEC2BIN(MOD(E1648,64),6)</f>
        <v>11001100110</v>
      </c>
      <c r="G1648" s="8" t="str">
        <f>DEC2HEX(E1648,3)</f>
        <v>666</v>
      </c>
      <c r="H1648" s="8" t="str">
        <f>IF(ROUND(D1648/$B$6,0)&gt;$B$7,"YES","NO")</f>
        <v>NO</v>
      </c>
    </row>
    <row r="1649" spans="1:8">
      <c r="A1649" s="10">
        <v>1639</v>
      </c>
      <c r="B1649" s="11">
        <f>D1648</f>
        <v>1919.53125</v>
      </c>
      <c r="C1649" s="11">
        <f>$B$6</f>
        <v>1.171875</v>
      </c>
      <c r="D1649" s="11">
        <f>B1649+C1649</f>
        <v>1920.703125</v>
      </c>
      <c r="E1649" s="10">
        <f>MIN($B$7,ROUND(D1649/$B$6,0))</f>
        <v>1639</v>
      </c>
      <c r="F1649" s="10" t="str">
        <f>DEC2BIN(INT(E1649/64),5)&amp;DEC2BIN(MOD(E1649,64),6)</f>
        <v>11001100111</v>
      </c>
      <c r="G1649" s="10" t="str">
        <f>DEC2HEX(E1649,3)</f>
        <v>667</v>
      </c>
      <c r="H1649" s="10" t="str">
        <f>IF(ROUND(D1649/$B$6,0)&gt;$B$7,"YES","NO")</f>
        <v>NO</v>
      </c>
    </row>
    <row r="1650" spans="1:8">
      <c r="A1650" s="8">
        <v>1640</v>
      </c>
      <c r="B1650" s="9">
        <f>D1649</f>
        <v>1920.703125</v>
      </c>
      <c r="C1650" s="9">
        <f>$B$6</f>
        <v>1.171875</v>
      </c>
      <c r="D1650" s="9">
        <f>B1650+C1650</f>
        <v>1921.875</v>
      </c>
      <c r="E1650" s="8">
        <f>MIN($B$7,ROUND(D1650/$B$6,0))</f>
        <v>1640</v>
      </c>
      <c r="F1650" s="8" t="str">
        <f>DEC2BIN(INT(E1650/64),5)&amp;DEC2BIN(MOD(E1650,64),6)</f>
        <v>11001101000</v>
      </c>
      <c r="G1650" s="8" t="str">
        <f>DEC2HEX(E1650,3)</f>
        <v>668</v>
      </c>
      <c r="H1650" s="8" t="str">
        <f>IF(ROUND(D1650/$B$6,0)&gt;$B$7,"YES","NO")</f>
        <v>NO</v>
      </c>
    </row>
    <row r="1651" spans="1:8">
      <c r="A1651" s="10">
        <v>1641</v>
      </c>
      <c r="B1651" s="11">
        <f>D1650</f>
        <v>1921.875</v>
      </c>
      <c r="C1651" s="11">
        <f>$B$6</f>
        <v>1.171875</v>
      </c>
      <c r="D1651" s="11">
        <f>B1651+C1651</f>
        <v>1923.046875</v>
      </c>
      <c r="E1651" s="10">
        <f>MIN($B$7,ROUND(D1651/$B$6,0))</f>
        <v>1641</v>
      </c>
      <c r="F1651" s="10" t="str">
        <f>DEC2BIN(INT(E1651/64),5)&amp;DEC2BIN(MOD(E1651,64),6)</f>
        <v>11001101001</v>
      </c>
      <c r="G1651" s="10" t="str">
        <f>DEC2HEX(E1651,3)</f>
        <v>669</v>
      </c>
      <c r="H1651" s="10" t="str">
        <f>IF(ROUND(D1651/$B$6,0)&gt;$B$7,"YES","NO")</f>
        <v>NO</v>
      </c>
    </row>
    <row r="1652" spans="1:8">
      <c r="A1652" s="8">
        <v>1642</v>
      </c>
      <c r="B1652" s="9">
        <f>D1651</f>
        <v>1923.046875</v>
      </c>
      <c r="C1652" s="9">
        <f>$B$6</f>
        <v>1.171875</v>
      </c>
      <c r="D1652" s="9">
        <f>B1652+C1652</f>
        <v>1924.21875</v>
      </c>
      <c r="E1652" s="8">
        <f>MIN($B$7,ROUND(D1652/$B$6,0))</f>
        <v>1642</v>
      </c>
      <c r="F1652" s="8" t="str">
        <f>DEC2BIN(INT(E1652/64),5)&amp;DEC2BIN(MOD(E1652,64),6)</f>
        <v>11001101010</v>
      </c>
      <c r="G1652" s="8" t="str">
        <f>DEC2HEX(E1652,3)</f>
        <v>66A</v>
      </c>
      <c r="H1652" s="8" t="str">
        <f>IF(ROUND(D1652/$B$6,0)&gt;$B$7,"YES","NO")</f>
        <v>NO</v>
      </c>
    </row>
    <row r="1653" spans="1:8">
      <c r="A1653" s="10">
        <v>1643</v>
      </c>
      <c r="B1653" s="11">
        <f>D1652</f>
        <v>1924.21875</v>
      </c>
      <c r="C1653" s="11">
        <f>$B$6</f>
        <v>1.171875</v>
      </c>
      <c r="D1653" s="11">
        <f>B1653+C1653</f>
        <v>1925.390625</v>
      </c>
      <c r="E1653" s="10">
        <f>MIN($B$7,ROUND(D1653/$B$6,0))</f>
        <v>1643</v>
      </c>
      <c r="F1653" s="10" t="str">
        <f>DEC2BIN(INT(E1653/64),5)&amp;DEC2BIN(MOD(E1653,64),6)</f>
        <v>11001101011</v>
      </c>
      <c r="G1653" s="10" t="str">
        <f>DEC2HEX(E1653,3)</f>
        <v>66B</v>
      </c>
      <c r="H1653" s="10" t="str">
        <f>IF(ROUND(D1653/$B$6,0)&gt;$B$7,"YES","NO")</f>
        <v>NO</v>
      </c>
    </row>
    <row r="1654" spans="1:8">
      <c r="A1654" s="8">
        <v>1644</v>
      </c>
      <c r="B1654" s="9">
        <f>D1653</f>
        <v>1925.390625</v>
      </c>
      <c r="C1654" s="9">
        <f>$B$6</f>
        <v>1.171875</v>
      </c>
      <c r="D1654" s="9">
        <f>B1654+C1654</f>
        <v>1926.5625</v>
      </c>
      <c r="E1654" s="8">
        <f>MIN($B$7,ROUND(D1654/$B$6,0))</f>
        <v>1644</v>
      </c>
      <c r="F1654" s="8" t="str">
        <f>DEC2BIN(INT(E1654/64),5)&amp;DEC2BIN(MOD(E1654,64),6)</f>
        <v>11001101100</v>
      </c>
      <c r="G1654" s="8" t="str">
        <f>DEC2HEX(E1654,3)</f>
        <v>66C</v>
      </c>
      <c r="H1654" s="8" t="str">
        <f>IF(ROUND(D1654/$B$6,0)&gt;$B$7,"YES","NO")</f>
        <v>NO</v>
      </c>
    </row>
    <row r="1655" spans="1:8">
      <c r="A1655" s="10">
        <v>1645</v>
      </c>
      <c r="B1655" s="11">
        <f>D1654</f>
        <v>1926.5625</v>
      </c>
      <c r="C1655" s="11">
        <f>$B$6</f>
        <v>1.171875</v>
      </c>
      <c r="D1655" s="11">
        <f>B1655+C1655</f>
        <v>1927.734375</v>
      </c>
      <c r="E1655" s="10">
        <f>MIN($B$7,ROUND(D1655/$B$6,0))</f>
        <v>1645</v>
      </c>
      <c r="F1655" s="10" t="str">
        <f>DEC2BIN(INT(E1655/64),5)&amp;DEC2BIN(MOD(E1655,64),6)</f>
        <v>11001101101</v>
      </c>
      <c r="G1655" s="10" t="str">
        <f>DEC2HEX(E1655,3)</f>
        <v>66D</v>
      </c>
      <c r="H1655" s="10" t="str">
        <f>IF(ROUND(D1655/$B$6,0)&gt;$B$7,"YES","NO")</f>
        <v>NO</v>
      </c>
    </row>
    <row r="1656" spans="1:8">
      <c r="A1656" s="8">
        <v>1646</v>
      </c>
      <c r="B1656" s="9">
        <f>D1655</f>
        <v>1927.734375</v>
      </c>
      <c r="C1656" s="9">
        <f>$B$6</f>
        <v>1.171875</v>
      </c>
      <c r="D1656" s="9">
        <f>B1656+C1656</f>
        <v>1928.90625</v>
      </c>
      <c r="E1656" s="8">
        <f>MIN($B$7,ROUND(D1656/$B$6,0))</f>
        <v>1646</v>
      </c>
      <c r="F1656" s="8" t="str">
        <f>DEC2BIN(INT(E1656/64),5)&amp;DEC2BIN(MOD(E1656,64),6)</f>
        <v>11001101110</v>
      </c>
      <c r="G1656" s="8" t="str">
        <f>DEC2HEX(E1656,3)</f>
        <v>66E</v>
      </c>
      <c r="H1656" s="8" t="str">
        <f>IF(ROUND(D1656/$B$6,0)&gt;$B$7,"YES","NO")</f>
        <v>NO</v>
      </c>
    </row>
    <row r="1657" spans="1:8">
      <c r="A1657" s="10">
        <v>1647</v>
      </c>
      <c r="B1657" s="11">
        <f>D1656</f>
        <v>1928.90625</v>
      </c>
      <c r="C1657" s="11">
        <f>$B$6</f>
        <v>1.171875</v>
      </c>
      <c r="D1657" s="11">
        <f>B1657+C1657</f>
        <v>1930.078125</v>
      </c>
      <c r="E1657" s="10">
        <f>MIN($B$7,ROUND(D1657/$B$6,0))</f>
        <v>1647</v>
      </c>
      <c r="F1657" s="10" t="str">
        <f>DEC2BIN(INT(E1657/64),5)&amp;DEC2BIN(MOD(E1657,64),6)</f>
        <v>11001101111</v>
      </c>
      <c r="G1657" s="10" t="str">
        <f>DEC2HEX(E1657,3)</f>
        <v>66F</v>
      </c>
      <c r="H1657" s="10" t="str">
        <f>IF(ROUND(D1657/$B$6,0)&gt;$B$7,"YES","NO")</f>
        <v>NO</v>
      </c>
    </row>
    <row r="1658" spans="1:8">
      <c r="A1658" s="8">
        <v>1648</v>
      </c>
      <c r="B1658" s="9">
        <f>D1657</f>
        <v>1930.078125</v>
      </c>
      <c r="C1658" s="9">
        <f>$B$6</f>
        <v>1.171875</v>
      </c>
      <c r="D1658" s="9">
        <f>B1658+C1658</f>
        <v>1931.25</v>
      </c>
      <c r="E1658" s="8">
        <f>MIN($B$7,ROUND(D1658/$B$6,0))</f>
        <v>1648</v>
      </c>
      <c r="F1658" s="8" t="str">
        <f>DEC2BIN(INT(E1658/64),5)&amp;DEC2BIN(MOD(E1658,64),6)</f>
        <v>11001110000</v>
      </c>
      <c r="G1658" s="8" t="str">
        <f>DEC2HEX(E1658,3)</f>
        <v>670</v>
      </c>
      <c r="H1658" s="8" t="str">
        <f>IF(ROUND(D1658/$B$6,0)&gt;$B$7,"YES","NO")</f>
        <v>NO</v>
      </c>
    </row>
    <row r="1659" spans="1:8">
      <c r="A1659" s="10">
        <v>1649</v>
      </c>
      <c r="B1659" s="11">
        <f>D1658</f>
        <v>1931.25</v>
      </c>
      <c r="C1659" s="11">
        <f>$B$6</f>
        <v>1.171875</v>
      </c>
      <c r="D1659" s="11">
        <f>B1659+C1659</f>
        <v>1932.421875</v>
      </c>
      <c r="E1659" s="10">
        <f>MIN($B$7,ROUND(D1659/$B$6,0))</f>
        <v>1649</v>
      </c>
      <c r="F1659" s="10" t="str">
        <f>DEC2BIN(INT(E1659/64),5)&amp;DEC2BIN(MOD(E1659,64),6)</f>
        <v>11001110001</v>
      </c>
      <c r="G1659" s="10" t="str">
        <f>DEC2HEX(E1659,3)</f>
        <v>671</v>
      </c>
      <c r="H1659" s="10" t="str">
        <f>IF(ROUND(D1659/$B$6,0)&gt;$B$7,"YES","NO")</f>
        <v>NO</v>
      </c>
    </row>
    <row r="1660" spans="1:8">
      <c r="A1660" s="8">
        <v>1650</v>
      </c>
      <c r="B1660" s="9">
        <f>D1659</f>
        <v>1932.421875</v>
      </c>
      <c r="C1660" s="9">
        <f>$B$6</f>
        <v>1.171875</v>
      </c>
      <c r="D1660" s="9">
        <f>B1660+C1660</f>
        <v>1933.59375</v>
      </c>
      <c r="E1660" s="8">
        <f>MIN($B$7,ROUND(D1660/$B$6,0))</f>
        <v>1650</v>
      </c>
      <c r="F1660" s="8" t="str">
        <f>DEC2BIN(INT(E1660/64),5)&amp;DEC2BIN(MOD(E1660,64),6)</f>
        <v>11001110010</v>
      </c>
      <c r="G1660" s="8" t="str">
        <f>DEC2HEX(E1660,3)</f>
        <v>672</v>
      </c>
      <c r="H1660" s="8" t="str">
        <f>IF(ROUND(D1660/$B$6,0)&gt;$B$7,"YES","NO")</f>
        <v>NO</v>
      </c>
    </row>
    <row r="1661" spans="1:8">
      <c r="A1661" s="10">
        <v>1651</v>
      </c>
      <c r="B1661" s="11">
        <f>D1660</f>
        <v>1933.59375</v>
      </c>
      <c r="C1661" s="11">
        <f>$B$6</f>
        <v>1.171875</v>
      </c>
      <c r="D1661" s="11">
        <f>B1661+C1661</f>
        <v>1934.765625</v>
      </c>
      <c r="E1661" s="10">
        <f>MIN($B$7,ROUND(D1661/$B$6,0))</f>
        <v>1651</v>
      </c>
      <c r="F1661" s="10" t="str">
        <f>DEC2BIN(INT(E1661/64),5)&amp;DEC2BIN(MOD(E1661,64),6)</f>
        <v>11001110011</v>
      </c>
      <c r="G1661" s="10" t="str">
        <f>DEC2HEX(E1661,3)</f>
        <v>673</v>
      </c>
      <c r="H1661" s="10" t="str">
        <f>IF(ROUND(D1661/$B$6,0)&gt;$B$7,"YES","NO")</f>
        <v>NO</v>
      </c>
    </row>
    <row r="1662" spans="1:8">
      <c r="A1662" s="8">
        <v>1652</v>
      </c>
      <c r="B1662" s="9">
        <f>D1661</f>
        <v>1934.765625</v>
      </c>
      <c r="C1662" s="9">
        <f>$B$6</f>
        <v>1.171875</v>
      </c>
      <c r="D1662" s="9">
        <f>B1662+C1662</f>
        <v>1935.9375</v>
      </c>
      <c r="E1662" s="8">
        <f>MIN($B$7,ROUND(D1662/$B$6,0))</f>
        <v>1652</v>
      </c>
      <c r="F1662" s="8" t="str">
        <f>DEC2BIN(INT(E1662/64),5)&amp;DEC2BIN(MOD(E1662,64),6)</f>
        <v>11001110100</v>
      </c>
      <c r="G1662" s="8" t="str">
        <f>DEC2HEX(E1662,3)</f>
        <v>674</v>
      </c>
      <c r="H1662" s="8" t="str">
        <f>IF(ROUND(D1662/$B$6,0)&gt;$B$7,"YES","NO")</f>
        <v>NO</v>
      </c>
    </row>
    <row r="1663" spans="1:8">
      <c r="A1663" s="10">
        <v>1653</v>
      </c>
      <c r="B1663" s="11">
        <f>D1662</f>
        <v>1935.9375</v>
      </c>
      <c r="C1663" s="11">
        <f>$B$6</f>
        <v>1.171875</v>
      </c>
      <c r="D1663" s="11">
        <f>B1663+C1663</f>
        <v>1937.109375</v>
      </c>
      <c r="E1663" s="10">
        <f>MIN($B$7,ROUND(D1663/$B$6,0))</f>
        <v>1653</v>
      </c>
      <c r="F1663" s="10" t="str">
        <f>DEC2BIN(INT(E1663/64),5)&amp;DEC2BIN(MOD(E1663,64),6)</f>
        <v>11001110101</v>
      </c>
      <c r="G1663" s="10" t="str">
        <f>DEC2HEX(E1663,3)</f>
        <v>675</v>
      </c>
      <c r="H1663" s="10" t="str">
        <f>IF(ROUND(D1663/$B$6,0)&gt;$B$7,"YES","NO")</f>
        <v>NO</v>
      </c>
    </row>
    <row r="1664" spans="1:8">
      <c r="A1664" s="8">
        <v>1654</v>
      </c>
      <c r="B1664" s="9">
        <f>D1663</f>
        <v>1937.109375</v>
      </c>
      <c r="C1664" s="9">
        <f>$B$6</f>
        <v>1.171875</v>
      </c>
      <c r="D1664" s="9">
        <f>B1664+C1664</f>
        <v>1938.28125</v>
      </c>
      <c r="E1664" s="8">
        <f>MIN($B$7,ROUND(D1664/$B$6,0))</f>
        <v>1654</v>
      </c>
      <c r="F1664" s="8" t="str">
        <f>DEC2BIN(INT(E1664/64),5)&amp;DEC2BIN(MOD(E1664,64),6)</f>
        <v>11001110110</v>
      </c>
      <c r="G1664" s="8" t="str">
        <f>DEC2HEX(E1664,3)</f>
        <v>676</v>
      </c>
      <c r="H1664" s="8" t="str">
        <f>IF(ROUND(D1664/$B$6,0)&gt;$B$7,"YES","NO")</f>
        <v>NO</v>
      </c>
    </row>
    <row r="1665" spans="1:8">
      <c r="A1665" s="10">
        <v>1655</v>
      </c>
      <c r="B1665" s="11">
        <f>D1664</f>
        <v>1938.28125</v>
      </c>
      <c r="C1665" s="11">
        <f>$B$6</f>
        <v>1.171875</v>
      </c>
      <c r="D1665" s="11">
        <f>B1665+C1665</f>
        <v>1939.453125</v>
      </c>
      <c r="E1665" s="10">
        <f>MIN($B$7,ROUND(D1665/$B$6,0))</f>
        <v>1655</v>
      </c>
      <c r="F1665" s="10" t="str">
        <f>DEC2BIN(INT(E1665/64),5)&amp;DEC2BIN(MOD(E1665,64),6)</f>
        <v>11001110111</v>
      </c>
      <c r="G1665" s="10" t="str">
        <f>DEC2HEX(E1665,3)</f>
        <v>677</v>
      </c>
      <c r="H1665" s="10" t="str">
        <f>IF(ROUND(D1665/$B$6,0)&gt;$B$7,"YES","NO")</f>
        <v>NO</v>
      </c>
    </row>
    <row r="1666" spans="1:8">
      <c r="A1666" s="8">
        <v>1656</v>
      </c>
      <c r="B1666" s="9">
        <f>D1665</f>
        <v>1939.453125</v>
      </c>
      <c r="C1666" s="9">
        <f>$B$6</f>
        <v>1.171875</v>
      </c>
      <c r="D1666" s="9">
        <f>B1666+C1666</f>
        <v>1940.625</v>
      </c>
      <c r="E1666" s="8">
        <f>MIN($B$7,ROUND(D1666/$B$6,0))</f>
        <v>1656</v>
      </c>
      <c r="F1666" s="8" t="str">
        <f>DEC2BIN(INT(E1666/64),5)&amp;DEC2BIN(MOD(E1666,64),6)</f>
        <v>11001111000</v>
      </c>
      <c r="G1666" s="8" t="str">
        <f>DEC2HEX(E1666,3)</f>
        <v>678</v>
      </c>
      <c r="H1666" s="8" t="str">
        <f>IF(ROUND(D1666/$B$6,0)&gt;$B$7,"YES","NO")</f>
        <v>NO</v>
      </c>
    </row>
    <row r="1667" spans="1:8">
      <c r="A1667" s="10">
        <v>1657</v>
      </c>
      <c r="B1667" s="11">
        <f>D1666</f>
        <v>1940.625</v>
      </c>
      <c r="C1667" s="11">
        <f>$B$6</f>
        <v>1.171875</v>
      </c>
      <c r="D1667" s="11">
        <f>B1667+C1667</f>
        <v>1941.796875</v>
      </c>
      <c r="E1667" s="10">
        <f>MIN($B$7,ROUND(D1667/$B$6,0))</f>
        <v>1657</v>
      </c>
      <c r="F1667" s="10" t="str">
        <f>DEC2BIN(INT(E1667/64),5)&amp;DEC2BIN(MOD(E1667,64),6)</f>
        <v>11001111001</v>
      </c>
      <c r="G1667" s="10" t="str">
        <f>DEC2HEX(E1667,3)</f>
        <v>679</v>
      </c>
      <c r="H1667" s="10" t="str">
        <f>IF(ROUND(D1667/$B$6,0)&gt;$B$7,"YES","NO")</f>
        <v>NO</v>
      </c>
    </row>
    <row r="1668" spans="1:8">
      <c r="A1668" s="8">
        <v>1658</v>
      </c>
      <c r="B1668" s="9">
        <f>D1667</f>
        <v>1941.796875</v>
      </c>
      <c r="C1668" s="9">
        <f>$B$6</f>
        <v>1.171875</v>
      </c>
      <c r="D1668" s="9">
        <f>B1668+C1668</f>
        <v>1942.96875</v>
      </c>
      <c r="E1668" s="8">
        <f>MIN($B$7,ROUND(D1668/$B$6,0))</f>
        <v>1658</v>
      </c>
      <c r="F1668" s="8" t="str">
        <f>DEC2BIN(INT(E1668/64),5)&amp;DEC2BIN(MOD(E1668,64),6)</f>
        <v>11001111010</v>
      </c>
      <c r="G1668" s="8" t="str">
        <f>DEC2HEX(E1668,3)</f>
        <v>67A</v>
      </c>
      <c r="H1668" s="8" t="str">
        <f>IF(ROUND(D1668/$B$6,0)&gt;$B$7,"YES","NO")</f>
        <v>NO</v>
      </c>
    </row>
    <row r="1669" spans="1:8">
      <c r="A1669" s="10">
        <v>1659</v>
      </c>
      <c r="B1669" s="11">
        <f>D1668</f>
        <v>1942.96875</v>
      </c>
      <c r="C1669" s="11">
        <f>$B$6</f>
        <v>1.171875</v>
      </c>
      <c r="D1669" s="11">
        <f>B1669+C1669</f>
        <v>1944.140625</v>
      </c>
      <c r="E1669" s="10">
        <f>MIN($B$7,ROUND(D1669/$B$6,0))</f>
        <v>1659</v>
      </c>
      <c r="F1669" s="10" t="str">
        <f>DEC2BIN(INT(E1669/64),5)&amp;DEC2BIN(MOD(E1669,64),6)</f>
        <v>11001111011</v>
      </c>
      <c r="G1669" s="10" t="str">
        <f>DEC2HEX(E1669,3)</f>
        <v>67B</v>
      </c>
      <c r="H1669" s="10" t="str">
        <f>IF(ROUND(D1669/$B$6,0)&gt;$B$7,"YES","NO")</f>
        <v>NO</v>
      </c>
    </row>
    <row r="1670" spans="1:8">
      <c r="A1670" s="8">
        <v>1660</v>
      </c>
      <c r="B1670" s="9">
        <f>D1669</f>
        <v>1944.140625</v>
      </c>
      <c r="C1670" s="9">
        <f>$B$6</f>
        <v>1.171875</v>
      </c>
      <c r="D1670" s="9">
        <f>B1670+C1670</f>
        <v>1945.3125</v>
      </c>
      <c r="E1670" s="8">
        <f>MIN($B$7,ROUND(D1670/$B$6,0))</f>
        <v>1660</v>
      </c>
      <c r="F1670" s="8" t="str">
        <f>DEC2BIN(INT(E1670/64),5)&amp;DEC2BIN(MOD(E1670,64),6)</f>
        <v>11001111100</v>
      </c>
      <c r="G1670" s="8" t="str">
        <f>DEC2HEX(E1670,3)</f>
        <v>67C</v>
      </c>
      <c r="H1670" s="8" t="str">
        <f>IF(ROUND(D1670/$B$6,0)&gt;$B$7,"YES","NO")</f>
        <v>NO</v>
      </c>
    </row>
    <row r="1671" spans="1:8">
      <c r="A1671" s="10">
        <v>1661</v>
      </c>
      <c r="B1671" s="11">
        <f>D1670</f>
        <v>1945.3125</v>
      </c>
      <c r="C1671" s="11">
        <f>$B$6</f>
        <v>1.171875</v>
      </c>
      <c r="D1671" s="11">
        <f>B1671+C1671</f>
        <v>1946.484375</v>
      </c>
      <c r="E1671" s="10">
        <f>MIN($B$7,ROUND(D1671/$B$6,0))</f>
        <v>1661</v>
      </c>
      <c r="F1671" s="10" t="str">
        <f>DEC2BIN(INT(E1671/64),5)&amp;DEC2BIN(MOD(E1671,64),6)</f>
        <v>11001111101</v>
      </c>
      <c r="G1671" s="10" t="str">
        <f>DEC2HEX(E1671,3)</f>
        <v>67D</v>
      </c>
      <c r="H1671" s="10" t="str">
        <f>IF(ROUND(D1671/$B$6,0)&gt;$B$7,"YES","NO")</f>
        <v>NO</v>
      </c>
    </row>
    <row r="1672" spans="1:8">
      <c r="A1672" s="8">
        <v>1662</v>
      </c>
      <c r="B1672" s="9">
        <f>D1671</f>
        <v>1946.484375</v>
      </c>
      <c r="C1672" s="9">
        <f>$B$6</f>
        <v>1.171875</v>
      </c>
      <c r="D1672" s="9">
        <f>B1672+C1672</f>
        <v>1947.65625</v>
      </c>
      <c r="E1672" s="8">
        <f>MIN($B$7,ROUND(D1672/$B$6,0))</f>
        <v>1662</v>
      </c>
      <c r="F1672" s="8" t="str">
        <f>DEC2BIN(INT(E1672/64),5)&amp;DEC2BIN(MOD(E1672,64),6)</f>
        <v>11001111110</v>
      </c>
      <c r="G1672" s="8" t="str">
        <f>DEC2HEX(E1672,3)</f>
        <v>67E</v>
      </c>
      <c r="H1672" s="8" t="str">
        <f>IF(ROUND(D1672/$B$6,0)&gt;$B$7,"YES","NO")</f>
        <v>NO</v>
      </c>
    </row>
    <row r="1673" spans="1:8">
      <c r="A1673" s="10">
        <v>1663</v>
      </c>
      <c r="B1673" s="11">
        <f>D1672</f>
        <v>1947.65625</v>
      </c>
      <c r="C1673" s="11">
        <f>$B$6</f>
        <v>1.171875</v>
      </c>
      <c r="D1673" s="11">
        <f>B1673+C1673</f>
        <v>1948.828125</v>
      </c>
      <c r="E1673" s="10">
        <f>MIN($B$7,ROUND(D1673/$B$6,0))</f>
        <v>1663</v>
      </c>
      <c r="F1673" s="10" t="str">
        <f>DEC2BIN(INT(E1673/64),5)&amp;DEC2BIN(MOD(E1673,64),6)</f>
        <v>11001111111</v>
      </c>
      <c r="G1673" s="10" t="str">
        <f>DEC2HEX(E1673,3)</f>
        <v>67F</v>
      </c>
      <c r="H1673" s="10" t="str">
        <f>IF(ROUND(D1673/$B$6,0)&gt;$B$7,"YES","NO")</f>
        <v>NO</v>
      </c>
    </row>
    <row r="1674" spans="1:8">
      <c r="A1674" s="8">
        <v>1664</v>
      </c>
      <c r="B1674" s="9">
        <f>D1673</f>
        <v>1948.828125</v>
      </c>
      <c r="C1674" s="9">
        <f>$B$6</f>
        <v>1.171875</v>
      </c>
      <c r="D1674" s="9">
        <f>B1674+C1674</f>
        <v>1950</v>
      </c>
      <c r="E1674" s="8">
        <f>MIN($B$7,ROUND(D1674/$B$6,0))</f>
        <v>1664</v>
      </c>
      <c r="F1674" s="8" t="str">
        <f>DEC2BIN(INT(E1674/64),5)&amp;DEC2BIN(MOD(E1674,64),6)</f>
        <v>11010000000</v>
      </c>
      <c r="G1674" s="8" t="str">
        <f>DEC2HEX(E1674,3)</f>
        <v>680</v>
      </c>
      <c r="H1674" s="8" t="str">
        <f>IF(ROUND(D1674/$B$6,0)&gt;$B$7,"YES","NO")</f>
        <v>NO</v>
      </c>
    </row>
    <row r="1675" spans="1:8">
      <c r="A1675" s="10">
        <v>1665</v>
      </c>
      <c r="B1675" s="11">
        <f>D1674</f>
        <v>1950</v>
      </c>
      <c r="C1675" s="11">
        <f>$B$6</f>
        <v>1.171875</v>
      </c>
      <c r="D1675" s="11">
        <f>B1675+C1675</f>
        <v>1951.171875</v>
      </c>
      <c r="E1675" s="10">
        <f>MIN($B$7,ROUND(D1675/$B$6,0))</f>
        <v>1665</v>
      </c>
      <c r="F1675" s="10" t="str">
        <f>DEC2BIN(INT(E1675/64),5)&amp;DEC2BIN(MOD(E1675,64),6)</f>
        <v>11010000001</v>
      </c>
      <c r="G1675" s="10" t="str">
        <f>DEC2HEX(E1675,3)</f>
        <v>681</v>
      </c>
      <c r="H1675" s="10" t="str">
        <f>IF(ROUND(D1675/$B$6,0)&gt;$B$7,"YES","NO")</f>
        <v>NO</v>
      </c>
    </row>
    <row r="1676" spans="1:8">
      <c r="A1676" s="8">
        <v>1666</v>
      </c>
      <c r="B1676" s="9">
        <f>D1675</f>
        <v>1951.171875</v>
      </c>
      <c r="C1676" s="9">
        <f>$B$6</f>
        <v>1.171875</v>
      </c>
      <c r="D1676" s="9">
        <f>B1676+C1676</f>
        <v>1952.34375</v>
      </c>
      <c r="E1676" s="8">
        <f>MIN($B$7,ROUND(D1676/$B$6,0))</f>
        <v>1666</v>
      </c>
      <c r="F1676" s="8" t="str">
        <f>DEC2BIN(INT(E1676/64),5)&amp;DEC2BIN(MOD(E1676,64),6)</f>
        <v>11010000010</v>
      </c>
      <c r="G1676" s="8" t="str">
        <f>DEC2HEX(E1676,3)</f>
        <v>682</v>
      </c>
      <c r="H1676" s="8" t="str">
        <f>IF(ROUND(D1676/$B$6,0)&gt;$B$7,"YES","NO")</f>
        <v>NO</v>
      </c>
    </row>
    <row r="1677" spans="1:8">
      <c r="A1677" s="10">
        <v>1667</v>
      </c>
      <c r="B1677" s="11">
        <f>D1676</f>
        <v>1952.34375</v>
      </c>
      <c r="C1677" s="11">
        <f>$B$6</f>
        <v>1.171875</v>
      </c>
      <c r="D1677" s="11">
        <f>B1677+C1677</f>
        <v>1953.515625</v>
      </c>
      <c r="E1677" s="10">
        <f>MIN($B$7,ROUND(D1677/$B$6,0))</f>
        <v>1667</v>
      </c>
      <c r="F1677" s="10" t="str">
        <f>DEC2BIN(INT(E1677/64),5)&amp;DEC2BIN(MOD(E1677,64),6)</f>
        <v>11010000011</v>
      </c>
      <c r="G1677" s="10" t="str">
        <f>DEC2HEX(E1677,3)</f>
        <v>683</v>
      </c>
      <c r="H1677" s="10" t="str">
        <f>IF(ROUND(D1677/$B$6,0)&gt;$B$7,"YES","NO")</f>
        <v>NO</v>
      </c>
    </row>
    <row r="1678" spans="1:8">
      <c r="A1678" s="8">
        <v>1668</v>
      </c>
      <c r="B1678" s="9">
        <f>D1677</f>
        <v>1953.515625</v>
      </c>
      <c r="C1678" s="9">
        <f>$B$6</f>
        <v>1.171875</v>
      </c>
      <c r="D1678" s="9">
        <f>B1678+C1678</f>
        <v>1954.6875</v>
      </c>
      <c r="E1678" s="8">
        <f>MIN($B$7,ROUND(D1678/$B$6,0))</f>
        <v>1668</v>
      </c>
      <c r="F1678" s="8" t="str">
        <f>DEC2BIN(INT(E1678/64),5)&amp;DEC2BIN(MOD(E1678,64),6)</f>
        <v>11010000100</v>
      </c>
      <c r="G1678" s="8" t="str">
        <f>DEC2HEX(E1678,3)</f>
        <v>684</v>
      </c>
      <c r="H1678" s="8" t="str">
        <f>IF(ROUND(D1678/$B$6,0)&gt;$B$7,"YES","NO")</f>
        <v>NO</v>
      </c>
    </row>
    <row r="1679" spans="1:8">
      <c r="A1679" s="10">
        <v>1669</v>
      </c>
      <c r="B1679" s="11">
        <f>D1678</f>
        <v>1954.6875</v>
      </c>
      <c r="C1679" s="11">
        <f>$B$6</f>
        <v>1.171875</v>
      </c>
      <c r="D1679" s="11">
        <f>B1679+C1679</f>
        <v>1955.859375</v>
      </c>
      <c r="E1679" s="10">
        <f>MIN($B$7,ROUND(D1679/$B$6,0))</f>
        <v>1669</v>
      </c>
      <c r="F1679" s="10" t="str">
        <f>DEC2BIN(INT(E1679/64),5)&amp;DEC2BIN(MOD(E1679,64),6)</f>
        <v>11010000101</v>
      </c>
      <c r="G1679" s="10" t="str">
        <f>DEC2HEX(E1679,3)</f>
        <v>685</v>
      </c>
      <c r="H1679" s="10" t="str">
        <f>IF(ROUND(D1679/$B$6,0)&gt;$B$7,"YES","NO")</f>
        <v>NO</v>
      </c>
    </row>
    <row r="1680" spans="1:8">
      <c r="A1680" s="8">
        <v>1670</v>
      </c>
      <c r="B1680" s="9">
        <f>D1679</f>
        <v>1955.859375</v>
      </c>
      <c r="C1680" s="9">
        <f>$B$6</f>
        <v>1.171875</v>
      </c>
      <c r="D1680" s="9">
        <f>B1680+C1680</f>
        <v>1957.03125</v>
      </c>
      <c r="E1680" s="8">
        <f>MIN($B$7,ROUND(D1680/$B$6,0))</f>
        <v>1670</v>
      </c>
      <c r="F1680" s="8" t="str">
        <f>DEC2BIN(INT(E1680/64),5)&amp;DEC2BIN(MOD(E1680,64),6)</f>
        <v>11010000110</v>
      </c>
      <c r="G1680" s="8" t="str">
        <f>DEC2HEX(E1680,3)</f>
        <v>686</v>
      </c>
      <c r="H1680" s="8" t="str">
        <f>IF(ROUND(D1680/$B$6,0)&gt;$B$7,"YES","NO")</f>
        <v>NO</v>
      </c>
    </row>
    <row r="1681" spans="1:8">
      <c r="A1681" s="10">
        <v>1671</v>
      </c>
      <c r="B1681" s="11">
        <f>D1680</f>
        <v>1957.03125</v>
      </c>
      <c r="C1681" s="11">
        <f>$B$6</f>
        <v>1.171875</v>
      </c>
      <c r="D1681" s="11">
        <f>B1681+C1681</f>
        <v>1958.203125</v>
      </c>
      <c r="E1681" s="10">
        <f>MIN($B$7,ROUND(D1681/$B$6,0))</f>
        <v>1671</v>
      </c>
      <c r="F1681" s="10" t="str">
        <f>DEC2BIN(INT(E1681/64),5)&amp;DEC2BIN(MOD(E1681,64),6)</f>
        <v>11010000111</v>
      </c>
      <c r="G1681" s="10" t="str">
        <f>DEC2HEX(E1681,3)</f>
        <v>687</v>
      </c>
      <c r="H1681" s="10" t="str">
        <f>IF(ROUND(D1681/$B$6,0)&gt;$B$7,"YES","NO")</f>
        <v>NO</v>
      </c>
    </row>
    <row r="1682" spans="1:8">
      <c r="A1682" s="8">
        <v>1672</v>
      </c>
      <c r="B1682" s="9">
        <f>D1681</f>
        <v>1958.203125</v>
      </c>
      <c r="C1682" s="9">
        <f>$B$6</f>
        <v>1.171875</v>
      </c>
      <c r="D1682" s="9">
        <f>B1682+C1682</f>
        <v>1959.375</v>
      </c>
      <c r="E1682" s="8">
        <f>MIN($B$7,ROUND(D1682/$B$6,0))</f>
        <v>1672</v>
      </c>
      <c r="F1682" s="8" t="str">
        <f>DEC2BIN(INT(E1682/64),5)&amp;DEC2BIN(MOD(E1682,64),6)</f>
        <v>11010001000</v>
      </c>
      <c r="G1682" s="8" t="str">
        <f>DEC2HEX(E1682,3)</f>
        <v>688</v>
      </c>
      <c r="H1682" s="8" t="str">
        <f>IF(ROUND(D1682/$B$6,0)&gt;$B$7,"YES","NO")</f>
        <v>NO</v>
      </c>
    </row>
    <row r="1683" spans="1:8">
      <c r="A1683" s="10">
        <v>1673</v>
      </c>
      <c r="B1683" s="11">
        <f>D1682</f>
        <v>1959.375</v>
      </c>
      <c r="C1683" s="11">
        <f>$B$6</f>
        <v>1.171875</v>
      </c>
      <c r="D1683" s="11">
        <f>B1683+C1683</f>
        <v>1960.546875</v>
      </c>
      <c r="E1683" s="10">
        <f>MIN($B$7,ROUND(D1683/$B$6,0))</f>
        <v>1673</v>
      </c>
      <c r="F1683" s="10" t="str">
        <f>DEC2BIN(INT(E1683/64),5)&amp;DEC2BIN(MOD(E1683,64),6)</f>
        <v>11010001001</v>
      </c>
      <c r="G1683" s="10" t="str">
        <f>DEC2HEX(E1683,3)</f>
        <v>689</v>
      </c>
      <c r="H1683" s="10" t="str">
        <f>IF(ROUND(D1683/$B$6,0)&gt;$B$7,"YES","NO")</f>
        <v>NO</v>
      </c>
    </row>
    <row r="1684" spans="1:8">
      <c r="A1684" s="8">
        <v>1674</v>
      </c>
      <c r="B1684" s="9">
        <f>D1683</f>
        <v>1960.546875</v>
      </c>
      <c r="C1684" s="9">
        <f>$B$6</f>
        <v>1.171875</v>
      </c>
      <c r="D1684" s="9">
        <f>B1684+C1684</f>
        <v>1961.71875</v>
      </c>
      <c r="E1684" s="8">
        <f>MIN($B$7,ROUND(D1684/$B$6,0))</f>
        <v>1674</v>
      </c>
      <c r="F1684" s="8" t="str">
        <f>DEC2BIN(INT(E1684/64),5)&amp;DEC2BIN(MOD(E1684,64),6)</f>
        <v>11010001010</v>
      </c>
      <c r="G1684" s="8" t="str">
        <f>DEC2HEX(E1684,3)</f>
        <v>68A</v>
      </c>
      <c r="H1684" s="8" t="str">
        <f>IF(ROUND(D1684/$B$6,0)&gt;$B$7,"YES","NO")</f>
        <v>NO</v>
      </c>
    </row>
    <row r="1685" spans="1:8">
      <c r="A1685" s="10">
        <v>1675</v>
      </c>
      <c r="B1685" s="11">
        <f>D1684</f>
        <v>1961.71875</v>
      </c>
      <c r="C1685" s="11">
        <f>$B$6</f>
        <v>1.171875</v>
      </c>
      <c r="D1685" s="11">
        <f>B1685+C1685</f>
        <v>1962.890625</v>
      </c>
      <c r="E1685" s="10">
        <f>MIN($B$7,ROUND(D1685/$B$6,0))</f>
        <v>1675</v>
      </c>
      <c r="F1685" s="10" t="str">
        <f>DEC2BIN(INT(E1685/64),5)&amp;DEC2BIN(MOD(E1685,64),6)</f>
        <v>11010001011</v>
      </c>
      <c r="G1685" s="10" t="str">
        <f>DEC2HEX(E1685,3)</f>
        <v>68B</v>
      </c>
      <c r="H1685" s="10" t="str">
        <f>IF(ROUND(D1685/$B$6,0)&gt;$B$7,"YES","NO")</f>
        <v>NO</v>
      </c>
    </row>
    <row r="1686" spans="1:8">
      <c r="A1686" s="8">
        <v>1676</v>
      </c>
      <c r="B1686" s="9">
        <f>D1685</f>
        <v>1962.890625</v>
      </c>
      <c r="C1686" s="9">
        <f>$B$6</f>
        <v>1.171875</v>
      </c>
      <c r="D1686" s="9">
        <f>B1686+C1686</f>
        <v>1964.0625</v>
      </c>
      <c r="E1686" s="8">
        <f>MIN($B$7,ROUND(D1686/$B$6,0))</f>
        <v>1676</v>
      </c>
      <c r="F1686" s="8" t="str">
        <f>DEC2BIN(INT(E1686/64),5)&amp;DEC2BIN(MOD(E1686,64),6)</f>
        <v>11010001100</v>
      </c>
      <c r="G1686" s="8" t="str">
        <f>DEC2HEX(E1686,3)</f>
        <v>68C</v>
      </c>
      <c r="H1686" s="8" t="str">
        <f>IF(ROUND(D1686/$B$6,0)&gt;$B$7,"YES","NO")</f>
        <v>NO</v>
      </c>
    </row>
    <row r="1687" spans="1:8">
      <c r="A1687" s="10">
        <v>1677</v>
      </c>
      <c r="B1687" s="11">
        <f>D1686</f>
        <v>1964.0625</v>
      </c>
      <c r="C1687" s="11">
        <f>$B$6</f>
        <v>1.171875</v>
      </c>
      <c r="D1687" s="11">
        <f>B1687+C1687</f>
        <v>1965.234375</v>
      </c>
      <c r="E1687" s="10">
        <f>MIN($B$7,ROUND(D1687/$B$6,0))</f>
        <v>1677</v>
      </c>
      <c r="F1687" s="10" t="str">
        <f>DEC2BIN(INT(E1687/64),5)&amp;DEC2BIN(MOD(E1687,64),6)</f>
        <v>11010001101</v>
      </c>
      <c r="G1687" s="10" t="str">
        <f>DEC2HEX(E1687,3)</f>
        <v>68D</v>
      </c>
      <c r="H1687" s="10" t="str">
        <f>IF(ROUND(D1687/$B$6,0)&gt;$B$7,"YES","NO")</f>
        <v>NO</v>
      </c>
    </row>
    <row r="1688" spans="1:8">
      <c r="A1688" s="8">
        <v>1678</v>
      </c>
      <c r="B1688" s="9">
        <f>D1687</f>
        <v>1965.234375</v>
      </c>
      <c r="C1688" s="9">
        <f>$B$6</f>
        <v>1.171875</v>
      </c>
      <c r="D1688" s="9">
        <f>B1688+C1688</f>
        <v>1966.40625</v>
      </c>
      <c r="E1688" s="8">
        <f>MIN($B$7,ROUND(D1688/$B$6,0))</f>
        <v>1678</v>
      </c>
      <c r="F1688" s="8" t="str">
        <f>DEC2BIN(INT(E1688/64),5)&amp;DEC2BIN(MOD(E1688,64),6)</f>
        <v>11010001110</v>
      </c>
      <c r="G1688" s="8" t="str">
        <f>DEC2HEX(E1688,3)</f>
        <v>68E</v>
      </c>
      <c r="H1688" s="8" t="str">
        <f>IF(ROUND(D1688/$B$6,0)&gt;$B$7,"YES","NO")</f>
        <v>NO</v>
      </c>
    </row>
    <row r="1689" spans="1:8">
      <c r="A1689" s="10">
        <v>1679</v>
      </c>
      <c r="B1689" s="11">
        <f>D1688</f>
        <v>1966.40625</v>
      </c>
      <c r="C1689" s="11">
        <f>$B$6</f>
        <v>1.171875</v>
      </c>
      <c r="D1689" s="11">
        <f>B1689+C1689</f>
        <v>1967.578125</v>
      </c>
      <c r="E1689" s="10">
        <f>MIN($B$7,ROUND(D1689/$B$6,0))</f>
        <v>1679</v>
      </c>
      <c r="F1689" s="10" t="str">
        <f>DEC2BIN(INT(E1689/64),5)&amp;DEC2BIN(MOD(E1689,64),6)</f>
        <v>11010001111</v>
      </c>
      <c r="G1689" s="10" t="str">
        <f>DEC2HEX(E1689,3)</f>
        <v>68F</v>
      </c>
      <c r="H1689" s="10" t="str">
        <f>IF(ROUND(D1689/$B$6,0)&gt;$B$7,"YES","NO")</f>
        <v>NO</v>
      </c>
    </row>
    <row r="1690" spans="1:8">
      <c r="A1690" s="8">
        <v>1680</v>
      </c>
      <c r="B1690" s="9">
        <f>D1689</f>
        <v>1967.578125</v>
      </c>
      <c r="C1690" s="9">
        <f>$B$6</f>
        <v>1.171875</v>
      </c>
      <c r="D1690" s="9">
        <f>B1690+C1690</f>
        <v>1968.75</v>
      </c>
      <c r="E1690" s="8">
        <f>MIN($B$7,ROUND(D1690/$B$6,0))</f>
        <v>1680</v>
      </c>
      <c r="F1690" s="8" t="str">
        <f>DEC2BIN(INT(E1690/64),5)&amp;DEC2BIN(MOD(E1690,64),6)</f>
        <v>11010010000</v>
      </c>
      <c r="G1690" s="8" t="str">
        <f>DEC2HEX(E1690,3)</f>
        <v>690</v>
      </c>
      <c r="H1690" s="8" t="str">
        <f>IF(ROUND(D1690/$B$6,0)&gt;$B$7,"YES","NO")</f>
        <v>NO</v>
      </c>
    </row>
    <row r="1691" spans="1:8">
      <c r="A1691" s="10">
        <v>1681</v>
      </c>
      <c r="B1691" s="11">
        <f>D1690</f>
        <v>1968.75</v>
      </c>
      <c r="C1691" s="11">
        <f>$B$6</f>
        <v>1.171875</v>
      </c>
      <c r="D1691" s="11">
        <f>B1691+C1691</f>
        <v>1969.921875</v>
      </c>
      <c r="E1691" s="10">
        <f>MIN($B$7,ROUND(D1691/$B$6,0))</f>
        <v>1681</v>
      </c>
      <c r="F1691" s="10" t="str">
        <f>DEC2BIN(INT(E1691/64),5)&amp;DEC2BIN(MOD(E1691,64),6)</f>
        <v>11010010001</v>
      </c>
      <c r="G1691" s="10" t="str">
        <f>DEC2HEX(E1691,3)</f>
        <v>691</v>
      </c>
      <c r="H1691" s="10" t="str">
        <f>IF(ROUND(D1691/$B$6,0)&gt;$B$7,"YES","NO")</f>
        <v>NO</v>
      </c>
    </row>
    <row r="1692" spans="1:8">
      <c r="A1692" s="8">
        <v>1682</v>
      </c>
      <c r="B1692" s="9">
        <f>D1691</f>
        <v>1969.921875</v>
      </c>
      <c r="C1692" s="9">
        <f>$B$6</f>
        <v>1.171875</v>
      </c>
      <c r="D1692" s="9">
        <f>B1692+C1692</f>
        <v>1971.09375</v>
      </c>
      <c r="E1692" s="8">
        <f>MIN($B$7,ROUND(D1692/$B$6,0))</f>
        <v>1682</v>
      </c>
      <c r="F1692" s="8" t="str">
        <f>DEC2BIN(INT(E1692/64),5)&amp;DEC2BIN(MOD(E1692,64),6)</f>
        <v>11010010010</v>
      </c>
      <c r="G1692" s="8" t="str">
        <f>DEC2HEX(E1692,3)</f>
        <v>692</v>
      </c>
      <c r="H1692" s="8" t="str">
        <f>IF(ROUND(D1692/$B$6,0)&gt;$B$7,"YES","NO")</f>
        <v>NO</v>
      </c>
    </row>
    <row r="1693" spans="1:8">
      <c r="A1693" s="10">
        <v>1683</v>
      </c>
      <c r="B1693" s="11">
        <f>D1692</f>
        <v>1971.09375</v>
      </c>
      <c r="C1693" s="11">
        <f>$B$6</f>
        <v>1.171875</v>
      </c>
      <c r="D1693" s="11">
        <f>B1693+C1693</f>
        <v>1972.265625</v>
      </c>
      <c r="E1693" s="10">
        <f>MIN($B$7,ROUND(D1693/$B$6,0))</f>
        <v>1683</v>
      </c>
      <c r="F1693" s="10" t="str">
        <f>DEC2BIN(INT(E1693/64),5)&amp;DEC2BIN(MOD(E1693,64),6)</f>
        <v>11010010011</v>
      </c>
      <c r="G1693" s="10" t="str">
        <f>DEC2HEX(E1693,3)</f>
        <v>693</v>
      </c>
      <c r="H1693" s="10" t="str">
        <f>IF(ROUND(D1693/$B$6,0)&gt;$B$7,"YES","NO")</f>
        <v>NO</v>
      </c>
    </row>
    <row r="1694" spans="1:8">
      <c r="A1694" s="8">
        <v>1684</v>
      </c>
      <c r="B1694" s="9">
        <f>D1693</f>
        <v>1972.265625</v>
      </c>
      <c r="C1694" s="9">
        <f>$B$6</f>
        <v>1.171875</v>
      </c>
      <c r="D1694" s="9">
        <f>B1694+C1694</f>
        <v>1973.4375</v>
      </c>
      <c r="E1694" s="8">
        <f>MIN($B$7,ROUND(D1694/$B$6,0))</f>
        <v>1684</v>
      </c>
      <c r="F1694" s="8" t="str">
        <f>DEC2BIN(INT(E1694/64),5)&amp;DEC2BIN(MOD(E1694,64),6)</f>
        <v>11010010100</v>
      </c>
      <c r="G1694" s="8" t="str">
        <f>DEC2HEX(E1694,3)</f>
        <v>694</v>
      </c>
      <c r="H1694" s="8" t="str">
        <f>IF(ROUND(D1694/$B$6,0)&gt;$B$7,"YES","NO")</f>
        <v>NO</v>
      </c>
    </row>
    <row r="1695" spans="1:8">
      <c r="A1695" s="10">
        <v>1685</v>
      </c>
      <c r="B1695" s="11">
        <f>D1694</f>
        <v>1973.4375</v>
      </c>
      <c r="C1695" s="11">
        <f>$B$6</f>
        <v>1.171875</v>
      </c>
      <c r="D1695" s="11">
        <f>B1695+C1695</f>
        <v>1974.609375</v>
      </c>
      <c r="E1695" s="10">
        <f>MIN($B$7,ROUND(D1695/$B$6,0))</f>
        <v>1685</v>
      </c>
      <c r="F1695" s="10" t="str">
        <f>DEC2BIN(INT(E1695/64),5)&amp;DEC2BIN(MOD(E1695,64),6)</f>
        <v>11010010101</v>
      </c>
      <c r="G1695" s="10" t="str">
        <f>DEC2HEX(E1695,3)</f>
        <v>695</v>
      </c>
      <c r="H1695" s="10" t="str">
        <f>IF(ROUND(D1695/$B$6,0)&gt;$B$7,"YES","NO")</f>
        <v>NO</v>
      </c>
    </row>
    <row r="1696" spans="1:8">
      <c r="A1696" s="8">
        <v>1686</v>
      </c>
      <c r="B1696" s="9">
        <f>D1695</f>
        <v>1974.609375</v>
      </c>
      <c r="C1696" s="9">
        <f>$B$6</f>
        <v>1.171875</v>
      </c>
      <c r="D1696" s="9">
        <f>B1696+C1696</f>
        <v>1975.78125</v>
      </c>
      <c r="E1696" s="8">
        <f>MIN($B$7,ROUND(D1696/$B$6,0))</f>
        <v>1686</v>
      </c>
      <c r="F1696" s="8" t="str">
        <f>DEC2BIN(INT(E1696/64),5)&amp;DEC2BIN(MOD(E1696,64),6)</f>
        <v>11010010110</v>
      </c>
      <c r="G1696" s="8" t="str">
        <f>DEC2HEX(E1696,3)</f>
        <v>696</v>
      </c>
      <c r="H1696" s="8" t="str">
        <f>IF(ROUND(D1696/$B$6,0)&gt;$B$7,"YES","NO")</f>
        <v>NO</v>
      </c>
    </row>
    <row r="1697" spans="1:8">
      <c r="A1697" s="10">
        <v>1687</v>
      </c>
      <c r="B1697" s="11">
        <f>D1696</f>
        <v>1975.78125</v>
      </c>
      <c r="C1697" s="11">
        <f>$B$6</f>
        <v>1.171875</v>
      </c>
      <c r="D1697" s="11">
        <f>B1697+C1697</f>
        <v>1976.953125</v>
      </c>
      <c r="E1697" s="10">
        <f>MIN($B$7,ROUND(D1697/$B$6,0))</f>
        <v>1687</v>
      </c>
      <c r="F1697" s="10" t="str">
        <f>DEC2BIN(INT(E1697/64),5)&amp;DEC2BIN(MOD(E1697,64),6)</f>
        <v>11010010111</v>
      </c>
      <c r="G1697" s="10" t="str">
        <f>DEC2HEX(E1697,3)</f>
        <v>697</v>
      </c>
      <c r="H1697" s="10" t="str">
        <f>IF(ROUND(D1697/$B$6,0)&gt;$B$7,"YES","NO")</f>
        <v>NO</v>
      </c>
    </row>
    <row r="1698" spans="1:8">
      <c r="A1698" s="8">
        <v>1688</v>
      </c>
      <c r="B1698" s="9">
        <f>D1697</f>
        <v>1976.953125</v>
      </c>
      <c r="C1698" s="9">
        <f>$B$6</f>
        <v>1.171875</v>
      </c>
      <c r="D1698" s="9">
        <f>B1698+C1698</f>
        <v>1978.125</v>
      </c>
      <c r="E1698" s="8">
        <f>MIN($B$7,ROUND(D1698/$B$6,0))</f>
        <v>1688</v>
      </c>
      <c r="F1698" s="8" t="str">
        <f>DEC2BIN(INT(E1698/64),5)&amp;DEC2BIN(MOD(E1698,64),6)</f>
        <v>11010011000</v>
      </c>
      <c r="G1698" s="8" t="str">
        <f>DEC2HEX(E1698,3)</f>
        <v>698</v>
      </c>
      <c r="H1698" s="8" t="str">
        <f>IF(ROUND(D1698/$B$6,0)&gt;$B$7,"YES","NO")</f>
        <v>NO</v>
      </c>
    </row>
    <row r="1699" spans="1:8">
      <c r="A1699" s="10">
        <v>1689</v>
      </c>
      <c r="B1699" s="11">
        <f>D1698</f>
        <v>1978.125</v>
      </c>
      <c r="C1699" s="11">
        <f>$B$6</f>
        <v>1.171875</v>
      </c>
      <c r="D1699" s="11">
        <f>B1699+C1699</f>
        <v>1979.296875</v>
      </c>
      <c r="E1699" s="10">
        <f>MIN($B$7,ROUND(D1699/$B$6,0))</f>
        <v>1689</v>
      </c>
      <c r="F1699" s="10" t="str">
        <f>DEC2BIN(INT(E1699/64),5)&amp;DEC2BIN(MOD(E1699,64),6)</f>
        <v>11010011001</v>
      </c>
      <c r="G1699" s="10" t="str">
        <f>DEC2HEX(E1699,3)</f>
        <v>699</v>
      </c>
      <c r="H1699" s="10" t="str">
        <f>IF(ROUND(D1699/$B$6,0)&gt;$B$7,"YES","NO")</f>
        <v>NO</v>
      </c>
    </row>
    <row r="1700" spans="1:8">
      <c r="A1700" s="8">
        <v>1690</v>
      </c>
      <c r="B1700" s="9">
        <f>D1699</f>
        <v>1979.296875</v>
      </c>
      <c r="C1700" s="9">
        <f>$B$6</f>
        <v>1.171875</v>
      </c>
      <c r="D1700" s="9">
        <f>B1700+C1700</f>
        <v>1980.46875</v>
      </c>
      <c r="E1700" s="8">
        <f>MIN($B$7,ROUND(D1700/$B$6,0))</f>
        <v>1690</v>
      </c>
      <c r="F1700" s="8" t="str">
        <f>DEC2BIN(INT(E1700/64),5)&amp;DEC2BIN(MOD(E1700,64),6)</f>
        <v>11010011010</v>
      </c>
      <c r="G1700" s="8" t="str">
        <f>DEC2HEX(E1700,3)</f>
        <v>69A</v>
      </c>
      <c r="H1700" s="8" t="str">
        <f>IF(ROUND(D1700/$B$6,0)&gt;$B$7,"YES","NO")</f>
        <v>NO</v>
      </c>
    </row>
    <row r="1701" spans="1:8">
      <c r="A1701" s="10">
        <v>1691</v>
      </c>
      <c r="B1701" s="11">
        <f>D1700</f>
        <v>1980.46875</v>
      </c>
      <c r="C1701" s="11">
        <f>$B$6</f>
        <v>1.171875</v>
      </c>
      <c r="D1701" s="11">
        <f>B1701+C1701</f>
        <v>1981.640625</v>
      </c>
      <c r="E1701" s="10">
        <f>MIN($B$7,ROUND(D1701/$B$6,0))</f>
        <v>1691</v>
      </c>
      <c r="F1701" s="10" t="str">
        <f>DEC2BIN(INT(E1701/64),5)&amp;DEC2BIN(MOD(E1701,64),6)</f>
        <v>11010011011</v>
      </c>
      <c r="G1701" s="10" t="str">
        <f>DEC2HEX(E1701,3)</f>
        <v>69B</v>
      </c>
      <c r="H1701" s="10" t="str">
        <f>IF(ROUND(D1701/$B$6,0)&gt;$B$7,"YES","NO")</f>
        <v>NO</v>
      </c>
    </row>
    <row r="1702" spans="1:8">
      <c r="A1702" s="8">
        <v>1692</v>
      </c>
      <c r="B1702" s="9">
        <f>D1701</f>
        <v>1981.640625</v>
      </c>
      <c r="C1702" s="9">
        <f>$B$6</f>
        <v>1.171875</v>
      </c>
      <c r="D1702" s="9">
        <f>B1702+C1702</f>
        <v>1982.8125</v>
      </c>
      <c r="E1702" s="8">
        <f>MIN($B$7,ROUND(D1702/$B$6,0))</f>
        <v>1692</v>
      </c>
      <c r="F1702" s="8" t="str">
        <f>DEC2BIN(INT(E1702/64),5)&amp;DEC2BIN(MOD(E1702,64),6)</f>
        <v>11010011100</v>
      </c>
      <c r="G1702" s="8" t="str">
        <f>DEC2HEX(E1702,3)</f>
        <v>69C</v>
      </c>
      <c r="H1702" s="8" t="str">
        <f>IF(ROUND(D1702/$B$6,0)&gt;$B$7,"YES","NO")</f>
        <v>NO</v>
      </c>
    </row>
    <row r="1703" spans="1:8">
      <c r="A1703" s="10">
        <v>1693</v>
      </c>
      <c r="B1703" s="11">
        <f>D1702</f>
        <v>1982.8125</v>
      </c>
      <c r="C1703" s="11">
        <f>$B$6</f>
        <v>1.171875</v>
      </c>
      <c r="D1703" s="11">
        <f>B1703+C1703</f>
        <v>1983.984375</v>
      </c>
      <c r="E1703" s="10">
        <f>MIN($B$7,ROUND(D1703/$B$6,0))</f>
        <v>1693</v>
      </c>
      <c r="F1703" s="10" t="str">
        <f>DEC2BIN(INT(E1703/64),5)&amp;DEC2BIN(MOD(E1703,64),6)</f>
        <v>11010011101</v>
      </c>
      <c r="G1703" s="10" t="str">
        <f>DEC2HEX(E1703,3)</f>
        <v>69D</v>
      </c>
      <c r="H1703" s="10" t="str">
        <f>IF(ROUND(D1703/$B$6,0)&gt;$B$7,"YES","NO")</f>
        <v>NO</v>
      </c>
    </row>
    <row r="1704" spans="1:8">
      <c r="A1704" s="8">
        <v>1694</v>
      </c>
      <c r="B1704" s="9">
        <f>D1703</f>
        <v>1983.984375</v>
      </c>
      <c r="C1704" s="9">
        <f>$B$6</f>
        <v>1.171875</v>
      </c>
      <c r="D1704" s="9">
        <f>B1704+C1704</f>
        <v>1985.15625</v>
      </c>
      <c r="E1704" s="8">
        <f>MIN($B$7,ROUND(D1704/$B$6,0))</f>
        <v>1694</v>
      </c>
      <c r="F1704" s="8" t="str">
        <f>DEC2BIN(INT(E1704/64),5)&amp;DEC2BIN(MOD(E1704,64),6)</f>
        <v>11010011110</v>
      </c>
      <c r="G1704" s="8" t="str">
        <f>DEC2HEX(E1704,3)</f>
        <v>69E</v>
      </c>
      <c r="H1704" s="8" t="str">
        <f>IF(ROUND(D1704/$B$6,0)&gt;$B$7,"YES","NO")</f>
        <v>NO</v>
      </c>
    </row>
    <row r="1705" spans="1:8">
      <c r="A1705" s="10">
        <v>1695</v>
      </c>
      <c r="B1705" s="11">
        <f>D1704</f>
        <v>1985.15625</v>
      </c>
      <c r="C1705" s="11">
        <f>$B$6</f>
        <v>1.171875</v>
      </c>
      <c r="D1705" s="11">
        <f>B1705+C1705</f>
        <v>1986.328125</v>
      </c>
      <c r="E1705" s="10">
        <f>MIN($B$7,ROUND(D1705/$B$6,0))</f>
        <v>1695</v>
      </c>
      <c r="F1705" s="10" t="str">
        <f>DEC2BIN(INT(E1705/64),5)&amp;DEC2BIN(MOD(E1705,64),6)</f>
        <v>11010011111</v>
      </c>
      <c r="G1705" s="10" t="str">
        <f>DEC2HEX(E1705,3)</f>
        <v>69F</v>
      </c>
      <c r="H1705" s="10" t="str">
        <f>IF(ROUND(D1705/$B$6,0)&gt;$B$7,"YES","NO")</f>
        <v>NO</v>
      </c>
    </row>
    <row r="1706" spans="1:8">
      <c r="A1706" s="8">
        <v>1696</v>
      </c>
      <c r="B1706" s="9">
        <f>D1705</f>
        <v>1986.328125</v>
      </c>
      <c r="C1706" s="9">
        <f>$B$6</f>
        <v>1.171875</v>
      </c>
      <c r="D1706" s="9">
        <f>B1706+C1706</f>
        <v>1987.5</v>
      </c>
      <c r="E1706" s="8">
        <f>MIN($B$7,ROUND(D1706/$B$6,0))</f>
        <v>1696</v>
      </c>
      <c r="F1706" s="8" t="str">
        <f>DEC2BIN(INT(E1706/64),5)&amp;DEC2BIN(MOD(E1706,64),6)</f>
        <v>11010100000</v>
      </c>
      <c r="G1706" s="8" t="str">
        <f>DEC2HEX(E1706,3)</f>
        <v>6A0</v>
      </c>
      <c r="H1706" s="8" t="str">
        <f>IF(ROUND(D1706/$B$6,0)&gt;$B$7,"YES","NO")</f>
        <v>NO</v>
      </c>
    </row>
    <row r="1707" spans="1:8">
      <c r="A1707" s="10">
        <v>1697</v>
      </c>
      <c r="B1707" s="11">
        <f>D1706</f>
        <v>1987.5</v>
      </c>
      <c r="C1707" s="11">
        <f>$B$6</f>
        <v>1.171875</v>
      </c>
      <c r="D1707" s="11">
        <f>B1707+C1707</f>
        <v>1988.671875</v>
      </c>
      <c r="E1707" s="10">
        <f>MIN($B$7,ROUND(D1707/$B$6,0))</f>
        <v>1697</v>
      </c>
      <c r="F1707" s="10" t="str">
        <f>DEC2BIN(INT(E1707/64),5)&amp;DEC2BIN(MOD(E1707,64),6)</f>
        <v>11010100001</v>
      </c>
      <c r="G1707" s="10" t="str">
        <f>DEC2HEX(E1707,3)</f>
        <v>6A1</v>
      </c>
      <c r="H1707" s="10" t="str">
        <f>IF(ROUND(D1707/$B$6,0)&gt;$B$7,"YES","NO")</f>
        <v>NO</v>
      </c>
    </row>
    <row r="1708" spans="1:8">
      <c r="A1708" s="8">
        <v>1698</v>
      </c>
      <c r="B1708" s="9">
        <f>D1707</f>
        <v>1988.671875</v>
      </c>
      <c r="C1708" s="9">
        <f>$B$6</f>
        <v>1.171875</v>
      </c>
      <c r="D1708" s="9">
        <f>B1708+C1708</f>
        <v>1989.84375</v>
      </c>
      <c r="E1708" s="8">
        <f>MIN($B$7,ROUND(D1708/$B$6,0))</f>
        <v>1698</v>
      </c>
      <c r="F1708" s="8" t="str">
        <f>DEC2BIN(INT(E1708/64),5)&amp;DEC2BIN(MOD(E1708,64),6)</f>
        <v>11010100010</v>
      </c>
      <c r="G1708" s="8" t="str">
        <f>DEC2HEX(E1708,3)</f>
        <v>6A2</v>
      </c>
      <c r="H1708" s="8" t="str">
        <f>IF(ROUND(D1708/$B$6,0)&gt;$B$7,"YES","NO")</f>
        <v>NO</v>
      </c>
    </row>
    <row r="1709" spans="1:8">
      <c r="A1709" s="10">
        <v>1699</v>
      </c>
      <c r="B1709" s="11">
        <f>D1708</f>
        <v>1989.84375</v>
      </c>
      <c r="C1709" s="11">
        <f>$B$6</f>
        <v>1.171875</v>
      </c>
      <c r="D1709" s="11">
        <f>B1709+C1709</f>
        <v>1991.015625</v>
      </c>
      <c r="E1709" s="10">
        <f>MIN($B$7,ROUND(D1709/$B$6,0))</f>
        <v>1699</v>
      </c>
      <c r="F1709" s="10" t="str">
        <f>DEC2BIN(INT(E1709/64),5)&amp;DEC2BIN(MOD(E1709,64),6)</f>
        <v>11010100011</v>
      </c>
      <c r="G1709" s="10" t="str">
        <f>DEC2HEX(E1709,3)</f>
        <v>6A3</v>
      </c>
      <c r="H1709" s="10" t="str">
        <f>IF(ROUND(D1709/$B$6,0)&gt;$B$7,"YES","NO")</f>
        <v>NO</v>
      </c>
    </row>
    <row r="1710" spans="1:8">
      <c r="A1710" s="8">
        <v>1700</v>
      </c>
      <c r="B1710" s="9">
        <f>D1709</f>
        <v>1991.015625</v>
      </c>
      <c r="C1710" s="9">
        <f>$B$6</f>
        <v>1.171875</v>
      </c>
      <c r="D1710" s="9">
        <f>B1710+C1710</f>
        <v>1992.1875</v>
      </c>
      <c r="E1710" s="8">
        <f>MIN($B$7,ROUND(D1710/$B$6,0))</f>
        <v>1700</v>
      </c>
      <c r="F1710" s="8" t="str">
        <f>DEC2BIN(INT(E1710/64),5)&amp;DEC2BIN(MOD(E1710,64),6)</f>
        <v>11010100100</v>
      </c>
      <c r="G1710" s="8" t="str">
        <f>DEC2HEX(E1710,3)</f>
        <v>6A4</v>
      </c>
      <c r="H1710" s="8" t="str">
        <f>IF(ROUND(D1710/$B$6,0)&gt;$B$7,"YES","NO")</f>
        <v>NO</v>
      </c>
    </row>
    <row r="1711" spans="1:8">
      <c r="A1711" s="10">
        <v>1701</v>
      </c>
      <c r="B1711" s="11">
        <f>D1710</f>
        <v>1992.1875</v>
      </c>
      <c r="C1711" s="11">
        <f>$B$6</f>
        <v>1.171875</v>
      </c>
      <c r="D1711" s="11">
        <f>B1711+C1711</f>
        <v>1993.359375</v>
      </c>
      <c r="E1711" s="10">
        <f>MIN($B$7,ROUND(D1711/$B$6,0))</f>
        <v>1701</v>
      </c>
      <c r="F1711" s="10" t="str">
        <f>DEC2BIN(INT(E1711/64),5)&amp;DEC2BIN(MOD(E1711,64),6)</f>
        <v>11010100101</v>
      </c>
      <c r="G1711" s="10" t="str">
        <f>DEC2HEX(E1711,3)</f>
        <v>6A5</v>
      </c>
      <c r="H1711" s="10" t="str">
        <f>IF(ROUND(D1711/$B$6,0)&gt;$B$7,"YES","NO")</f>
        <v>NO</v>
      </c>
    </row>
    <row r="1712" spans="1:8">
      <c r="A1712" s="8">
        <v>1702</v>
      </c>
      <c r="B1712" s="9">
        <f>D1711</f>
        <v>1993.359375</v>
      </c>
      <c r="C1712" s="9">
        <f>$B$6</f>
        <v>1.171875</v>
      </c>
      <c r="D1712" s="9">
        <f>B1712+C1712</f>
        <v>1994.53125</v>
      </c>
      <c r="E1712" s="8">
        <f>MIN($B$7,ROUND(D1712/$B$6,0))</f>
        <v>1702</v>
      </c>
      <c r="F1712" s="8" t="str">
        <f>DEC2BIN(INT(E1712/64),5)&amp;DEC2BIN(MOD(E1712,64),6)</f>
        <v>11010100110</v>
      </c>
      <c r="G1712" s="8" t="str">
        <f>DEC2HEX(E1712,3)</f>
        <v>6A6</v>
      </c>
      <c r="H1712" s="8" t="str">
        <f>IF(ROUND(D1712/$B$6,0)&gt;$B$7,"YES","NO")</f>
        <v>NO</v>
      </c>
    </row>
    <row r="1713" spans="1:8">
      <c r="A1713" s="10">
        <v>1703</v>
      </c>
      <c r="B1713" s="11">
        <f>D1712</f>
        <v>1994.53125</v>
      </c>
      <c r="C1713" s="11">
        <f>$B$6</f>
        <v>1.171875</v>
      </c>
      <c r="D1713" s="11">
        <f>B1713+C1713</f>
        <v>1995.703125</v>
      </c>
      <c r="E1713" s="10">
        <f>MIN($B$7,ROUND(D1713/$B$6,0))</f>
        <v>1703</v>
      </c>
      <c r="F1713" s="10" t="str">
        <f>DEC2BIN(INT(E1713/64),5)&amp;DEC2BIN(MOD(E1713,64),6)</f>
        <v>11010100111</v>
      </c>
      <c r="G1713" s="10" t="str">
        <f>DEC2HEX(E1713,3)</f>
        <v>6A7</v>
      </c>
      <c r="H1713" s="10" t="str">
        <f>IF(ROUND(D1713/$B$6,0)&gt;$B$7,"YES","NO")</f>
        <v>NO</v>
      </c>
    </row>
    <row r="1714" spans="1:8">
      <c r="A1714" s="8">
        <v>1704</v>
      </c>
      <c r="B1714" s="9">
        <f>D1713</f>
        <v>1995.703125</v>
      </c>
      <c r="C1714" s="9">
        <f>$B$6</f>
        <v>1.171875</v>
      </c>
      <c r="D1714" s="9">
        <f>B1714+C1714</f>
        <v>1996.875</v>
      </c>
      <c r="E1714" s="8">
        <f>MIN($B$7,ROUND(D1714/$B$6,0))</f>
        <v>1704</v>
      </c>
      <c r="F1714" s="8" t="str">
        <f>DEC2BIN(INT(E1714/64),5)&amp;DEC2BIN(MOD(E1714,64),6)</f>
        <v>11010101000</v>
      </c>
      <c r="G1714" s="8" t="str">
        <f>DEC2HEX(E1714,3)</f>
        <v>6A8</v>
      </c>
      <c r="H1714" s="8" t="str">
        <f>IF(ROUND(D1714/$B$6,0)&gt;$B$7,"YES","NO")</f>
        <v>NO</v>
      </c>
    </row>
    <row r="1715" spans="1:8">
      <c r="A1715" s="10">
        <v>1705</v>
      </c>
      <c r="B1715" s="11">
        <f>D1714</f>
        <v>1996.875</v>
      </c>
      <c r="C1715" s="11">
        <f>$B$6</f>
        <v>1.171875</v>
      </c>
      <c r="D1715" s="11">
        <f>B1715+C1715</f>
        <v>1998.046875</v>
      </c>
      <c r="E1715" s="10">
        <f>MIN($B$7,ROUND(D1715/$B$6,0))</f>
        <v>1705</v>
      </c>
      <c r="F1715" s="10" t="str">
        <f>DEC2BIN(INT(E1715/64),5)&amp;DEC2BIN(MOD(E1715,64),6)</f>
        <v>11010101001</v>
      </c>
      <c r="G1715" s="10" t="str">
        <f>DEC2HEX(E1715,3)</f>
        <v>6A9</v>
      </c>
      <c r="H1715" s="10" t="str">
        <f>IF(ROUND(D1715/$B$6,0)&gt;$B$7,"YES","NO")</f>
        <v>NO</v>
      </c>
    </row>
    <row r="1716" spans="1:8">
      <c r="A1716" s="8">
        <v>1706</v>
      </c>
      <c r="B1716" s="9">
        <f>D1715</f>
        <v>1998.046875</v>
      </c>
      <c r="C1716" s="9">
        <f>$B$6</f>
        <v>1.171875</v>
      </c>
      <c r="D1716" s="9">
        <f>B1716+C1716</f>
        <v>1999.21875</v>
      </c>
      <c r="E1716" s="8">
        <f>MIN($B$7,ROUND(D1716/$B$6,0))</f>
        <v>1706</v>
      </c>
      <c r="F1716" s="8" t="str">
        <f>DEC2BIN(INT(E1716/64),5)&amp;DEC2BIN(MOD(E1716,64),6)</f>
        <v>11010101010</v>
      </c>
      <c r="G1716" s="8" t="str">
        <f>DEC2HEX(E1716,3)</f>
        <v>6AA</v>
      </c>
      <c r="H1716" s="8" t="str">
        <f>IF(ROUND(D1716/$B$6,0)&gt;$B$7,"YES","NO")</f>
        <v>NO</v>
      </c>
    </row>
    <row r="1717" spans="1:8">
      <c r="A1717" s="10">
        <v>1707</v>
      </c>
      <c r="B1717" s="11">
        <f>D1716</f>
        <v>1999.21875</v>
      </c>
      <c r="C1717" s="11">
        <f>$B$6</f>
        <v>1.171875</v>
      </c>
      <c r="D1717" s="11">
        <f>B1717+C1717</f>
        <v>2000.390625</v>
      </c>
      <c r="E1717" s="10">
        <f>MIN($B$7,ROUND(D1717/$B$6,0))</f>
        <v>1707</v>
      </c>
      <c r="F1717" s="10" t="str">
        <f>DEC2BIN(INT(E1717/64),5)&amp;DEC2BIN(MOD(E1717,64),6)</f>
        <v>11010101011</v>
      </c>
      <c r="G1717" s="10" t="str">
        <f>DEC2HEX(E1717,3)</f>
        <v>6AB</v>
      </c>
      <c r="H1717" s="10" t="str">
        <f>IF(ROUND(D1717/$B$6,0)&gt;$B$7,"YES","NO")</f>
        <v>NO</v>
      </c>
    </row>
    <row r="1718" spans="1:8">
      <c r="A1718" s="8">
        <v>1708</v>
      </c>
      <c r="B1718" s="9">
        <f>D1717</f>
        <v>2000.390625</v>
      </c>
      <c r="C1718" s="9">
        <f>$B$6</f>
        <v>1.171875</v>
      </c>
      <c r="D1718" s="9">
        <f>B1718+C1718</f>
        <v>2001.5625</v>
      </c>
      <c r="E1718" s="8">
        <f>MIN($B$7,ROUND(D1718/$B$6,0))</f>
        <v>1708</v>
      </c>
      <c r="F1718" s="8" t="str">
        <f>DEC2BIN(INT(E1718/64),5)&amp;DEC2BIN(MOD(E1718,64),6)</f>
        <v>11010101100</v>
      </c>
      <c r="G1718" s="8" t="str">
        <f>DEC2HEX(E1718,3)</f>
        <v>6AC</v>
      </c>
      <c r="H1718" s="8" t="str">
        <f>IF(ROUND(D1718/$B$6,0)&gt;$B$7,"YES","NO")</f>
        <v>NO</v>
      </c>
    </row>
    <row r="1719" spans="1:8">
      <c r="A1719" s="10">
        <v>1709</v>
      </c>
      <c r="B1719" s="11">
        <f>D1718</f>
        <v>2001.5625</v>
      </c>
      <c r="C1719" s="11">
        <f>$B$6</f>
        <v>1.171875</v>
      </c>
      <c r="D1719" s="11">
        <f>B1719+C1719</f>
        <v>2002.734375</v>
      </c>
      <c r="E1719" s="10">
        <f>MIN($B$7,ROUND(D1719/$B$6,0))</f>
        <v>1709</v>
      </c>
      <c r="F1719" s="10" t="str">
        <f>DEC2BIN(INT(E1719/64),5)&amp;DEC2BIN(MOD(E1719,64),6)</f>
        <v>11010101101</v>
      </c>
      <c r="G1719" s="10" t="str">
        <f>DEC2HEX(E1719,3)</f>
        <v>6AD</v>
      </c>
      <c r="H1719" s="10" t="str">
        <f>IF(ROUND(D1719/$B$6,0)&gt;$B$7,"YES","NO")</f>
        <v>NO</v>
      </c>
    </row>
    <row r="1720" spans="1:8">
      <c r="A1720" s="8">
        <v>1710</v>
      </c>
      <c r="B1720" s="9">
        <f>D1719</f>
        <v>2002.734375</v>
      </c>
      <c r="C1720" s="9">
        <f>$B$6</f>
        <v>1.171875</v>
      </c>
      <c r="D1720" s="9">
        <f>B1720+C1720</f>
        <v>2003.90625</v>
      </c>
      <c r="E1720" s="8">
        <f>MIN($B$7,ROUND(D1720/$B$6,0))</f>
        <v>1710</v>
      </c>
      <c r="F1720" s="8" t="str">
        <f>DEC2BIN(INT(E1720/64),5)&amp;DEC2BIN(MOD(E1720,64),6)</f>
        <v>11010101110</v>
      </c>
      <c r="G1720" s="8" t="str">
        <f>DEC2HEX(E1720,3)</f>
        <v>6AE</v>
      </c>
      <c r="H1720" s="8" t="str">
        <f>IF(ROUND(D1720/$B$6,0)&gt;$B$7,"YES","NO")</f>
        <v>NO</v>
      </c>
    </row>
    <row r="1721" spans="1:8">
      <c r="A1721" s="10">
        <v>1711</v>
      </c>
      <c r="B1721" s="11">
        <f>D1720</f>
        <v>2003.90625</v>
      </c>
      <c r="C1721" s="11">
        <f>$B$6</f>
        <v>1.171875</v>
      </c>
      <c r="D1721" s="11">
        <f>B1721+C1721</f>
        <v>2005.078125</v>
      </c>
      <c r="E1721" s="10">
        <f>MIN($B$7,ROUND(D1721/$B$6,0))</f>
        <v>1711</v>
      </c>
      <c r="F1721" s="10" t="str">
        <f>DEC2BIN(INT(E1721/64),5)&amp;DEC2BIN(MOD(E1721,64),6)</f>
        <v>11010101111</v>
      </c>
      <c r="G1721" s="10" t="str">
        <f>DEC2HEX(E1721,3)</f>
        <v>6AF</v>
      </c>
      <c r="H1721" s="10" t="str">
        <f>IF(ROUND(D1721/$B$6,0)&gt;$B$7,"YES","NO")</f>
        <v>NO</v>
      </c>
    </row>
    <row r="1722" spans="1:8">
      <c r="A1722" s="8">
        <v>1712</v>
      </c>
      <c r="B1722" s="9">
        <f>D1721</f>
        <v>2005.078125</v>
      </c>
      <c r="C1722" s="9">
        <f>$B$6</f>
        <v>1.171875</v>
      </c>
      <c r="D1722" s="9">
        <f>B1722+C1722</f>
        <v>2006.25</v>
      </c>
      <c r="E1722" s="8">
        <f>MIN($B$7,ROUND(D1722/$B$6,0))</f>
        <v>1712</v>
      </c>
      <c r="F1722" s="8" t="str">
        <f>DEC2BIN(INT(E1722/64),5)&amp;DEC2BIN(MOD(E1722,64),6)</f>
        <v>11010110000</v>
      </c>
      <c r="G1722" s="8" t="str">
        <f>DEC2HEX(E1722,3)</f>
        <v>6B0</v>
      </c>
      <c r="H1722" s="8" t="str">
        <f>IF(ROUND(D1722/$B$6,0)&gt;$B$7,"YES","NO")</f>
        <v>NO</v>
      </c>
    </row>
    <row r="1723" spans="1:8">
      <c r="A1723" s="10">
        <v>1713</v>
      </c>
      <c r="B1723" s="11">
        <f>D1722</f>
        <v>2006.25</v>
      </c>
      <c r="C1723" s="11">
        <f>$B$6</f>
        <v>1.171875</v>
      </c>
      <c r="D1723" s="11">
        <f>B1723+C1723</f>
        <v>2007.421875</v>
      </c>
      <c r="E1723" s="10">
        <f>MIN($B$7,ROUND(D1723/$B$6,0))</f>
        <v>1713</v>
      </c>
      <c r="F1723" s="10" t="str">
        <f>DEC2BIN(INT(E1723/64),5)&amp;DEC2BIN(MOD(E1723,64),6)</f>
        <v>11010110001</v>
      </c>
      <c r="G1723" s="10" t="str">
        <f>DEC2HEX(E1723,3)</f>
        <v>6B1</v>
      </c>
      <c r="H1723" s="10" t="str">
        <f>IF(ROUND(D1723/$B$6,0)&gt;$B$7,"YES","NO")</f>
        <v>NO</v>
      </c>
    </row>
    <row r="1724" spans="1:8">
      <c r="A1724" s="8">
        <v>1714</v>
      </c>
      <c r="B1724" s="9">
        <f>D1723</f>
        <v>2007.421875</v>
      </c>
      <c r="C1724" s="9">
        <f>$B$6</f>
        <v>1.171875</v>
      </c>
      <c r="D1724" s="9">
        <f>B1724+C1724</f>
        <v>2008.59375</v>
      </c>
      <c r="E1724" s="8">
        <f>MIN($B$7,ROUND(D1724/$B$6,0))</f>
        <v>1714</v>
      </c>
      <c r="F1724" s="8" t="str">
        <f>DEC2BIN(INT(E1724/64),5)&amp;DEC2BIN(MOD(E1724,64),6)</f>
        <v>11010110010</v>
      </c>
      <c r="G1724" s="8" t="str">
        <f>DEC2HEX(E1724,3)</f>
        <v>6B2</v>
      </c>
      <c r="H1724" s="8" t="str">
        <f>IF(ROUND(D1724/$B$6,0)&gt;$B$7,"YES","NO")</f>
        <v>NO</v>
      </c>
    </row>
    <row r="1725" spans="1:8">
      <c r="A1725" s="10">
        <v>1715</v>
      </c>
      <c r="B1725" s="11">
        <f>D1724</f>
        <v>2008.59375</v>
      </c>
      <c r="C1725" s="11">
        <f>$B$6</f>
        <v>1.171875</v>
      </c>
      <c r="D1725" s="11">
        <f>B1725+C1725</f>
        <v>2009.765625</v>
      </c>
      <c r="E1725" s="10">
        <f>MIN($B$7,ROUND(D1725/$B$6,0))</f>
        <v>1715</v>
      </c>
      <c r="F1725" s="10" t="str">
        <f>DEC2BIN(INT(E1725/64),5)&amp;DEC2BIN(MOD(E1725,64),6)</f>
        <v>11010110011</v>
      </c>
      <c r="G1725" s="10" t="str">
        <f>DEC2HEX(E1725,3)</f>
        <v>6B3</v>
      </c>
      <c r="H1725" s="10" t="str">
        <f>IF(ROUND(D1725/$B$6,0)&gt;$B$7,"YES","NO")</f>
        <v>NO</v>
      </c>
    </row>
    <row r="1726" spans="1:8">
      <c r="A1726" s="8">
        <v>1716</v>
      </c>
      <c r="B1726" s="9">
        <f>D1725</f>
        <v>2009.765625</v>
      </c>
      <c r="C1726" s="9">
        <f>$B$6</f>
        <v>1.171875</v>
      </c>
      <c r="D1726" s="9">
        <f>B1726+C1726</f>
        <v>2010.9375</v>
      </c>
      <c r="E1726" s="8">
        <f>MIN($B$7,ROUND(D1726/$B$6,0))</f>
        <v>1716</v>
      </c>
      <c r="F1726" s="8" t="str">
        <f>DEC2BIN(INT(E1726/64),5)&amp;DEC2BIN(MOD(E1726,64),6)</f>
        <v>11010110100</v>
      </c>
      <c r="G1726" s="8" t="str">
        <f>DEC2HEX(E1726,3)</f>
        <v>6B4</v>
      </c>
      <c r="H1726" s="8" t="str">
        <f>IF(ROUND(D1726/$B$6,0)&gt;$B$7,"YES","NO")</f>
        <v>NO</v>
      </c>
    </row>
    <row r="1727" spans="1:8">
      <c r="A1727" s="10">
        <v>1717</v>
      </c>
      <c r="B1727" s="11">
        <f>D1726</f>
        <v>2010.9375</v>
      </c>
      <c r="C1727" s="11">
        <f>$B$6</f>
        <v>1.171875</v>
      </c>
      <c r="D1727" s="11">
        <f>B1727+C1727</f>
        <v>2012.109375</v>
      </c>
      <c r="E1727" s="10">
        <f>MIN($B$7,ROUND(D1727/$B$6,0))</f>
        <v>1717</v>
      </c>
      <c r="F1727" s="10" t="str">
        <f>DEC2BIN(INT(E1727/64),5)&amp;DEC2BIN(MOD(E1727,64),6)</f>
        <v>11010110101</v>
      </c>
      <c r="G1727" s="10" t="str">
        <f>DEC2HEX(E1727,3)</f>
        <v>6B5</v>
      </c>
      <c r="H1727" s="10" t="str">
        <f>IF(ROUND(D1727/$B$6,0)&gt;$B$7,"YES","NO")</f>
        <v>NO</v>
      </c>
    </row>
    <row r="1728" spans="1:8">
      <c r="A1728" s="8">
        <v>1718</v>
      </c>
      <c r="B1728" s="9">
        <f>D1727</f>
        <v>2012.109375</v>
      </c>
      <c r="C1728" s="9">
        <f>$B$6</f>
        <v>1.171875</v>
      </c>
      <c r="D1728" s="9">
        <f>B1728+C1728</f>
        <v>2013.28125</v>
      </c>
      <c r="E1728" s="8">
        <f>MIN($B$7,ROUND(D1728/$B$6,0))</f>
        <v>1718</v>
      </c>
      <c r="F1728" s="8" t="str">
        <f>DEC2BIN(INT(E1728/64),5)&amp;DEC2BIN(MOD(E1728,64),6)</f>
        <v>11010110110</v>
      </c>
      <c r="G1728" s="8" t="str">
        <f>DEC2HEX(E1728,3)</f>
        <v>6B6</v>
      </c>
      <c r="H1728" s="8" t="str">
        <f>IF(ROUND(D1728/$B$6,0)&gt;$B$7,"YES","NO")</f>
        <v>NO</v>
      </c>
    </row>
    <row r="1729" spans="1:8">
      <c r="A1729" s="10">
        <v>1719</v>
      </c>
      <c r="B1729" s="11">
        <f>D1728</f>
        <v>2013.28125</v>
      </c>
      <c r="C1729" s="11">
        <f>$B$6</f>
        <v>1.171875</v>
      </c>
      <c r="D1729" s="11">
        <f>B1729+C1729</f>
        <v>2014.453125</v>
      </c>
      <c r="E1729" s="10">
        <f>MIN($B$7,ROUND(D1729/$B$6,0))</f>
        <v>1719</v>
      </c>
      <c r="F1729" s="10" t="str">
        <f>DEC2BIN(INT(E1729/64),5)&amp;DEC2BIN(MOD(E1729,64),6)</f>
        <v>11010110111</v>
      </c>
      <c r="G1729" s="10" t="str">
        <f>DEC2HEX(E1729,3)</f>
        <v>6B7</v>
      </c>
      <c r="H1729" s="10" t="str">
        <f>IF(ROUND(D1729/$B$6,0)&gt;$B$7,"YES","NO")</f>
        <v>NO</v>
      </c>
    </row>
    <row r="1730" spans="1:8">
      <c r="A1730" s="8">
        <v>1720</v>
      </c>
      <c r="B1730" s="9">
        <f>D1729</f>
        <v>2014.453125</v>
      </c>
      <c r="C1730" s="9">
        <f>$B$6</f>
        <v>1.171875</v>
      </c>
      <c r="D1730" s="9">
        <f>B1730+C1730</f>
        <v>2015.625</v>
      </c>
      <c r="E1730" s="8">
        <f>MIN($B$7,ROUND(D1730/$B$6,0))</f>
        <v>1720</v>
      </c>
      <c r="F1730" s="8" t="str">
        <f>DEC2BIN(INT(E1730/64),5)&amp;DEC2BIN(MOD(E1730,64),6)</f>
        <v>11010111000</v>
      </c>
      <c r="G1730" s="8" t="str">
        <f>DEC2HEX(E1730,3)</f>
        <v>6B8</v>
      </c>
      <c r="H1730" s="8" t="str">
        <f>IF(ROUND(D1730/$B$6,0)&gt;$B$7,"YES","NO")</f>
        <v>NO</v>
      </c>
    </row>
    <row r="1731" spans="1:8">
      <c r="A1731" s="10">
        <v>1721</v>
      </c>
      <c r="B1731" s="11">
        <f>D1730</f>
        <v>2015.625</v>
      </c>
      <c r="C1731" s="11">
        <f>$B$6</f>
        <v>1.171875</v>
      </c>
      <c r="D1731" s="11">
        <f>B1731+C1731</f>
        <v>2016.796875</v>
      </c>
      <c r="E1731" s="10">
        <f>MIN($B$7,ROUND(D1731/$B$6,0))</f>
        <v>1721</v>
      </c>
      <c r="F1731" s="10" t="str">
        <f>DEC2BIN(INT(E1731/64),5)&amp;DEC2BIN(MOD(E1731,64),6)</f>
        <v>11010111001</v>
      </c>
      <c r="G1731" s="10" t="str">
        <f>DEC2HEX(E1731,3)</f>
        <v>6B9</v>
      </c>
      <c r="H1731" s="10" t="str">
        <f>IF(ROUND(D1731/$B$6,0)&gt;$B$7,"YES","NO")</f>
        <v>NO</v>
      </c>
    </row>
    <row r="1732" spans="1:8">
      <c r="A1732" s="8">
        <v>1722</v>
      </c>
      <c r="B1732" s="9">
        <f>D1731</f>
        <v>2016.796875</v>
      </c>
      <c r="C1732" s="9">
        <f>$B$6</f>
        <v>1.171875</v>
      </c>
      <c r="D1732" s="9">
        <f>B1732+C1732</f>
        <v>2017.96875</v>
      </c>
      <c r="E1732" s="8">
        <f>MIN($B$7,ROUND(D1732/$B$6,0))</f>
        <v>1722</v>
      </c>
      <c r="F1732" s="8" t="str">
        <f>DEC2BIN(INT(E1732/64),5)&amp;DEC2BIN(MOD(E1732,64),6)</f>
        <v>11010111010</v>
      </c>
      <c r="G1732" s="8" t="str">
        <f>DEC2HEX(E1732,3)</f>
        <v>6BA</v>
      </c>
      <c r="H1732" s="8" t="str">
        <f>IF(ROUND(D1732/$B$6,0)&gt;$B$7,"YES","NO")</f>
        <v>NO</v>
      </c>
    </row>
    <row r="1733" spans="1:8">
      <c r="A1733" s="10">
        <v>1723</v>
      </c>
      <c r="B1733" s="11">
        <f>D1732</f>
        <v>2017.96875</v>
      </c>
      <c r="C1733" s="11">
        <f>$B$6</f>
        <v>1.171875</v>
      </c>
      <c r="D1733" s="11">
        <f>B1733+C1733</f>
        <v>2019.140625</v>
      </c>
      <c r="E1733" s="10">
        <f>MIN($B$7,ROUND(D1733/$B$6,0))</f>
        <v>1723</v>
      </c>
      <c r="F1733" s="10" t="str">
        <f>DEC2BIN(INT(E1733/64),5)&amp;DEC2BIN(MOD(E1733,64),6)</f>
        <v>11010111011</v>
      </c>
      <c r="G1733" s="10" t="str">
        <f>DEC2HEX(E1733,3)</f>
        <v>6BB</v>
      </c>
      <c r="H1733" s="10" t="str">
        <f>IF(ROUND(D1733/$B$6,0)&gt;$B$7,"YES","NO")</f>
        <v>NO</v>
      </c>
    </row>
    <row r="1734" spans="1:8">
      <c r="A1734" s="8">
        <v>1724</v>
      </c>
      <c r="B1734" s="9">
        <f>D1733</f>
        <v>2019.140625</v>
      </c>
      <c r="C1734" s="9">
        <f>$B$6</f>
        <v>1.171875</v>
      </c>
      <c r="D1734" s="9">
        <f>B1734+C1734</f>
        <v>2020.3125</v>
      </c>
      <c r="E1734" s="8">
        <f>MIN($B$7,ROUND(D1734/$B$6,0))</f>
        <v>1724</v>
      </c>
      <c r="F1734" s="8" t="str">
        <f>DEC2BIN(INT(E1734/64),5)&amp;DEC2BIN(MOD(E1734,64),6)</f>
        <v>11010111100</v>
      </c>
      <c r="G1734" s="8" t="str">
        <f>DEC2HEX(E1734,3)</f>
        <v>6BC</v>
      </c>
      <c r="H1734" s="8" t="str">
        <f>IF(ROUND(D1734/$B$6,0)&gt;$B$7,"YES","NO")</f>
        <v>NO</v>
      </c>
    </row>
    <row r="1735" spans="1:8">
      <c r="A1735" s="10">
        <v>1725</v>
      </c>
      <c r="B1735" s="11">
        <f>D1734</f>
        <v>2020.3125</v>
      </c>
      <c r="C1735" s="11">
        <f>$B$6</f>
        <v>1.171875</v>
      </c>
      <c r="D1735" s="11">
        <f>B1735+C1735</f>
        <v>2021.484375</v>
      </c>
      <c r="E1735" s="10">
        <f>MIN($B$7,ROUND(D1735/$B$6,0))</f>
        <v>1725</v>
      </c>
      <c r="F1735" s="10" t="str">
        <f>DEC2BIN(INT(E1735/64),5)&amp;DEC2BIN(MOD(E1735,64),6)</f>
        <v>11010111101</v>
      </c>
      <c r="G1735" s="10" t="str">
        <f>DEC2HEX(E1735,3)</f>
        <v>6BD</v>
      </c>
      <c r="H1735" s="10" t="str">
        <f>IF(ROUND(D1735/$B$6,0)&gt;$B$7,"YES","NO")</f>
        <v>NO</v>
      </c>
    </row>
    <row r="1736" spans="1:8">
      <c r="A1736" s="8">
        <v>1726</v>
      </c>
      <c r="B1736" s="9">
        <f>D1735</f>
        <v>2021.484375</v>
      </c>
      <c r="C1736" s="9">
        <f>$B$6</f>
        <v>1.171875</v>
      </c>
      <c r="D1736" s="9">
        <f>B1736+C1736</f>
        <v>2022.65625</v>
      </c>
      <c r="E1736" s="8">
        <f>MIN($B$7,ROUND(D1736/$B$6,0))</f>
        <v>1726</v>
      </c>
      <c r="F1736" s="8" t="str">
        <f>DEC2BIN(INT(E1736/64),5)&amp;DEC2BIN(MOD(E1736,64),6)</f>
        <v>11010111110</v>
      </c>
      <c r="G1736" s="8" t="str">
        <f>DEC2HEX(E1736,3)</f>
        <v>6BE</v>
      </c>
      <c r="H1736" s="8" t="str">
        <f>IF(ROUND(D1736/$B$6,0)&gt;$B$7,"YES","NO")</f>
        <v>NO</v>
      </c>
    </row>
    <row r="1737" spans="1:8">
      <c r="A1737" s="10">
        <v>1727</v>
      </c>
      <c r="B1737" s="11">
        <f>D1736</f>
        <v>2022.65625</v>
      </c>
      <c r="C1737" s="11">
        <f>$B$6</f>
        <v>1.171875</v>
      </c>
      <c r="D1737" s="11">
        <f>B1737+C1737</f>
        <v>2023.828125</v>
      </c>
      <c r="E1737" s="10">
        <f>MIN($B$7,ROUND(D1737/$B$6,0))</f>
        <v>1727</v>
      </c>
      <c r="F1737" s="10" t="str">
        <f>DEC2BIN(INT(E1737/64),5)&amp;DEC2BIN(MOD(E1737,64),6)</f>
        <v>11010111111</v>
      </c>
      <c r="G1737" s="10" t="str">
        <f>DEC2HEX(E1737,3)</f>
        <v>6BF</v>
      </c>
      <c r="H1737" s="10" t="str">
        <f>IF(ROUND(D1737/$B$6,0)&gt;$B$7,"YES","NO")</f>
        <v>NO</v>
      </c>
    </row>
    <row r="1738" spans="1:8">
      <c r="A1738" s="8">
        <v>1728</v>
      </c>
      <c r="B1738" s="9">
        <f>D1737</f>
        <v>2023.828125</v>
      </c>
      <c r="C1738" s="9">
        <f>$B$6</f>
        <v>1.171875</v>
      </c>
      <c r="D1738" s="9">
        <f>B1738+C1738</f>
        <v>2025</v>
      </c>
      <c r="E1738" s="8">
        <f>MIN($B$7,ROUND(D1738/$B$6,0))</f>
        <v>1728</v>
      </c>
      <c r="F1738" s="8" t="str">
        <f>DEC2BIN(INT(E1738/64),5)&amp;DEC2BIN(MOD(E1738,64),6)</f>
        <v>11011000000</v>
      </c>
      <c r="G1738" s="8" t="str">
        <f>DEC2HEX(E1738,3)</f>
        <v>6C0</v>
      </c>
      <c r="H1738" s="8" t="str">
        <f>IF(ROUND(D1738/$B$6,0)&gt;$B$7,"YES","NO")</f>
        <v>NO</v>
      </c>
    </row>
    <row r="1739" spans="1:8">
      <c r="A1739" s="10">
        <v>1729</v>
      </c>
      <c r="B1739" s="11">
        <f>D1738</f>
        <v>2025</v>
      </c>
      <c r="C1739" s="11">
        <f>$B$6</f>
        <v>1.171875</v>
      </c>
      <c r="D1739" s="11">
        <f>B1739+C1739</f>
        <v>2026.171875</v>
      </c>
      <c r="E1739" s="10">
        <f>MIN($B$7,ROUND(D1739/$B$6,0))</f>
        <v>1729</v>
      </c>
      <c r="F1739" s="10" t="str">
        <f>DEC2BIN(INT(E1739/64),5)&amp;DEC2BIN(MOD(E1739,64),6)</f>
        <v>11011000001</v>
      </c>
      <c r="G1739" s="10" t="str">
        <f>DEC2HEX(E1739,3)</f>
        <v>6C1</v>
      </c>
      <c r="H1739" s="10" t="str">
        <f>IF(ROUND(D1739/$B$6,0)&gt;$B$7,"YES","NO")</f>
        <v>NO</v>
      </c>
    </row>
    <row r="1740" spans="1:8">
      <c r="A1740" s="8">
        <v>1730</v>
      </c>
      <c r="B1740" s="9">
        <f>D1739</f>
        <v>2026.171875</v>
      </c>
      <c r="C1740" s="9">
        <f>$B$6</f>
        <v>1.171875</v>
      </c>
      <c r="D1740" s="9">
        <f>B1740+C1740</f>
        <v>2027.34375</v>
      </c>
      <c r="E1740" s="8">
        <f>MIN($B$7,ROUND(D1740/$B$6,0))</f>
        <v>1730</v>
      </c>
      <c r="F1740" s="8" t="str">
        <f>DEC2BIN(INT(E1740/64),5)&amp;DEC2BIN(MOD(E1740,64),6)</f>
        <v>11011000010</v>
      </c>
      <c r="G1740" s="8" t="str">
        <f>DEC2HEX(E1740,3)</f>
        <v>6C2</v>
      </c>
      <c r="H1740" s="8" t="str">
        <f>IF(ROUND(D1740/$B$6,0)&gt;$B$7,"YES","NO")</f>
        <v>NO</v>
      </c>
    </row>
    <row r="1741" spans="1:8">
      <c r="A1741" s="10">
        <v>1731</v>
      </c>
      <c r="B1741" s="11">
        <f>D1740</f>
        <v>2027.34375</v>
      </c>
      <c r="C1741" s="11">
        <f>$B$6</f>
        <v>1.171875</v>
      </c>
      <c r="D1741" s="11">
        <f>B1741+C1741</f>
        <v>2028.515625</v>
      </c>
      <c r="E1741" s="10">
        <f>MIN($B$7,ROUND(D1741/$B$6,0))</f>
        <v>1731</v>
      </c>
      <c r="F1741" s="10" t="str">
        <f>DEC2BIN(INT(E1741/64),5)&amp;DEC2BIN(MOD(E1741,64),6)</f>
        <v>11011000011</v>
      </c>
      <c r="G1741" s="10" t="str">
        <f>DEC2HEX(E1741,3)</f>
        <v>6C3</v>
      </c>
      <c r="H1741" s="10" t="str">
        <f>IF(ROUND(D1741/$B$6,0)&gt;$B$7,"YES","NO")</f>
        <v>NO</v>
      </c>
    </row>
    <row r="1742" spans="1:8">
      <c r="A1742" s="8">
        <v>1732</v>
      </c>
      <c r="B1742" s="9">
        <f>D1741</f>
        <v>2028.515625</v>
      </c>
      <c r="C1742" s="9">
        <f>$B$6</f>
        <v>1.171875</v>
      </c>
      <c r="D1742" s="9">
        <f>B1742+C1742</f>
        <v>2029.6875</v>
      </c>
      <c r="E1742" s="8">
        <f>MIN($B$7,ROUND(D1742/$B$6,0))</f>
        <v>1732</v>
      </c>
      <c r="F1742" s="8" t="str">
        <f>DEC2BIN(INT(E1742/64),5)&amp;DEC2BIN(MOD(E1742,64),6)</f>
        <v>11011000100</v>
      </c>
      <c r="G1742" s="8" t="str">
        <f>DEC2HEX(E1742,3)</f>
        <v>6C4</v>
      </c>
      <c r="H1742" s="8" t="str">
        <f>IF(ROUND(D1742/$B$6,0)&gt;$B$7,"YES","NO")</f>
        <v>NO</v>
      </c>
    </row>
    <row r="1743" spans="1:8">
      <c r="A1743" s="10">
        <v>1733</v>
      </c>
      <c r="B1743" s="11">
        <f>D1742</f>
        <v>2029.6875</v>
      </c>
      <c r="C1743" s="11">
        <f>$B$6</f>
        <v>1.171875</v>
      </c>
      <c r="D1743" s="11">
        <f>B1743+C1743</f>
        <v>2030.859375</v>
      </c>
      <c r="E1743" s="10">
        <f>MIN($B$7,ROUND(D1743/$B$6,0))</f>
        <v>1733</v>
      </c>
      <c r="F1743" s="10" t="str">
        <f>DEC2BIN(INT(E1743/64),5)&amp;DEC2BIN(MOD(E1743,64),6)</f>
        <v>11011000101</v>
      </c>
      <c r="G1743" s="10" t="str">
        <f>DEC2HEX(E1743,3)</f>
        <v>6C5</v>
      </c>
      <c r="H1743" s="10" t="str">
        <f>IF(ROUND(D1743/$B$6,0)&gt;$B$7,"YES","NO")</f>
        <v>NO</v>
      </c>
    </row>
    <row r="1744" spans="1:8">
      <c r="A1744" s="8">
        <v>1734</v>
      </c>
      <c r="B1744" s="9">
        <f>D1743</f>
        <v>2030.859375</v>
      </c>
      <c r="C1744" s="9">
        <f>$B$6</f>
        <v>1.171875</v>
      </c>
      <c r="D1744" s="9">
        <f>B1744+C1744</f>
        <v>2032.03125</v>
      </c>
      <c r="E1744" s="8">
        <f>MIN($B$7,ROUND(D1744/$B$6,0))</f>
        <v>1734</v>
      </c>
      <c r="F1744" s="8" t="str">
        <f>DEC2BIN(INT(E1744/64),5)&amp;DEC2BIN(MOD(E1744,64),6)</f>
        <v>11011000110</v>
      </c>
      <c r="G1744" s="8" t="str">
        <f>DEC2HEX(E1744,3)</f>
        <v>6C6</v>
      </c>
      <c r="H1744" s="8" t="str">
        <f>IF(ROUND(D1744/$B$6,0)&gt;$B$7,"YES","NO")</f>
        <v>NO</v>
      </c>
    </row>
    <row r="1745" spans="1:8">
      <c r="A1745" s="10">
        <v>1735</v>
      </c>
      <c r="B1745" s="11">
        <f>D1744</f>
        <v>2032.03125</v>
      </c>
      <c r="C1745" s="11">
        <f>$B$6</f>
        <v>1.171875</v>
      </c>
      <c r="D1745" s="11">
        <f>B1745+C1745</f>
        <v>2033.203125</v>
      </c>
      <c r="E1745" s="10">
        <f>MIN($B$7,ROUND(D1745/$B$6,0))</f>
        <v>1735</v>
      </c>
      <c r="F1745" s="10" t="str">
        <f>DEC2BIN(INT(E1745/64),5)&amp;DEC2BIN(MOD(E1745,64),6)</f>
        <v>11011000111</v>
      </c>
      <c r="G1745" s="10" t="str">
        <f>DEC2HEX(E1745,3)</f>
        <v>6C7</v>
      </c>
      <c r="H1745" s="10" t="str">
        <f>IF(ROUND(D1745/$B$6,0)&gt;$B$7,"YES","NO")</f>
        <v>NO</v>
      </c>
    </row>
    <row r="1746" spans="1:8">
      <c r="A1746" s="8">
        <v>1736</v>
      </c>
      <c r="B1746" s="9">
        <f>D1745</f>
        <v>2033.203125</v>
      </c>
      <c r="C1746" s="9">
        <f>$B$6</f>
        <v>1.171875</v>
      </c>
      <c r="D1746" s="9">
        <f>B1746+C1746</f>
        <v>2034.375</v>
      </c>
      <c r="E1746" s="8">
        <f>MIN($B$7,ROUND(D1746/$B$6,0))</f>
        <v>1736</v>
      </c>
      <c r="F1746" s="8" t="str">
        <f>DEC2BIN(INT(E1746/64),5)&amp;DEC2BIN(MOD(E1746,64),6)</f>
        <v>11011001000</v>
      </c>
      <c r="G1746" s="8" t="str">
        <f>DEC2HEX(E1746,3)</f>
        <v>6C8</v>
      </c>
      <c r="H1746" s="8" t="str">
        <f>IF(ROUND(D1746/$B$6,0)&gt;$B$7,"YES","NO")</f>
        <v>NO</v>
      </c>
    </row>
    <row r="1747" spans="1:8">
      <c r="A1747" s="10">
        <v>1737</v>
      </c>
      <c r="B1747" s="11">
        <f>D1746</f>
        <v>2034.375</v>
      </c>
      <c r="C1747" s="11">
        <f>$B$6</f>
        <v>1.171875</v>
      </c>
      <c r="D1747" s="11">
        <f>B1747+C1747</f>
        <v>2035.546875</v>
      </c>
      <c r="E1747" s="10">
        <f>MIN($B$7,ROUND(D1747/$B$6,0))</f>
        <v>1737</v>
      </c>
      <c r="F1747" s="10" t="str">
        <f>DEC2BIN(INT(E1747/64),5)&amp;DEC2BIN(MOD(E1747,64),6)</f>
        <v>11011001001</v>
      </c>
      <c r="G1747" s="10" t="str">
        <f>DEC2HEX(E1747,3)</f>
        <v>6C9</v>
      </c>
      <c r="H1747" s="10" t="str">
        <f>IF(ROUND(D1747/$B$6,0)&gt;$B$7,"YES","NO")</f>
        <v>NO</v>
      </c>
    </row>
    <row r="1748" spans="1:8">
      <c r="A1748" s="8">
        <v>1738</v>
      </c>
      <c r="B1748" s="9">
        <f>D1747</f>
        <v>2035.546875</v>
      </c>
      <c r="C1748" s="9">
        <f>$B$6</f>
        <v>1.171875</v>
      </c>
      <c r="D1748" s="9">
        <f>B1748+C1748</f>
        <v>2036.71875</v>
      </c>
      <c r="E1748" s="8">
        <f>MIN($B$7,ROUND(D1748/$B$6,0))</f>
        <v>1738</v>
      </c>
      <c r="F1748" s="8" t="str">
        <f>DEC2BIN(INT(E1748/64),5)&amp;DEC2BIN(MOD(E1748,64),6)</f>
        <v>11011001010</v>
      </c>
      <c r="G1748" s="8" t="str">
        <f>DEC2HEX(E1748,3)</f>
        <v>6CA</v>
      </c>
      <c r="H1748" s="8" t="str">
        <f>IF(ROUND(D1748/$B$6,0)&gt;$B$7,"YES","NO")</f>
        <v>NO</v>
      </c>
    </row>
    <row r="1749" spans="1:8">
      <c r="A1749" s="10">
        <v>1739</v>
      </c>
      <c r="B1749" s="11">
        <f>D1748</f>
        <v>2036.71875</v>
      </c>
      <c r="C1749" s="11">
        <f>$B$6</f>
        <v>1.171875</v>
      </c>
      <c r="D1749" s="11">
        <f>B1749+C1749</f>
        <v>2037.890625</v>
      </c>
      <c r="E1749" s="10">
        <f>MIN($B$7,ROUND(D1749/$B$6,0))</f>
        <v>1739</v>
      </c>
      <c r="F1749" s="10" t="str">
        <f>DEC2BIN(INT(E1749/64),5)&amp;DEC2BIN(MOD(E1749,64),6)</f>
        <v>11011001011</v>
      </c>
      <c r="G1749" s="10" t="str">
        <f>DEC2HEX(E1749,3)</f>
        <v>6CB</v>
      </c>
      <c r="H1749" s="10" t="str">
        <f>IF(ROUND(D1749/$B$6,0)&gt;$B$7,"YES","NO")</f>
        <v>NO</v>
      </c>
    </row>
    <row r="1750" spans="1:8">
      <c r="A1750" s="8">
        <v>1740</v>
      </c>
      <c r="B1750" s="9">
        <f>D1749</f>
        <v>2037.890625</v>
      </c>
      <c r="C1750" s="9">
        <f>$B$6</f>
        <v>1.171875</v>
      </c>
      <c r="D1750" s="9">
        <f>B1750+C1750</f>
        <v>2039.0625</v>
      </c>
      <c r="E1750" s="8">
        <f>MIN($B$7,ROUND(D1750/$B$6,0))</f>
        <v>1740</v>
      </c>
      <c r="F1750" s="8" t="str">
        <f>DEC2BIN(INT(E1750/64),5)&amp;DEC2BIN(MOD(E1750,64),6)</f>
        <v>11011001100</v>
      </c>
      <c r="G1750" s="8" t="str">
        <f>DEC2HEX(E1750,3)</f>
        <v>6CC</v>
      </c>
      <c r="H1750" s="8" t="str">
        <f>IF(ROUND(D1750/$B$6,0)&gt;$B$7,"YES","NO")</f>
        <v>NO</v>
      </c>
    </row>
    <row r="1751" spans="1:8">
      <c r="A1751" s="10">
        <v>1741</v>
      </c>
      <c r="B1751" s="11">
        <f>D1750</f>
        <v>2039.0625</v>
      </c>
      <c r="C1751" s="11">
        <f>$B$6</f>
        <v>1.171875</v>
      </c>
      <c r="D1751" s="11">
        <f>B1751+C1751</f>
        <v>2040.234375</v>
      </c>
      <c r="E1751" s="10">
        <f>MIN($B$7,ROUND(D1751/$B$6,0))</f>
        <v>1741</v>
      </c>
      <c r="F1751" s="10" t="str">
        <f>DEC2BIN(INT(E1751/64),5)&amp;DEC2BIN(MOD(E1751,64),6)</f>
        <v>11011001101</v>
      </c>
      <c r="G1751" s="10" t="str">
        <f>DEC2HEX(E1751,3)</f>
        <v>6CD</v>
      </c>
      <c r="H1751" s="10" t="str">
        <f>IF(ROUND(D1751/$B$6,0)&gt;$B$7,"YES","NO")</f>
        <v>NO</v>
      </c>
    </row>
    <row r="1752" spans="1:8">
      <c r="A1752" s="8">
        <v>1742</v>
      </c>
      <c r="B1752" s="9">
        <f>D1751</f>
        <v>2040.234375</v>
      </c>
      <c r="C1752" s="9">
        <f>$B$6</f>
        <v>1.171875</v>
      </c>
      <c r="D1752" s="9">
        <f>B1752+C1752</f>
        <v>2041.40625</v>
      </c>
      <c r="E1752" s="8">
        <f>MIN($B$7,ROUND(D1752/$B$6,0))</f>
        <v>1742</v>
      </c>
      <c r="F1752" s="8" t="str">
        <f>DEC2BIN(INT(E1752/64),5)&amp;DEC2BIN(MOD(E1752,64),6)</f>
        <v>11011001110</v>
      </c>
      <c r="G1752" s="8" t="str">
        <f>DEC2HEX(E1752,3)</f>
        <v>6CE</v>
      </c>
      <c r="H1752" s="8" t="str">
        <f>IF(ROUND(D1752/$B$6,0)&gt;$B$7,"YES","NO")</f>
        <v>NO</v>
      </c>
    </row>
    <row r="1753" spans="1:8">
      <c r="A1753" s="10">
        <v>1743</v>
      </c>
      <c r="B1753" s="11">
        <f>D1752</f>
        <v>2041.40625</v>
      </c>
      <c r="C1753" s="11">
        <f>$B$6</f>
        <v>1.171875</v>
      </c>
      <c r="D1753" s="11">
        <f>B1753+C1753</f>
        <v>2042.578125</v>
      </c>
      <c r="E1753" s="10">
        <f>MIN($B$7,ROUND(D1753/$B$6,0))</f>
        <v>1743</v>
      </c>
      <c r="F1753" s="10" t="str">
        <f>DEC2BIN(INT(E1753/64),5)&amp;DEC2BIN(MOD(E1753,64),6)</f>
        <v>11011001111</v>
      </c>
      <c r="G1753" s="10" t="str">
        <f>DEC2HEX(E1753,3)</f>
        <v>6CF</v>
      </c>
      <c r="H1753" s="10" t="str">
        <f>IF(ROUND(D1753/$B$6,0)&gt;$B$7,"YES","NO")</f>
        <v>NO</v>
      </c>
    </row>
    <row r="1754" spans="1:8">
      <c r="A1754" s="8">
        <v>1744</v>
      </c>
      <c r="B1754" s="9">
        <f>D1753</f>
        <v>2042.578125</v>
      </c>
      <c r="C1754" s="9">
        <f>$B$6</f>
        <v>1.171875</v>
      </c>
      <c r="D1754" s="9">
        <f>B1754+C1754</f>
        <v>2043.75</v>
      </c>
      <c r="E1754" s="8">
        <f>MIN($B$7,ROUND(D1754/$B$6,0))</f>
        <v>1744</v>
      </c>
      <c r="F1754" s="8" t="str">
        <f>DEC2BIN(INT(E1754/64),5)&amp;DEC2BIN(MOD(E1754,64),6)</f>
        <v>11011010000</v>
      </c>
      <c r="G1754" s="8" t="str">
        <f>DEC2HEX(E1754,3)</f>
        <v>6D0</v>
      </c>
      <c r="H1754" s="8" t="str">
        <f>IF(ROUND(D1754/$B$6,0)&gt;$B$7,"YES","NO")</f>
        <v>NO</v>
      </c>
    </row>
    <row r="1755" spans="1:8">
      <c r="A1755" s="10">
        <v>1745</v>
      </c>
      <c r="B1755" s="11">
        <f>D1754</f>
        <v>2043.75</v>
      </c>
      <c r="C1755" s="11">
        <f>$B$6</f>
        <v>1.171875</v>
      </c>
      <c r="D1755" s="11">
        <f>B1755+C1755</f>
        <v>2044.921875</v>
      </c>
      <c r="E1755" s="10">
        <f>MIN($B$7,ROUND(D1755/$B$6,0))</f>
        <v>1745</v>
      </c>
      <c r="F1755" s="10" t="str">
        <f>DEC2BIN(INT(E1755/64),5)&amp;DEC2BIN(MOD(E1755,64),6)</f>
        <v>11011010001</v>
      </c>
      <c r="G1755" s="10" t="str">
        <f>DEC2HEX(E1755,3)</f>
        <v>6D1</v>
      </c>
      <c r="H1755" s="10" t="str">
        <f>IF(ROUND(D1755/$B$6,0)&gt;$B$7,"YES","NO")</f>
        <v>NO</v>
      </c>
    </row>
    <row r="1756" spans="1:8">
      <c r="A1756" s="8">
        <v>1746</v>
      </c>
      <c r="B1756" s="9">
        <f>D1755</f>
        <v>2044.921875</v>
      </c>
      <c r="C1756" s="9">
        <f>$B$6</f>
        <v>1.171875</v>
      </c>
      <c r="D1756" s="9">
        <f>B1756+C1756</f>
        <v>2046.09375</v>
      </c>
      <c r="E1756" s="8">
        <f>MIN($B$7,ROUND(D1756/$B$6,0))</f>
        <v>1746</v>
      </c>
      <c r="F1756" s="8" t="str">
        <f>DEC2BIN(INT(E1756/64),5)&amp;DEC2BIN(MOD(E1756,64),6)</f>
        <v>11011010010</v>
      </c>
      <c r="G1756" s="8" t="str">
        <f>DEC2HEX(E1756,3)</f>
        <v>6D2</v>
      </c>
      <c r="H1756" s="8" t="str">
        <f>IF(ROUND(D1756/$B$6,0)&gt;$B$7,"YES","NO")</f>
        <v>NO</v>
      </c>
    </row>
    <row r="1757" spans="1:8">
      <c r="A1757" s="10">
        <v>1747</v>
      </c>
      <c r="B1757" s="11">
        <f>D1756</f>
        <v>2046.09375</v>
      </c>
      <c r="C1757" s="11">
        <f>$B$6</f>
        <v>1.171875</v>
      </c>
      <c r="D1757" s="11">
        <f>B1757+C1757</f>
        <v>2047.265625</v>
      </c>
      <c r="E1757" s="10">
        <f>MIN($B$7,ROUND(D1757/$B$6,0))</f>
        <v>1747</v>
      </c>
      <c r="F1757" s="10" t="str">
        <f>DEC2BIN(INT(E1757/64),5)&amp;DEC2BIN(MOD(E1757,64),6)</f>
        <v>11011010011</v>
      </c>
      <c r="G1757" s="10" t="str">
        <f>DEC2HEX(E1757,3)</f>
        <v>6D3</v>
      </c>
      <c r="H1757" s="10" t="str">
        <f>IF(ROUND(D1757/$B$6,0)&gt;$B$7,"YES","NO")</f>
        <v>NO</v>
      </c>
    </row>
    <row r="1758" spans="1:8">
      <c r="A1758" s="8">
        <v>1748</v>
      </c>
      <c r="B1758" s="9">
        <f>D1757</f>
        <v>2047.265625</v>
      </c>
      <c r="C1758" s="9">
        <f>$B$6</f>
        <v>1.171875</v>
      </c>
      <c r="D1758" s="9">
        <f>B1758+C1758</f>
        <v>2048.4375</v>
      </c>
      <c r="E1758" s="8">
        <f>MIN($B$7,ROUND(D1758/$B$6,0))</f>
        <v>1748</v>
      </c>
      <c r="F1758" s="8" t="str">
        <f>DEC2BIN(INT(E1758/64),5)&amp;DEC2BIN(MOD(E1758,64),6)</f>
        <v>11011010100</v>
      </c>
      <c r="G1758" s="8" t="str">
        <f>DEC2HEX(E1758,3)</f>
        <v>6D4</v>
      </c>
      <c r="H1758" s="8" t="str">
        <f>IF(ROUND(D1758/$B$6,0)&gt;$B$7,"YES","NO")</f>
        <v>NO</v>
      </c>
    </row>
    <row r="1759" spans="1:8">
      <c r="A1759" s="10">
        <v>1749</v>
      </c>
      <c r="B1759" s="11">
        <f>D1758</f>
        <v>2048.4375</v>
      </c>
      <c r="C1759" s="11">
        <f>$B$6</f>
        <v>1.171875</v>
      </c>
      <c r="D1759" s="11">
        <f>B1759+C1759</f>
        <v>2049.609375</v>
      </c>
      <c r="E1759" s="10">
        <f>MIN($B$7,ROUND(D1759/$B$6,0))</f>
        <v>1749</v>
      </c>
      <c r="F1759" s="10" t="str">
        <f>DEC2BIN(INT(E1759/64),5)&amp;DEC2BIN(MOD(E1759,64),6)</f>
        <v>11011010101</v>
      </c>
      <c r="G1759" s="10" t="str">
        <f>DEC2HEX(E1759,3)</f>
        <v>6D5</v>
      </c>
      <c r="H1759" s="10" t="str">
        <f>IF(ROUND(D1759/$B$6,0)&gt;$B$7,"YES","NO")</f>
        <v>NO</v>
      </c>
    </row>
    <row r="1760" spans="1:8">
      <c r="A1760" s="8">
        <v>1750</v>
      </c>
      <c r="B1760" s="9">
        <f>D1759</f>
        <v>2049.609375</v>
      </c>
      <c r="C1760" s="9">
        <f>$B$6</f>
        <v>1.171875</v>
      </c>
      <c r="D1760" s="9">
        <f>B1760+C1760</f>
        <v>2050.78125</v>
      </c>
      <c r="E1760" s="8">
        <f>MIN($B$7,ROUND(D1760/$B$6,0))</f>
        <v>1750</v>
      </c>
      <c r="F1760" s="8" t="str">
        <f>DEC2BIN(INT(E1760/64),5)&amp;DEC2BIN(MOD(E1760,64),6)</f>
        <v>11011010110</v>
      </c>
      <c r="G1760" s="8" t="str">
        <f>DEC2HEX(E1760,3)</f>
        <v>6D6</v>
      </c>
      <c r="H1760" s="8" t="str">
        <f>IF(ROUND(D1760/$B$6,0)&gt;$B$7,"YES","NO")</f>
        <v>NO</v>
      </c>
    </row>
    <row r="1761" spans="1:8">
      <c r="A1761" s="10">
        <v>1751</v>
      </c>
      <c r="B1761" s="11">
        <f>D1760</f>
        <v>2050.78125</v>
      </c>
      <c r="C1761" s="11">
        <f>$B$6</f>
        <v>1.171875</v>
      </c>
      <c r="D1761" s="11">
        <f>B1761+C1761</f>
        <v>2051.953125</v>
      </c>
      <c r="E1761" s="10">
        <f>MIN($B$7,ROUND(D1761/$B$6,0))</f>
        <v>1751</v>
      </c>
      <c r="F1761" s="10" t="str">
        <f>DEC2BIN(INT(E1761/64),5)&amp;DEC2BIN(MOD(E1761,64),6)</f>
        <v>11011010111</v>
      </c>
      <c r="G1761" s="10" t="str">
        <f>DEC2HEX(E1761,3)</f>
        <v>6D7</v>
      </c>
      <c r="H1761" s="10" t="str">
        <f>IF(ROUND(D1761/$B$6,0)&gt;$B$7,"YES","NO")</f>
        <v>NO</v>
      </c>
    </row>
    <row r="1762" spans="1:8">
      <c r="A1762" s="8">
        <v>1752</v>
      </c>
      <c r="B1762" s="9">
        <f>D1761</f>
        <v>2051.953125</v>
      </c>
      <c r="C1762" s="9">
        <f>$B$6</f>
        <v>1.171875</v>
      </c>
      <c r="D1762" s="9">
        <f>B1762+C1762</f>
        <v>2053.125</v>
      </c>
      <c r="E1762" s="8">
        <f>MIN($B$7,ROUND(D1762/$B$6,0))</f>
        <v>1752</v>
      </c>
      <c r="F1762" s="8" t="str">
        <f>DEC2BIN(INT(E1762/64),5)&amp;DEC2BIN(MOD(E1762,64),6)</f>
        <v>11011011000</v>
      </c>
      <c r="G1762" s="8" t="str">
        <f>DEC2HEX(E1762,3)</f>
        <v>6D8</v>
      </c>
      <c r="H1762" s="8" t="str">
        <f>IF(ROUND(D1762/$B$6,0)&gt;$B$7,"YES","NO")</f>
        <v>NO</v>
      </c>
    </row>
    <row r="1763" spans="1:8">
      <c r="A1763" s="10">
        <v>1753</v>
      </c>
      <c r="B1763" s="11">
        <f>D1762</f>
        <v>2053.125</v>
      </c>
      <c r="C1763" s="11">
        <f>$B$6</f>
        <v>1.171875</v>
      </c>
      <c r="D1763" s="11">
        <f>B1763+C1763</f>
        <v>2054.296875</v>
      </c>
      <c r="E1763" s="10">
        <f>MIN($B$7,ROUND(D1763/$B$6,0))</f>
        <v>1753</v>
      </c>
      <c r="F1763" s="10" t="str">
        <f>DEC2BIN(INT(E1763/64),5)&amp;DEC2BIN(MOD(E1763,64),6)</f>
        <v>11011011001</v>
      </c>
      <c r="G1763" s="10" t="str">
        <f>DEC2HEX(E1763,3)</f>
        <v>6D9</v>
      </c>
      <c r="H1763" s="10" t="str">
        <f>IF(ROUND(D1763/$B$6,0)&gt;$B$7,"YES","NO")</f>
        <v>NO</v>
      </c>
    </row>
    <row r="1764" spans="1:8">
      <c r="A1764" s="8">
        <v>1754</v>
      </c>
      <c r="B1764" s="9">
        <f>D1763</f>
        <v>2054.296875</v>
      </c>
      <c r="C1764" s="9">
        <f>$B$6</f>
        <v>1.171875</v>
      </c>
      <c r="D1764" s="9">
        <f>B1764+C1764</f>
        <v>2055.46875</v>
      </c>
      <c r="E1764" s="8">
        <f>MIN($B$7,ROUND(D1764/$B$6,0))</f>
        <v>1754</v>
      </c>
      <c r="F1764" s="8" t="str">
        <f>DEC2BIN(INT(E1764/64),5)&amp;DEC2BIN(MOD(E1764,64),6)</f>
        <v>11011011010</v>
      </c>
      <c r="G1764" s="8" t="str">
        <f>DEC2HEX(E1764,3)</f>
        <v>6DA</v>
      </c>
      <c r="H1764" s="8" t="str">
        <f>IF(ROUND(D1764/$B$6,0)&gt;$B$7,"YES","NO")</f>
        <v>NO</v>
      </c>
    </row>
    <row r="1765" spans="1:8">
      <c r="A1765" s="10">
        <v>1755</v>
      </c>
      <c r="B1765" s="11">
        <f>D1764</f>
        <v>2055.46875</v>
      </c>
      <c r="C1765" s="11">
        <f>$B$6</f>
        <v>1.171875</v>
      </c>
      <c r="D1765" s="11">
        <f>B1765+C1765</f>
        <v>2056.640625</v>
      </c>
      <c r="E1765" s="10">
        <f>MIN($B$7,ROUND(D1765/$B$6,0))</f>
        <v>1755</v>
      </c>
      <c r="F1765" s="10" t="str">
        <f>DEC2BIN(INT(E1765/64),5)&amp;DEC2BIN(MOD(E1765,64),6)</f>
        <v>11011011011</v>
      </c>
      <c r="G1765" s="10" t="str">
        <f>DEC2HEX(E1765,3)</f>
        <v>6DB</v>
      </c>
      <c r="H1765" s="10" t="str">
        <f>IF(ROUND(D1765/$B$6,0)&gt;$B$7,"YES","NO")</f>
        <v>NO</v>
      </c>
    </row>
    <row r="1766" spans="1:8">
      <c r="A1766" s="8">
        <v>1756</v>
      </c>
      <c r="B1766" s="9">
        <f>D1765</f>
        <v>2056.640625</v>
      </c>
      <c r="C1766" s="9">
        <f>$B$6</f>
        <v>1.171875</v>
      </c>
      <c r="D1766" s="9">
        <f>B1766+C1766</f>
        <v>2057.8125</v>
      </c>
      <c r="E1766" s="8">
        <f>MIN($B$7,ROUND(D1766/$B$6,0))</f>
        <v>1756</v>
      </c>
      <c r="F1766" s="8" t="str">
        <f>DEC2BIN(INT(E1766/64),5)&amp;DEC2BIN(MOD(E1766,64),6)</f>
        <v>11011011100</v>
      </c>
      <c r="G1766" s="8" t="str">
        <f>DEC2HEX(E1766,3)</f>
        <v>6DC</v>
      </c>
      <c r="H1766" s="8" t="str">
        <f>IF(ROUND(D1766/$B$6,0)&gt;$B$7,"YES","NO")</f>
        <v>NO</v>
      </c>
    </row>
    <row r="1767" spans="1:8">
      <c r="A1767" s="10">
        <v>1757</v>
      </c>
      <c r="B1767" s="11">
        <f>D1766</f>
        <v>2057.8125</v>
      </c>
      <c r="C1767" s="11">
        <f>$B$6</f>
        <v>1.171875</v>
      </c>
      <c r="D1767" s="11">
        <f>B1767+C1767</f>
        <v>2058.984375</v>
      </c>
      <c r="E1767" s="10">
        <f>MIN($B$7,ROUND(D1767/$B$6,0))</f>
        <v>1757</v>
      </c>
      <c r="F1767" s="10" t="str">
        <f>DEC2BIN(INT(E1767/64),5)&amp;DEC2BIN(MOD(E1767,64),6)</f>
        <v>11011011101</v>
      </c>
      <c r="G1767" s="10" t="str">
        <f>DEC2HEX(E1767,3)</f>
        <v>6DD</v>
      </c>
      <c r="H1767" s="10" t="str">
        <f>IF(ROUND(D1767/$B$6,0)&gt;$B$7,"YES","NO")</f>
        <v>NO</v>
      </c>
    </row>
    <row r="1768" spans="1:8">
      <c r="A1768" s="8">
        <v>1758</v>
      </c>
      <c r="B1768" s="9">
        <f>D1767</f>
        <v>2058.984375</v>
      </c>
      <c r="C1768" s="9">
        <f>$B$6</f>
        <v>1.171875</v>
      </c>
      <c r="D1768" s="9">
        <f>B1768+C1768</f>
        <v>2060.15625</v>
      </c>
      <c r="E1768" s="8">
        <f>MIN($B$7,ROUND(D1768/$B$6,0))</f>
        <v>1758</v>
      </c>
      <c r="F1768" s="8" t="str">
        <f>DEC2BIN(INT(E1768/64),5)&amp;DEC2BIN(MOD(E1768,64),6)</f>
        <v>11011011110</v>
      </c>
      <c r="G1768" s="8" t="str">
        <f>DEC2HEX(E1768,3)</f>
        <v>6DE</v>
      </c>
      <c r="H1768" s="8" t="str">
        <f>IF(ROUND(D1768/$B$6,0)&gt;$B$7,"YES","NO")</f>
        <v>NO</v>
      </c>
    </row>
    <row r="1769" spans="1:8">
      <c r="A1769" s="10">
        <v>1759</v>
      </c>
      <c r="B1769" s="11">
        <f>D1768</f>
        <v>2060.15625</v>
      </c>
      <c r="C1769" s="11">
        <f>$B$6</f>
        <v>1.171875</v>
      </c>
      <c r="D1769" s="11">
        <f>B1769+C1769</f>
        <v>2061.328125</v>
      </c>
      <c r="E1769" s="10">
        <f>MIN($B$7,ROUND(D1769/$B$6,0))</f>
        <v>1759</v>
      </c>
      <c r="F1769" s="10" t="str">
        <f>DEC2BIN(INT(E1769/64),5)&amp;DEC2BIN(MOD(E1769,64),6)</f>
        <v>11011011111</v>
      </c>
      <c r="G1769" s="10" t="str">
        <f>DEC2HEX(E1769,3)</f>
        <v>6DF</v>
      </c>
      <c r="H1769" s="10" t="str">
        <f>IF(ROUND(D1769/$B$6,0)&gt;$B$7,"YES","NO")</f>
        <v>NO</v>
      </c>
    </row>
    <row r="1770" spans="1:8">
      <c r="A1770" s="8">
        <v>1760</v>
      </c>
      <c r="B1770" s="9">
        <f>D1769</f>
        <v>2061.328125</v>
      </c>
      <c r="C1770" s="9">
        <f>$B$6</f>
        <v>1.171875</v>
      </c>
      <c r="D1770" s="9">
        <f>B1770+C1770</f>
        <v>2062.5</v>
      </c>
      <c r="E1770" s="8">
        <f>MIN($B$7,ROUND(D1770/$B$6,0))</f>
        <v>1760</v>
      </c>
      <c r="F1770" s="8" t="str">
        <f>DEC2BIN(INT(E1770/64),5)&amp;DEC2BIN(MOD(E1770,64),6)</f>
        <v>11011100000</v>
      </c>
      <c r="G1770" s="8" t="str">
        <f>DEC2HEX(E1770,3)</f>
        <v>6E0</v>
      </c>
      <c r="H1770" s="8" t="str">
        <f>IF(ROUND(D1770/$B$6,0)&gt;$B$7,"YES","NO")</f>
        <v>NO</v>
      </c>
    </row>
    <row r="1771" spans="1:8">
      <c r="A1771" s="10">
        <v>1761</v>
      </c>
      <c r="B1771" s="11">
        <f>D1770</f>
        <v>2062.5</v>
      </c>
      <c r="C1771" s="11">
        <f>$B$6</f>
        <v>1.171875</v>
      </c>
      <c r="D1771" s="11">
        <f>B1771+C1771</f>
        <v>2063.671875</v>
      </c>
      <c r="E1771" s="10">
        <f>MIN($B$7,ROUND(D1771/$B$6,0))</f>
        <v>1761</v>
      </c>
      <c r="F1771" s="10" t="str">
        <f>DEC2BIN(INT(E1771/64),5)&amp;DEC2BIN(MOD(E1771,64),6)</f>
        <v>11011100001</v>
      </c>
      <c r="G1771" s="10" t="str">
        <f>DEC2HEX(E1771,3)</f>
        <v>6E1</v>
      </c>
      <c r="H1771" s="10" t="str">
        <f>IF(ROUND(D1771/$B$6,0)&gt;$B$7,"YES","NO")</f>
        <v>NO</v>
      </c>
    </row>
    <row r="1772" spans="1:8">
      <c r="A1772" s="8">
        <v>1762</v>
      </c>
      <c r="B1772" s="9">
        <f>D1771</f>
        <v>2063.671875</v>
      </c>
      <c r="C1772" s="9">
        <f>$B$6</f>
        <v>1.171875</v>
      </c>
      <c r="D1772" s="9">
        <f>B1772+C1772</f>
        <v>2064.84375</v>
      </c>
      <c r="E1772" s="8">
        <f>MIN($B$7,ROUND(D1772/$B$6,0))</f>
        <v>1762</v>
      </c>
      <c r="F1772" s="8" t="str">
        <f>DEC2BIN(INT(E1772/64),5)&amp;DEC2BIN(MOD(E1772,64),6)</f>
        <v>11011100010</v>
      </c>
      <c r="G1772" s="8" t="str">
        <f>DEC2HEX(E1772,3)</f>
        <v>6E2</v>
      </c>
      <c r="H1772" s="8" t="str">
        <f>IF(ROUND(D1772/$B$6,0)&gt;$B$7,"YES","NO")</f>
        <v>NO</v>
      </c>
    </row>
    <row r="1773" spans="1:8">
      <c r="A1773" s="10">
        <v>1763</v>
      </c>
      <c r="B1773" s="11">
        <f>D1772</f>
        <v>2064.84375</v>
      </c>
      <c r="C1773" s="11">
        <f>$B$6</f>
        <v>1.171875</v>
      </c>
      <c r="D1773" s="11">
        <f>B1773+C1773</f>
        <v>2066.015625</v>
      </c>
      <c r="E1773" s="10">
        <f>MIN($B$7,ROUND(D1773/$B$6,0))</f>
        <v>1763</v>
      </c>
      <c r="F1773" s="10" t="str">
        <f>DEC2BIN(INT(E1773/64),5)&amp;DEC2BIN(MOD(E1773,64),6)</f>
        <v>11011100011</v>
      </c>
      <c r="G1773" s="10" t="str">
        <f>DEC2HEX(E1773,3)</f>
        <v>6E3</v>
      </c>
      <c r="H1773" s="10" t="str">
        <f>IF(ROUND(D1773/$B$6,0)&gt;$B$7,"YES","NO")</f>
        <v>NO</v>
      </c>
    </row>
    <row r="1774" spans="1:8">
      <c r="A1774" s="8">
        <v>1764</v>
      </c>
      <c r="B1774" s="9">
        <f>D1773</f>
        <v>2066.015625</v>
      </c>
      <c r="C1774" s="9">
        <f>$B$6</f>
        <v>1.171875</v>
      </c>
      <c r="D1774" s="9">
        <f>B1774+C1774</f>
        <v>2067.1875</v>
      </c>
      <c r="E1774" s="8">
        <f>MIN($B$7,ROUND(D1774/$B$6,0))</f>
        <v>1764</v>
      </c>
      <c r="F1774" s="8" t="str">
        <f>DEC2BIN(INT(E1774/64),5)&amp;DEC2BIN(MOD(E1774,64),6)</f>
        <v>11011100100</v>
      </c>
      <c r="G1774" s="8" t="str">
        <f>DEC2HEX(E1774,3)</f>
        <v>6E4</v>
      </c>
      <c r="H1774" s="8" t="str">
        <f>IF(ROUND(D1774/$B$6,0)&gt;$B$7,"YES","NO")</f>
        <v>NO</v>
      </c>
    </row>
    <row r="1775" spans="1:8">
      <c r="A1775" s="10">
        <v>1765</v>
      </c>
      <c r="B1775" s="11">
        <f>D1774</f>
        <v>2067.1875</v>
      </c>
      <c r="C1775" s="11">
        <f>$B$6</f>
        <v>1.171875</v>
      </c>
      <c r="D1775" s="11">
        <f>B1775+C1775</f>
        <v>2068.359375</v>
      </c>
      <c r="E1775" s="10">
        <f>MIN($B$7,ROUND(D1775/$B$6,0))</f>
        <v>1765</v>
      </c>
      <c r="F1775" s="10" t="str">
        <f>DEC2BIN(INT(E1775/64),5)&amp;DEC2BIN(MOD(E1775,64),6)</f>
        <v>11011100101</v>
      </c>
      <c r="G1775" s="10" t="str">
        <f>DEC2HEX(E1775,3)</f>
        <v>6E5</v>
      </c>
      <c r="H1775" s="10" t="str">
        <f>IF(ROUND(D1775/$B$6,0)&gt;$B$7,"YES","NO")</f>
        <v>NO</v>
      </c>
    </row>
    <row r="1776" spans="1:8">
      <c r="A1776" s="8">
        <v>1766</v>
      </c>
      <c r="B1776" s="9">
        <f>D1775</f>
        <v>2068.359375</v>
      </c>
      <c r="C1776" s="9">
        <f>$B$6</f>
        <v>1.171875</v>
      </c>
      <c r="D1776" s="9">
        <f>B1776+C1776</f>
        <v>2069.53125</v>
      </c>
      <c r="E1776" s="8">
        <f>MIN($B$7,ROUND(D1776/$B$6,0))</f>
        <v>1766</v>
      </c>
      <c r="F1776" s="8" t="str">
        <f>DEC2BIN(INT(E1776/64),5)&amp;DEC2BIN(MOD(E1776,64),6)</f>
        <v>11011100110</v>
      </c>
      <c r="G1776" s="8" t="str">
        <f>DEC2HEX(E1776,3)</f>
        <v>6E6</v>
      </c>
      <c r="H1776" s="8" t="str">
        <f>IF(ROUND(D1776/$B$6,0)&gt;$B$7,"YES","NO")</f>
        <v>NO</v>
      </c>
    </row>
    <row r="1777" spans="1:8">
      <c r="A1777" s="10">
        <v>1767</v>
      </c>
      <c r="B1777" s="11">
        <f>D1776</f>
        <v>2069.53125</v>
      </c>
      <c r="C1777" s="11">
        <f>$B$6</f>
        <v>1.171875</v>
      </c>
      <c r="D1777" s="11">
        <f>B1777+C1777</f>
        <v>2070.703125</v>
      </c>
      <c r="E1777" s="10">
        <f>MIN($B$7,ROUND(D1777/$B$6,0))</f>
        <v>1767</v>
      </c>
      <c r="F1777" s="10" t="str">
        <f>DEC2BIN(INT(E1777/64),5)&amp;DEC2BIN(MOD(E1777,64),6)</f>
        <v>11011100111</v>
      </c>
      <c r="G1777" s="10" t="str">
        <f>DEC2HEX(E1777,3)</f>
        <v>6E7</v>
      </c>
      <c r="H1777" s="10" t="str">
        <f>IF(ROUND(D1777/$B$6,0)&gt;$B$7,"YES","NO")</f>
        <v>NO</v>
      </c>
    </row>
    <row r="1778" spans="1:8">
      <c r="A1778" s="8">
        <v>1768</v>
      </c>
      <c r="B1778" s="9">
        <f>D1777</f>
        <v>2070.703125</v>
      </c>
      <c r="C1778" s="9">
        <f>$B$6</f>
        <v>1.171875</v>
      </c>
      <c r="D1778" s="9">
        <f>B1778+C1778</f>
        <v>2071.875</v>
      </c>
      <c r="E1778" s="8">
        <f>MIN($B$7,ROUND(D1778/$B$6,0))</f>
        <v>1768</v>
      </c>
      <c r="F1778" s="8" t="str">
        <f>DEC2BIN(INT(E1778/64),5)&amp;DEC2BIN(MOD(E1778,64),6)</f>
        <v>11011101000</v>
      </c>
      <c r="G1778" s="8" t="str">
        <f>DEC2HEX(E1778,3)</f>
        <v>6E8</v>
      </c>
      <c r="H1778" s="8" t="str">
        <f>IF(ROUND(D1778/$B$6,0)&gt;$B$7,"YES","NO")</f>
        <v>NO</v>
      </c>
    </row>
    <row r="1779" spans="1:8">
      <c r="A1779" s="10">
        <v>1769</v>
      </c>
      <c r="B1779" s="11">
        <f>D1778</f>
        <v>2071.875</v>
      </c>
      <c r="C1779" s="11">
        <f>$B$6</f>
        <v>1.171875</v>
      </c>
      <c r="D1779" s="11">
        <f>B1779+C1779</f>
        <v>2073.046875</v>
      </c>
      <c r="E1779" s="10">
        <f>MIN($B$7,ROUND(D1779/$B$6,0))</f>
        <v>1769</v>
      </c>
      <c r="F1779" s="10" t="str">
        <f>DEC2BIN(INT(E1779/64),5)&amp;DEC2BIN(MOD(E1779,64),6)</f>
        <v>11011101001</v>
      </c>
      <c r="G1779" s="10" t="str">
        <f>DEC2HEX(E1779,3)</f>
        <v>6E9</v>
      </c>
      <c r="H1779" s="10" t="str">
        <f>IF(ROUND(D1779/$B$6,0)&gt;$B$7,"YES","NO")</f>
        <v>NO</v>
      </c>
    </row>
    <row r="1780" spans="1:8">
      <c r="A1780" s="8">
        <v>1770</v>
      </c>
      <c r="B1780" s="9">
        <f>D1779</f>
        <v>2073.046875</v>
      </c>
      <c r="C1780" s="9">
        <f>$B$6</f>
        <v>1.171875</v>
      </c>
      <c r="D1780" s="9">
        <f>B1780+C1780</f>
        <v>2074.21875</v>
      </c>
      <c r="E1780" s="8">
        <f>MIN($B$7,ROUND(D1780/$B$6,0))</f>
        <v>1770</v>
      </c>
      <c r="F1780" s="8" t="str">
        <f>DEC2BIN(INT(E1780/64),5)&amp;DEC2BIN(MOD(E1780,64),6)</f>
        <v>11011101010</v>
      </c>
      <c r="G1780" s="8" t="str">
        <f>DEC2HEX(E1780,3)</f>
        <v>6EA</v>
      </c>
      <c r="H1780" s="8" t="str">
        <f>IF(ROUND(D1780/$B$6,0)&gt;$B$7,"YES","NO")</f>
        <v>NO</v>
      </c>
    </row>
    <row r="1781" spans="1:8">
      <c r="A1781" s="10">
        <v>1771</v>
      </c>
      <c r="B1781" s="11">
        <f>D1780</f>
        <v>2074.21875</v>
      </c>
      <c r="C1781" s="11">
        <f>$B$6</f>
        <v>1.171875</v>
      </c>
      <c r="D1781" s="11">
        <f>B1781+C1781</f>
        <v>2075.390625</v>
      </c>
      <c r="E1781" s="10">
        <f>MIN($B$7,ROUND(D1781/$B$6,0))</f>
        <v>1771</v>
      </c>
      <c r="F1781" s="10" t="str">
        <f>DEC2BIN(INT(E1781/64),5)&amp;DEC2BIN(MOD(E1781,64),6)</f>
        <v>11011101011</v>
      </c>
      <c r="G1781" s="10" t="str">
        <f>DEC2HEX(E1781,3)</f>
        <v>6EB</v>
      </c>
      <c r="H1781" s="10" t="str">
        <f>IF(ROUND(D1781/$B$6,0)&gt;$B$7,"YES","NO")</f>
        <v>NO</v>
      </c>
    </row>
    <row r="1782" spans="1:8">
      <c r="A1782" s="8">
        <v>1772</v>
      </c>
      <c r="B1782" s="9">
        <f>D1781</f>
        <v>2075.390625</v>
      </c>
      <c r="C1782" s="9">
        <f>$B$6</f>
        <v>1.171875</v>
      </c>
      <c r="D1782" s="9">
        <f>B1782+C1782</f>
        <v>2076.5625</v>
      </c>
      <c r="E1782" s="8">
        <f>MIN($B$7,ROUND(D1782/$B$6,0))</f>
        <v>1772</v>
      </c>
      <c r="F1782" s="8" t="str">
        <f>DEC2BIN(INT(E1782/64),5)&amp;DEC2BIN(MOD(E1782,64),6)</f>
        <v>11011101100</v>
      </c>
      <c r="G1782" s="8" t="str">
        <f>DEC2HEX(E1782,3)</f>
        <v>6EC</v>
      </c>
      <c r="H1782" s="8" t="str">
        <f>IF(ROUND(D1782/$B$6,0)&gt;$B$7,"YES","NO")</f>
        <v>NO</v>
      </c>
    </row>
    <row r="1783" spans="1:8">
      <c r="A1783" s="10">
        <v>1773</v>
      </c>
      <c r="B1783" s="11">
        <f>D1782</f>
        <v>2076.5625</v>
      </c>
      <c r="C1783" s="11">
        <f>$B$6</f>
        <v>1.171875</v>
      </c>
      <c r="D1783" s="11">
        <f>B1783+C1783</f>
        <v>2077.734375</v>
      </c>
      <c r="E1783" s="10">
        <f>MIN($B$7,ROUND(D1783/$B$6,0))</f>
        <v>1773</v>
      </c>
      <c r="F1783" s="10" t="str">
        <f>DEC2BIN(INT(E1783/64),5)&amp;DEC2BIN(MOD(E1783,64),6)</f>
        <v>11011101101</v>
      </c>
      <c r="G1783" s="10" t="str">
        <f>DEC2HEX(E1783,3)</f>
        <v>6ED</v>
      </c>
      <c r="H1783" s="10" t="str">
        <f>IF(ROUND(D1783/$B$6,0)&gt;$B$7,"YES","NO")</f>
        <v>NO</v>
      </c>
    </row>
    <row r="1784" spans="1:8">
      <c r="A1784" s="8">
        <v>1774</v>
      </c>
      <c r="B1784" s="9">
        <f>D1783</f>
        <v>2077.734375</v>
      </c>
      <c r="C1784" s="9">
        <f>$B$6</f>
        <v>1.171875</v>
      </c>
      <c r="D1784" s="9">
        <f>B1784+C1784</f>
        <v>2078.90625</v>
      </c>
      <c r="E1784" s="8">
        <f>MIN($B$7,ROUND(D1784/$B$6,0))</f>
        <v>1774</v>
      </c>
      <c r="F1784" s="8" t="str">
        <f>DEC2BIN(INT(E1784/64),5)&amp;DEC2BIN(MOD(E1784,64),6)</f>
        <v>11011101110</v>
      </c>
      <c r="G1784" s="8" t="str">
        <f>DEC2HEX(E1784,3)</f>
        <v>6EE</v>
      </c>
      <c r="H1784" s="8" t="str">
        <f>IF(ROUND(D1784/$B$6,0)&gt;$B$7,"YES","NO")</f>
        <v>NO</v>
      </c>
    </row>
    <row r="1785" spans="1:8">
      <c r="A1785" s="10">
        <v>1775</v>
      </c>
      <c r="B1785" s="11">
        <f>D1784</f>
        <v>2078.90625</v>
      </c>
      <c r="C1785" s="11">
        <f>$B$6</f>
        <v>1.171875</v>
      </c>
      <c r="D1785" s="11">
        <f>B1785+C1785</f>
        <v>2080.078125</v>
      </c>
      <c r="E1785" s="10">
        <f>MIN($B$7,ROUND(D1785/$B$6,0))</f>
        <v>1775</v>
      </c>
      <c r="F1785" s="10" t="str">
        <f>DEC2BIN(INT(E1785/64),5)&amp;DEC2BIN(MOD(E1785,64),6)</f>
        <v>11011101111</v>
      </c>
      <c r="G1785" s="10" t="str">
        <f>DEC2HEX(E1785,3)</f>
        <v>6EF</v>
      </c>
      <c r="H1785" s="10" t="str">
        <f>IF(ROUND(D1785/$B$6,0)&gt;$B$7,"YES","NO")</f>
        <v>NO</v>
      </c>
    </row>
    <row r="1786" spans="1:8">
      <c r="A1786" s="8">
        <v>1776</v>
      </c>
      <c r="B1786" s="9">
        <f>D1785</f>
        <v>2080.078125</v>
      </c>
      <c r="C1786" s="9">
        <f>$B$6</f>
        <v>1.171875</v>
      </c>
      <c r="D1786" s="9">
        <f>B1786+C1786</f>
        <v>2081.25</v>
      </c>
      <c r="E1786" s="8">
        <f>MIN($B$7,ROUND(D1786/$B$6,0))</f>
        <v>1776</v>
      </c>
      <c r="F1786" s="8" t="str">
        <f>DEC2BIN(INT(E1786/64),5)&amp;DEC2BIN(MOD(E1786,64),6)</f>
        <v>11011110000</v>
      </c>
      <c r="G1786" s="8" t="str">
        <f>DEC2HEX(E1786,3)</f>
        <v>6F0</v>
      </c>
      <c r="H1786" s="8" t="str">
        <f>IF(ROUND(D1786/$B$6,0)&gt;$B$7,"YES","NO")</f>
        <v>NO</v>
      </c>
    </row>
    <row r="1787" spans="1:8">
      <c r="A1787" s="10">
        <v>1777</v>
      </c>
      <c r="B1787" s="11">
        <f>D1786</f>
        <v>2081.25</v>
      </c>
      <c r="C1787" s="11">
        <f>$B$6</f>
        <v>1.171875</v>
      </c>
      <c r="D1787" s="11">
        <f>B1787+C1787</f>
        <v>2082.421875</v>
      </c>
      <c r="E1787" s="10">
        <f>MIN($B$7,ROUND(D1787/$B$6,0))</f>
        <v>1777</v>
      </c>
      <c r="F1787" s="10" t="str">
        <f>DEC2BIN(INT(E1787/64),5)&amp;DEC2BIN(MOD(E1787,64),6)</f>
        <v>11011110001</v>
      </c>
      <c r="G1787" s="10" t="str">
        <f>DEC2HEX(E1787,3)</f>
        <v>6F1</v>
      </c>
      <c r="H1787" s="10" t="str">
        <f>IF(ROUND(D1787/$B$6,0)&gt;$B$7,"YES","NO")</f>
        <v>NO</v>
      </c>
    </row>
    <row r="1788" spans="1:8">
      <c r="A1788" s="8">
        <v>1778</v>
      </c>
      <c r="B1788" s="9">
        <f>D1787</f>
        <v>2082.421875</v>
      </c>
      <c r="C1788" s="9">
        <f>$B$6</f>
        <v>1.171875</v>
      </c>
      <c r="D1788" s="9">
        <f>B1788+C1788</f>
        <v>2083.59375</v>
      </c>
      <c r="E1788" s="8">
        <f>MIN($B$7,ROUND(D1788/$B$6,0))</f>
        <v>1778</v>
      </c>
      <c r="F1788" s="8" t="str">
        <f>DEC2BIN(INT(E1788/64),5)&amp;DEC2BIN(MOD(E1788,64),6)</f>
        <v>11011110010</v>
      </c>
      <c r="G1788" s="8" t="str">
        <f>DEC2HEX(E1788,3)</f>
        <v>6F2</v>
      </c>
      <c r="H1788" s="8" t="str">
        <f>IF(ROUND(D1788/$B$6,0)&gt;$B$7,"YES","NO")</f>
        <v>NO</v>
      </c>
    </row>
    <row r="1789" spans="1:8">
      <c r="A1789" s="10">
        <v>1779</v>
      </c>
      <c r="B1789" s="11">
        <f>D1788</f>
        <v>2083.59375</v>
      </c>
      <c r="C1789" s="11">
        <f>$B$6</f>
        <v>1.171875</v>
      </c>
      <c r="D1789" s="11">
        <f>B1789+C1789</f>
        <v>2084.765625</v>
      </c>
      <c r="E1789" s="10">
        <f>MIN($B$7,ROUND(D1789/$B$6,0))</f>
        <v>1779</v>
      </c>
      <c r="F1789" s="10" t="str">
        <f>DEC2BIN(INT(E1789/64),5)&amp;DEC2BIN(MOD(E1789,64),6)</f>
        <v>11011110011</v>
      </c>
      <c r="G1789" s="10" t="str">
        <f>DEC2HEX(E1789,3)</f>
        <v>6F3</v>
      </c>
      <c r="H1789" s="10" t="str">
        <f>IF(ROUND(D1789/$B$6,0)&gt;$B$7,"YES","NO")</f>
        <v>NO</v>
      </c>
    </row>
    <row r="1790" spans="1:8">
      <c r="A1790" s="8">
        <v>1780</v>
      </c>
      <c r="B1790" s="9">
        <f>D1789</f>
        <v>2084.765625</v>
      </c>
      <c r="C1790" s="9">
        <f>$B$6</f>
        <v>1.171875</v>
      </c>
      <c r="D1790" s="9">
        <f>B1790+C1790</f>
        <v>2085.9375</v>
      </c>
      <c r="E1790" s="8">
        <f>MIN($B$7,ROUND(D1790/$B$6,0))</f>
        <v>1780</v>
      </c>
      <c r="F1790" s="8" t="str">
        <f>DEC2BIN(INT(E1790/64),5)&amp;DEC2BIN(MOD(E1790,64),6)</f>
        <v>11011110100</v>
      </c>
      <c r="G1790" s="8" t="str">
        <f>DEC2HEX(E1790,3)</f>
        <v>6F4</v>
      </c>
      <c r="H1790" s="8" t="str">
        <f>IF(ROUND(D1790/$B$6,0)&gt;$B$7,"YES","NO")</f>
        <v>NO</v>
      </c>
    </row>
    <row r="1791" spans="1:8">
      <c r="A1791" s="10">
        <v>1781</v>
      </c>
      <c r="B1791" s="11">
        <f>D1790</f>
        <v>2085.9375</v>
      </c>
      <c r="C1791" s="11">
        <f>$B$6</f>
        <v>1.171875</v>
      </c>
      <c r="D1791" s="11">
        <f>B1791+C1791</f>
        <v>2087.109375</v>
      </c>
      <c r="E1791" s="10">
        <f>MIN($B$7,ROUND(D1791/$B$6,0))</f>
        <v>1781</v>
      </c>
      <c r="F1791" s="10" t="str">
        <f>DEC2BIN(INT(E1791/64),5)&amp;DEC2BIN(MOD(E1791,64),6)</f>
        <v>11011110101</v>
      </c>
      <c r="G1791" s="10" t="str">
        <f>DEC2HEX(E1791,3)</f>
        <v>6F5</v>
      </c>
      <c r="H1791" s="10" t="str">
        <f>IF(ROUND(D1791/$B$6,0)&gt;$B$7,"YES","NO")</f>
        <v>NO</v>
      </c>
    </row>
    <row r="1792" spans="1:8">
      <c r="A1792" s="8">
        <v>1782</v>
      </c>
      <c r="B1792" s="9">
        <f>D1791</f>
        <v>2087.109375</v>
      </c>
      <c r="C1792" s="9">
        <f>$B$6</f>
        <v>1.171875</v>
      </c>
      <c r="D1792" s="9">
        <f>B1792+C1792</f>
        <v>2088.28125</v>
      </c>
      <c r="E1792" s="8">
        <f>MIN($B$7,ROUND(D1792/$B$6,0))</f>
        <v>1782</v>
      </c>
      <c r="F1792" s="8" t="str">
        <f>DEC2BIN(INT(E1792/64),5)&amp;DEC2BIN(MOD(E1792,64),6)</f>
        <v>11011110110</v>
      </c>
      <c r="G1792" s="8" t="str">
        <f>DEC2HEX(E1792,3)</f>
        <v>6F6</v>
      </c>
      <c r="H1792" s="8" t="str">
        <f>IF(ROUND(D1792/$B$6,0)&gt;$B$7,"YES","NO")</f>
        <v>NO</v>
      </c>
    </row>
    <row r="1793" spans="1:8">
      <c r="A1793" s="10">
        <v>1783</v>
      </c>
      <c r="B1793" s="11">
        <f>D1792</f>
        <v>2088.28125</v>
      </c>
      <c r="C1793" s="11">
        <f>$B$6</f>
        <v>1.171875</v>
      </c>
      <c r="D1793" s="11">
        <f>B1793+C1793</f>
        <v>2089.453125</v>
      </c>
      <c r="E1793" s="10">
        <f>MIN($B$7,ROUND(D1793/$B$6,0))</f>
        <v>1783</v>
      </c>
      <c r="F1793" s="10" t="str">
        <f>DEC2BIN(INT(E1793/64),5)&amp;DEC2BIN(MOD(E1793,64),6)</f>
        <v>11011110111</v>
      </c>
      <c r="G1793" s="10" t="str">
        <f>DEC2HEX(E1793,3)</f>
        <v>6F7</v>
      </c>
      <c r="H1793" s="10" t="str">
        <f>IF(ROUND(D1793/$B$6,0)&gt;$B$7,"YES","NO")</f>
        <v>NO</v>
      </c>
    </row>
    <row r="1794" spans="1:8">
      <c r="A1794" s="8">
        <v>1784</v>
      </c>
      <c r="B1794" s="9">
        <f>D1793</f>
        <v>2089.453125</v>
      </c>
      <c r="C1794" s="9">
        <f>$B$6</f>
        <v>1.171875</v>
      </c>
      <c r="D1794" s="9">
        <f>B1794+C1794</f>
        <v>2090.625</v>
      </c>
      <c r="E1794" s="8">
        <f>MIN($B$7,ROUND(D1794/$B$6,0))</f>
        <v>1784</v>
      </c>
      <c r="F1794" s="8" t="str">
        <f>DEC2BIN(INT(E1794/64),5)&amp;DEC2BIN(MOD(E1794,64),6)</f>
        <v>11011111000</v>
      </c>
      <c r="G1794" s="8" t="str">
        <f>DEC2HEX(E1794,3)</f>
        <v>6F8</v>
      </c>
      <c r="H1794" s="8" t="str">
        <f>IF(ROUND(D1794/$B$6,0)&gt;$B$7,"YES","NO")</f>
        <v>NO</v>
      </c>
    </row>
    <row r="1795" spans="1:8">
      <c r="A1795" s="10">
        <v>1785</v>
      </c>
      <c r="B1795" s="11">
        <f>D1794</f>
        <v>2090.625</v>
      </c>
      <c r="C1795" s="11">
        <f>$B$6</f>
        <v>1.171875</v>
      </c>
      <c r="D1795" s="11">
        <f>B1795+C1795</f>
        <v>2091.796875</v>
      </c>
      <c r="E1795" s="10">
        <f>MIN($B$7,ROUND(D1795/$B$6,0))</f>
        <v>1785</v>
      </c>
      <c r="F1795" s="10" t="str">
        <f>DEC2BIN(INT(E1795/64),5)&amp;DEC2BIN(MOD(E1795,64),6)</f>
        <v>11011111001</v>
      </c>
      <c r="G1795" s="10" t="str">
        <f>DEC2HEX(E1795,3)</f>
        <v>6F9</v>
      </c>
      <c r="H1795" s="10" t="str">
        <f>IF(ROUND(D1795/$B$6,0)&gt;$B$7,"YES","NO")</f>
        <v>NO</v>
      </c>
    </row>
    <row r="1796" spans="1:8">
      <c r="A1796" s="8">
        <v>1786</v>
      </c>
      <c r="B1796" s="9">
        <f>D1795</f>
        <v>2091.796875</v>
      </c>
      <c r="C1796" s="9">
        <f>$B$6</f>
        <v>1.171875</v>
      </c>
      <c r="D1796" s="9">
        <f>B1796+C1796</f>
        <v>2092.96875</v>
      </c>
      <c r="E1796" s="8">
        <f>MIN($B$7,ROUND(D1796/$B$6,0))</f>
        <v>1786</v>
      </c>
      <c r="F1796" s="8" t="str">
        <f>DEC2BIN(INT(E1796/64),5)&amp;DEC2BIN(MOD(E1796,64),6)</f>
        <v>11011111010</v>
      </c>
      <c r="G1796" s="8" t="str">
        <f>DEC2HEX(E1796,3)</f>
        <v>6FA</v>
      </c>
      <c r="H1796" s="8" t="str">
        <f>IF(ROUND(D1796/$B$6,0)&gt;$B$7,"YES","NO")</f>
        <v>NO</v>
      </c>
    </row>
    <row r="1797" spans="1:8">
      <c r="A1797" s="10">
        <v>1787</v>
      </c>
      <c r="B1797" s="11">
        <f>D1796</f>
        <v>2092.96875</v>
      </c>
      <c r="C1797" s="11">
        <f>$B$6</f>
        <v>1.171875</v>
      </c>
      <c r="D1797" s="11">
        <f>B1797+C1797</f>
        <v>2094.140625</v>
      </c>
      <c r="E1797" s="10">
        <f>MIN($B$7,ROUND(D1797/$B$6,0))</f>
        <v>1787</v>
      </c>
      <c r="F1797" s="10" t="str">
        <f>DEC2BIN(INT(E1797/64),5)&amp;DEC2BIN(MOD(E1797,64),6)</f>
        <v>11011111011</v>
      </c>
      <c r="G1797" s="10" t="str">
        <f>DEC2HEX(E1797,3)</f>
        <v>6FB</v>
      </c>
      <c r="H1797" s="10" t="str">
        <f>IF(ROUND(D1797/$B$6,0)&gt;$B$7,"YES","NO")</f>
        <v>NO</v>
      </c>
    </row>
    <row r="1798" spans="1:8">
      <c r="A1798" s="8">
        <v>1788</v>
      </c>
      <c r="B1798" s="9">
        <f>D1797</f>
        <v>2094.140625</v>
      </c>
      <c r="C1798" s="9">
        <f>$B$6</f>
        <v>1.171875</v>
      </c>
      <c r="D1798" s="9">
        <f>B1798+C1798</f>
        <v>2095.3125</v>
      </c>
      <c r="E1798" s="8">
        <f>MIN($B$7,ROUND(D1798/$B$6,0))</f>
        <v>1788</v>
      </c>
      <c r="F1798" s="8" t="str">
        <f>DEC2BIN(INT(E1798/64),5)&amp;DEC2BIN(MOD(E1798,64),6)</f>
        <v>11011111100</v>
      </c>
      <c r="G1798" s="8" t="str">
        <f>DEC2HEX(E1798,3)</f>
        <v>6FC</v>
      </c>
      <c r="H1798" s="8" t="str">
        <f>IF(ROUND(D1798/$B$6,0)&gt;$B$7,"YES","NO")</f>
        <v>NO</v>
      </c>
    </row>
    <row r="1799" spans="1:8">
      <c r="A1799" s="10">
        <v>1789</v>
      </c>
      <c r="B1799" s="11">
        <f>D1798</f>
        <v>2095.3125</v>
      </c>
      <c r="C1799" s="11">
        <f>$B$6</f>
        <v>1.171875</v>
      </c>
      <c r="D1799" s="11">
        <f>B1799+C1799</f>
        <v>2096.484375</v>
      </c>
      <c r="E1799" s="10">
        <f>MIN($B$7,ROUND(D1799/$B$6,0))</f>
        <v>1789</v>
      </c>
      <c r="F1799" s="10" t="str">
        <f>DEC2BIN(INT(E1799/64),5)&amp;DEC2BIN(MOD(E1799,64),6)</f>
        <v>11011111101</v>
      </c>
      <c r="G1799" s="10" t="str">
        <f>DEC2HEX(E1799,3)</f>
        <v>6FD</v>
      </c>
      <c r="H1799" s="10" t="str">
        <f>IF(ROUND(D1799/$B$6,0)&gt;$B$7,"YES","NO")</f>
        <v>NO</v>
      </c>
    </row>
    <row r="1800" spans="1:8">
      <c r="A1800" s="8">
        <v>1790</v>
      </c>
      <c r="B1800" s="9">
        <f>D1799</f>
        <v>2096.484375</v>
      </c>
      <c r="C1800" s="9">
        <f>$B$6</f>
        <v>1.171875</v>
      </c>
      <c r="D1800" s="9">
        <f>B1800+C1800</f>
        <v>2097.65625</v>
      </c>
      <c r="E1800" s="8">
        <f>MIN($B$7,ROUND(D1800/$B$6,0))</f>
        <v>1790</v>
      </c>
      <c r="F1800" s="8" t="str">
        <f>DEC2BIN(INT(E1800/64),5)&amp;DEC2BIN(MOD(E1800,64),6)</f>
        <v>11011111110</v>
      </c>
      <c r="G1800" s="8" t="str">
        <f>DEC2HEX(E1800,3)</f>
        <v>6FE</v>
      </c>
      <c r="H1800" s="8" t="str">
        <f>IF(ROUND(D1800/$B$6,0)&gt;$B$7,"YES","NO")</f>
        <v>NO</v>
      </c>
    </row>
    <row r="1801" spans="1:8">
      <c r="A1801" s="10">
        <v>1791</v>
      </c>
      <c r="B1801" s="11">
        <f>D1800</f>
        <v>2097.65625</v>
      </c>
      <c r="C1801" s="11">
        <f>$B$6</f>
        <v>1.171875</v>
      </c>
      <c r="D1801" s="11">
        <f>B1801+C1801</f>
        <v>2098.828125</v>
      </c>
      <c r="E1801" s="10">
        <f>MIN($B$7,ROUND(D1801/$B$6,0))</f>
        <v>1791</v>
      </c>
      <c r="F1801" s="10" t="str">
        <f>DEC2BIN(INT(E1801/64),5)&amp;DEC2BIN(MOD(E1801,64),6)</f>
        <v>11011111111</v>
      </c>
      <c r="G1801" s="10" t="str">
        <f>DEC2HEX(E1801,3)</f>
        <v>6FF</v>
      </c>
      <c r="H1801" s="10" t="str">
        <f>IF(ROUND(D1801/$B$6,0)&gt;$B$7,"YES","NO")</f>
        <v>NO</v>
      </c>
    </row>
    <row r="1802" spans="1:8">
      <c r="A1802" s="8">
        <v>1792</v>
      </c>
      <c r="B1802" s="9">
        <f>D1801</f>
        <v>2098.828125</v>
      </c>
      <c r="C1802" s="9">
        <f>$B$6</f>
        <v>1.171875</v>
      </c>
      <c r="D1802" s="9">
        <f>B1802+C1802</f>
        <v>2100</v>
      </c>
      <c r="E1802" s="8">
        <f>MIN($B$7,ROUND(D1802/$B$6,0))</f>
        <v>1792</v>
      </c>
      <c r="F1802" s="8" t="str">
        <f>DEC2BIN(INT(E1802/64),5)&amp;DEC2BIN(MOD(E1802,64),6)</f>
        <v>11100000000</v>
      </c>
      <c r="G1802" s="8" t="str">
        <f>DEC2HEX(E1802,3)</f>
        <v>700</v>
      </c>
      <c r="H1802" s="8" t="str">
        <f>IF(ROUND(D1802/$B$6,0)&gt;$B$7,"YES","NO")</f>
        <v>NO</v>
      </c>
    </row>
    <row r="1803" spans="1:8">
      <c r="A1803" s="10">
        <v>1793</v>
      </c>
      <c r="B1803" s="11">
        <f>D1802</f>
        <v>2100</v>
      </c>
      <c r="C1803" s="11">
        <f>$B$6</f>
        <v>1.171875</v>
      </c>
      <c r="D1803" s="11">
        <f>B1803+C1803</f>
        <v>2101.171875</v>
      </c>
      <c r="E1803" s="10">
        <f>MIN($B$7,ROUND(D1803/$B$6,0))</f>
        <v>1793</v>
      </c>
      <c r="F1803" s="10" t="str">
        <f>DEC2BIN(INT(E1803/64),5)&amp;DEC2BIN(MOD(E1803,64),6)</f>
        <v>11100000001</v>
      </c>
      <c r="G1803" s="10" t="str">
        <f>DEC2HEX(E1803,3)</f>
        <v>701</v>
      </c>
      <c r="H1803" s="10" t="str">
        <f>IF(ROUND(D1803/$B$6,0)&gt;$B$7,"YES","NO")</f>
        <v>NO</v>
      </c>
    </row>
    <row r="1804" spans="1:8">
      <c r="A1804" s="8">
        <v>1794</v>
      </c>
      <c r="B1804" s="9">
        <f>D1803</f>
        <v>2101.171875</v>
      </c>
      <c r="C1804" s="9">
        <f>$B$6</f>
        <v>1.171875</v>
      </c>
      <c r="D1804" s="9">
        <f>B1804+C1804</f>
        <v>2102.34375</v>
      </c>
      <c r="E1804" s="8">
        <f>MIN($B$7,ROUND(D1804/$B$6,0))</f>
        <v>1794</v>
      </c>
      <c r="F1804" s="8" t="str">
        <f>DEC2BIN(INT(E1804/64),5)&amp;DEC2BIN(MOD(E1804,64),6)</f>
        <v>11100000010</v>
      </c>
      <c r="G1804" s="8" t="str">
        <f>DEC2HEX(E1804,3)</f>
        <v>702</v>
      </c>
      <c r="H1804" s="8" t="str">
        <f>IF(ROUND(D1804/$B$6,0)&gt;$B$7,"YES","NO")</f>
        <v>NO</v>
      </c>
    </row>
    <row r="1805" spans="1:8">
      <c r="A1805" s="10">
        <v>1795</v>
      </c>
      <c r="B1805" s="11">
        <f>D1804</f>
        <v>2102.34375</v>
      </c>
      <c r="C1805" s="11">
        <f>$B$6</f>
        <v>1.171875</v>
      </c>
      <c r="D1805" s="11">
        <f>B1805+C1805</f>
        <v>2103.515625</v>
      </c>
      <c r="E1805" s="10">
        <f>MIN($B$7,ROUND(D1805/$B$6,0))</f>
        <v>1795</v>
      </c>
      <c r="F1805" s="10" t="str">
        <f>DEC2BIN(INT(E1805/64),5)&amp;DEC2BIN(MOD(E1805,64),6)</f>
        <v>11100000011</v>
      </c>
      <c r="G1805" s="10" t="str">
        <f>DEC2HEX(E1805,3)</f>
        <v>703</v>
      </c>
      <c r="H1805" s="10" t="str">
        <f>IF(ROUND(D1805/$B$6,0)&gt;$B$7,"YES","NO")</f>
        <v>NO</v>
      </c>
    </row>
    <row r="1806" spans="1:8">
      <c r="A1806" s="8">
        <v>1796</v>
      </c>
      <c r="B1806" s="9">
        <f>D1805</f>
        <v>2103.515625</v>
      </c>
      <c r="C1806" s="9">
        <f>$B$6</f>
        <v>1.171875</v>
      </c>
      <c r="D1806" s="9">
        <f>B1806+C1806</f>
        <v>2104.6875</v>
      </c>
      <c r="E1806" s="8">
        <f>MIN($B$7,ROUND(D1806/$B$6,0))</f>
        <v>1796</v>
      </c>
      <c r="F1806" s="8" t="str">
        <f>DEC2BIN(INT(E1806/64),5)&amp;DEC2BIN(MOD(E1806,64),6)</f>
        <v>11100000100</v>
      </c>
      <c r="G1806" s="8" t="str">
        <f>DEC2HEX(E1806,3)</f>
        <v>704</v>
      </c>
      <c r="H1806" s="8" t="str">
        <f>IF(ROUND(D1806/$B$6,0)&gt;$B$7,"YES","NO")</f>
        <v>NO</v>
      </c>
    </row>
    <row r="1807" spans="1:8">
      <c r="A1807" s="10">
        <v>1797</v>
      </c>
      <c r="B1807" s="11">
        <f>D1806</f>
        <v>2104.6875</v>
      </c>
      <c r="C1807" s="11">
        <f>$B$6</f>
        <v>1.171875</v>
      </c>
      <c r="D1807" s="11">
        <f>B1807+C1807</f>
        <v>2105.859375</v>
      </c>
      <c r="E1807" s="10">
        <f>MIN($B$7,ROUND(D1807/$B$6,0))</f>
        <v>1797</v>
      </c>
      <c r="F1807" s="10" t="str">
        <f>DEC2BIN(INT(E1807/64),5)&amp;DEC2BIN(MOD(E1807,64),6)</f>
        <v>11100000101</v>
      </c>
      <c r="G1807" s="10" t="str">
        <f>DEC2HEX(E1807,3)</f>
        <v>705</v>
      </c>
      <c r="H1807" s="10" t="str">
        <f>IF(ROUND(D1807/$B$6,0)&gt;$B$7,"YES","NO")</f>
        <v>NO</v>
      </c>
    </row>
    <row r="1808" spans="1:8">
      <c r="A1808" s="8">
        <v>1798</v>
      </c>
      <c r="B1808" s="9">
        <f>D1807</f>
        <v>2105.859375</v>
      </c>
      <c r="C1808" s="9">
        <f>$B$6</f>
        <v>1.171875</v>
      </c>
      <c r="D1808" s="9">
        <f>B1808+C1808</f>
        <v>2107.03125</v>
      </c>
      <c r="E1808" s="8">
        <f>MIN($B$7,ROUND(D1808/$B$6,0))</f>
        <v>1798</v>
      </c>
      <c r="F1808" s="8" t="str">
        <f>DEC2BIN(INT(E1808/64),5)&amp;DEC2BIN(MOD(E1808,64),6)</f>
        <v>11100000110</v>
      </c>
      <c r="G1808" s="8" t="str">
        <f>DEC2HEX(E1808,3)</f>
        <v>706</v>
      </c>
      <c r="H1808" s="8" t="str">
        <f>IF(ROUND(D1808/$B$6,0)&gt;$B$7,"YES","NO")</f>
        <v>NO</v>
      </c>
    </row>
    <row r="1809" spans="1:8">
      <c r="A1809" s="10">
        <v>1799</v>
      </c>
      <c r="B1809" s="11">
        <f>D1808</f>
        <v>2107.03125</v>
      </c>
      <c r="C1809" s="11">
        <f>$B$6</f>
        <v>1.171875</v>
      </c>
      <c r="D1809" s="11">
        <f>B1809+C1809</f>
        <v>2108.203125</v>
      </c>
      <c r="E1809" s="10">
        <f>MIN($B$7,ROUND(D1809/$B$6,0))</f>
        <v>1799</v>
      </c>
      <c r="F1809" s="10" t="str">
        <f>DEC2BIN(INT(E1809/64),5)&amp;DEC2BIN(MOD(E1809,64),6)</f>
        <v>11100000111</v>
      </c>
      <c r="G1809" s="10" t="str">
        <f>DEC2HEX(E1809,3)</f>
        <v>707</v>
      </c>
      <c r="H1809" s="10" t="str">
        <f>IF(ROUND(D1809/$B$6,0)&gt;$B$7,"YES","NO")</f>
        <v>NO</v>
      </c>
    </row>
    <row r="1810" spans="1:8">
      <c r="A1810" s="8">
        <v>1800</v>
      </c>
      <c r="B1810" s="9">
        <f>D1809</f>
        <v>2108.203125</v>
      </c>
      <c r="C1810" s="9">
        <f>$B$6</f>
        <v>1.171875</v>
      </c>
      <c r="D1810" s="9">
        <f>B1810+C1810</f>
        <v>2109.375</v>
      </c>
      <c r="E1810" s="8">
        <f>MIN($B$7,ROUND(D1810/$B$6,0))</f>
        <v>1800</v>
      </c>
      <c r="F1810" s="8" t="str">
        <f>DEC2BIN(INT(E1810/64),5)&amp;DEC2BIN(MOD(E1810,64),6)</f>
        <v>11100001000</v>
      </c>
      <c r="G1810" s="8" t="str">
        <f>DEC2HEX(E1810,3)</f>
        <v>708</v>
      </c>
      <c r="H1810" s="8" t="str">
        <f>IF(ROUND(D1810/$B$6,0)&gt;$B$7,"YES","NO")</f>
        <v>NO</v>
      </c>
    </row>
    <row r="1811" spans="1:8">
      <c r="A1811" s="10">
        <v>1801</v>
      </c>
      <c r="B1811" s="11">
        <f>D1810</f>
        <v>2109.375</v>
      </c>
      <c r="C1811" s="11">
        <f>$B$6</f>
        <v>1.171875</v>
      </c>
      <c r="D1811" s="11">
        <f>B1811+C1811</f>
        <v>2110.546875</v>
      </c>
      <c r="E1811" s="10">
        <f>MIN($B$7,ROUND(D1811/$B$6,0))</f>
        <v>1801</v>
      </c>
      <c r="F1811" s="10" t="str">
        <f>DEC2BIN(INT(E1811/64),5)&amp;DEC2BIN(MOD(E1811,64),6)</f>
        <v>11100001001</v>
      </c>
      <c r="G1811" s="10" t="str">
        <f>DEC2HEX(E1811,3)</f>
        <v>709</v>
      </c>
      <c r="H1811" s="10" t="str">
        <f>IF(ROUND(D1811/$B$6,0)&gt;$B$7,"YES","NO")</f>
        <v>NO</v>
      </c>
    </row>
    <row r="1812" spans="1:8">
      <c r="A1812" s="8">
        <v>1802</v>
      </c>
      <c r="B1812" s="9">
        <f>D1811</f>
        <v>2110.546875</v>
      </c>
      <c r="C1812" s="9">
        <f>$B$6</f>
        <v>1.171875</v>
      </c>
      <c r="D1812" s="9">
        <f>B1812+C1812</f>
        <v>2111.71875</v>
      </c>
      <c r="E1812" s="8">
        <f>MIN($B$7,ROUND(D1812/$B$6,0))</f>
        <v>1802</v>
      </c>
      <c r="F1812" s="8" t="str">
        <f>DEC2BIN(INT(E1812/64),5)&amp;DEC2BIN(MOD(E1812,64),6)</f>
        <v>11100001010</v>
      </c>
      <c r="G1812" s="8" t="str">
        <f>DEC2HEX(E1812,3)</f>
        <v>70A</v>
      </c>
      <c r="H1812" s="8" t="str">
        <f>IF(ROUND(D1812/$B$6,0)&gt;$B$7,"YES","NO")</f>
        <v>NO</v>
      </c>
    </row>
    <row r="1813" spans="1:8">
      <c r="A1813" s="10">
        <v>1803</v>
      </c>
      <c r="B1813" s="11">
        <f>D1812</f>
        <v>2111.71875</v>
      </c>
      <c r="C1813" s="11">
        <f>$B$6</f>
        <v>1.171875</v>
      </c>
      <c r="D1813" s="11">
        <f>B1813+C1813</f>
        <v>2112.890625</v>
      </c>
      <c r="E1813" s="10">
        <f>MIN($B$7,ROUND(D1813/$B$6,0))</f>
        <v>1803</v>
      </c>
      <c r="F1813" s="10" t="str">
        <f>DEC2BIN(INT(E1813/64),5)&amp;DEC2BIN(MOD(E1813,64),6)</f>
        <v>11100001011</v>
      </c>
      <c r="G1813" s="10" t="str">
        <f>DEC2HEX(E1813,3)</f>
        <v>70B</v>
      </c>
      <c r="H1813" s="10" t="str">
        <f>IF(ROUND(D1813/$B$6,0)&gt;$B$7,"YES","NO")</f>
        <v>NO</v>
      </c>
    </row>
    <row r="1814" spans="1:8">
      <c r="A1814" s="8">
        <v>1804</v>
      </c>
      <c r="B1814" s="9">
        <f>D1813</f>
        <v>2112.890625</v>
      </c>
      <c r="C1814" s="9">
        <f>$B$6</f>
        <v>1.171875</v>
      </c>
      <c r="D1814" s="9">
        <f>B1814+C1814</f>
        <v>2114.0625</v>
      </c>
      <c r="E1814" s="8">
        <f>MIN($B$7,ROUND(D1814/$B$6,0))</f>
        <v>1804</v>
      </c>
      <c r="F1814" s="8" t="str">
        <f>DEC2BIN(INT(E1814/64),5)&amp;DEC2BIN(MOD(E1814,64),6)</f>
        <v>11100001100</v>
      </c>
      <c r="G1814" s="8" t="str">
        <f>DEC2HEX(E1814,3)</f>
        <v>70C</v>
      </c>
      <c r="H1814" s="8" t="str">
        <f>IF(ROUND(D1814/$B$6,0)&gt;$B$7,"YES","NO")</f>
        <v>NO</v>
      </c>
    </row>
    <row r="1815" spans="1:8">
      <c r="A1815" s="10">
        <v>1805</v>
      </c>
      <c r="B1815" s="11">
        <f>D1814</f>
        <v>2114.0625</v>
      </c>
      <c r="C1815" s="11">
        <f>$B$6</f>
        <v>1.171875</v>
      </c>
      <c r="D1815" s="11">
        <f>B1815+C1815</f>
        <v>2115.234375</v>
      </c>
      <c r="E1815" s="10">
        <f>MIN($B$7,ROUND(D1815/$B$6,0))</f>
        <v>1805</v>
      </c>
      <c r="F1815" s="10" t="str">
        <f>DEC2BIN(INT(E1815/64),5)&amp;DEC2BIN(MOD(E1815,64),6)</f>
        <v>11100001101</v>
      </c>
      <c r="G1815" s="10" t="str">
        <f>DEC2HEX(E1815,3)</f>
        <v>70D</v>
      </c>
      <c r="H1815" s="10" t="str">
        <f>IF(ROUND(D1815/$B$6,0)&gt;$B$7,"YES","NO")</f>
        <v>NO</v>
      </c>
    </row>
    <row r="1816" spans="1:8">
      <c r="A1816" s="8">
        <v>1806</v>
      </c>
      <c r="B1816" s="9">
        <f>D1815</f>
        <v>2115.234375</v>
      </c>
      <c r="C1816" s="9">
        <f>$B$6</f>
        <v>1.171875</v>
      </c>
      <c r="D1816" s="9">
        <f>B1816+C1816</f>
        <v>2116.40625</v>
      </c>
      <c r="E1816" s="8">
        <f>MIN($B$7,ROUND(D1816/$B$6,0))</f>
        <v>1806</v>
      </c>
      <c r="F1816" s="8" t="str">
        <f>DEC2BIN(INT(E1816/64),5)&amp;DEC2BIN(MOD(E1816,64),6)</f>
        <v>11100001110</v>
      </c>
      <c r="G1816" s="8" t="str">
        <f>DEC2HEX(E1816,3)</f>
        <v>70E</v>
      </c>
      <c r="H1816" s="8" t="str">
        <f>IF(ROUND(D1816/$B$6,0)&gt;$B$7,"YES","NO")</f>
        <v>NO</v>
      </c>
    </row>
    <row r="1817" spans="1:8">
      <c r="A1817" s="10">
        <v>1807</v>
      </c>
      <c r="B1817" s="11">
        <f>D1816</f>
        <v>2116.40625</v>
      </c>
      <c r="C1817" s="11">
        <f>$B$6</f>
        <v>1.171875</v>
      </c>
      <c r="D1817" s="11">
        <f>B1817+C1817</f>
        <v>2117.578125</v>
      </c>
      <c r="E1817" s="10">
        <f>MIN($B$7,ROUND(D1817/$B$6,0))</f>
        <v>1807</v>
      </c>
      <c r="F1817" s="10" t="str">
        <f>DEC2BIN(INT(E1817/64),5)&amp;DEC2BIN(MOD(E1817,64),6)</f>
        <v>11100001111</v>
      </c>
      <c r="G1817" s="10" t="str">
        <f>DEC2HEX(E1817,3)</f>
        <v>70F</v>
      </c>
      <c r="H1817" s="10" t="str">
        <f>IF(ROUND(D1817/$B$6,0)&gt;$B$7,"YES","NO")</f>
        <v>NO</v>
      </c>
    </row>
    <row r="1818" spans="1:8">
      <c r="A1818" s="8">
        <v>1808</v>
      </c>
      <c r="B1818" s="9">
        <f>D1817</f>
        <v>2117.578125</v>
      </c>
      <c r="C1818" s="9">
        <f>$B$6</f>
        <v>1.171875</v>
      </c>
      <c r="D1818" s="9">
        <f>B1818+C1818</f>
        <v>2118.75</v>
      </c>
      <c r="E1818" s="8">
        <f>MIN($B$7,ROUND(D1818/$B$6,0))</f>
        <v>1808</v>
      </c>
      <c r="F1818" s="8" t="str">
        <f>DEC2BIN(INT(E1818/64),5)&amp;DEC2BIN(MOD(E1818,64),6)</f>
        <v>11100010000</v>
      </c>
      <c r="G1818" s="8" t="str">
        <f>DEC2HEX(E1818,3)</f>
        <v>710</v>
      </c>
      <c r="H1818" s="8" t="str">
        <f>IF(ROUND(D1818/$B$6,0)&gt;$B$7,"YES","NO")</f>
        <v>NO</v>
      </c>
    </row>
    <row r="1819" spans="1:8">
      <c r="A1819" s="10">
        <v>1809</v>
      </c>
      <c r="B1819" s="11">
        <f>D1818</f>
        <v>2118.75</v>
      </c>
      <c r="C1819" s="11">
        <f>$B$6</f>
        <v>1.171875</v>
      </c>
      <c r="D1819" s="11">
        <f>B1819+C1819</f>
        <v>2119.921875</v>
      </c>
      <c r="E1819" s="10">
        <f>MIN($B$7,ROUND(D1819/$B$6,0))</f>
        <v>1809</v>
      </c>
      <c r="F1819" s="10" t="str">
        <f>DEC2BIN(INT(E1819/64),5)&amp;DEC2BIN(MOD(E1819,64),6)</f>
        <v>11100010001</v>
      </c>
      <c r="G1819" s="10" t="str">
        <f>DEC2HEX(E1819,3)</f>
        <v>711</v>
      </c>
      <c r="H1819" s="10" t="str">
        <f>IF(ROUND(D1819/$B$6,0)&gt;$B$7,"YES","NO")</f>
        <v>NO</v>
      </c>
    </row>
    <row r="1820" spans="1:8">
      <c r="A1820" s="8">
        <v>1810</v>
      </c>
      <c r="B1820" s="9">
        <f>D1819</f>
        <v>2119.921875</v>
      </c>
      <c r="C1820" s="9">
        <f>$B$6</f>
        <v>1.171875</v>
      </c>
      <c r="D1820" s="9">
        <f>B1820+C1820</f>
        <v>2121.09375</v>
      </c>
      <c r="E1820" s="8">
        <f>MIN($B$7,ROUND(D1820/$B$6,0))</f>
        <v>1810</v>
      </c>
      <c r="F1820" s="8" t="str">
        <f>DEC2BIN(INT(E1820/64),5)&amp;DEC2BIN(MOD(E1820,64),6)</f>
        <v>11100010010</v>
      </c>
      <c r="G1820" s="8" t="str">
        <f>DEC2HEX(E1820,3)</f>
        <v>712</v>
      </c>
      <c r="H1820" s="8" t="str">
        <f>IF(ROUND(D1820/$B$6,0)&gt;$B$7,"YES","NO")</f>
        <v>NO</v>
      </c>
    </row>
    <row r="1821" spans="1:8">
      <c r="A1821" s="10">
        <v>1811</v>
      </c>
      <c r="B1821" s="11">
        <f>D1820</f>
        <v>2121.09375</v>
      </c>
      <c r="C1821" s="11">
        <f>$B$6</f>
        <v>1.171875</v>
      </c>
      <c r="D1821" s="11">
        <f>B1821+C1821</f>
        <v>2122.265625</v>
      </c>
      <c r="E1821" s="10">
        <f>MIN($B$7,ROUND(D1821/$B$6,0))</f>
        <v>1811</v>
      </c>
      <c r="F1821" s="10" t="str">
        <f>DEC2BIN(INT(E1821/64),5)&amp;DEC2BIN(MOD(E1821,64),6)</f>
        <v>11100010011</v>
      </c>
      <c r="G1821" s="10" t="str">
        <f>DEC2HEX(E1821,3)</f>
        <v>713</v>
      </c>
      <c r="H1821" s="10" t="str">
        <f>IF(ROUND(D1821/$B$6,0)&gt;$B$7,"YES","NO")</f>
        <v>NO</v>
      </c>
    </row>
    <row r="1822" spans="1:8">
      <c r="A1822" s="8">
        <v>1812</v>
      </c>
      <c r="B1822" s="9">
        <f>D1821</f>
        <v>2122.265625</v>
      </c>
      <c r="C1822" s="9">
        <f>$B$6</f>
        <v>1.171875</v>
      </c>
      <c r="D1822" s="9">
        <f>B1822+C1822</f>
        <v>2123.4375</v>
      </c>
      <c r="E1822" s="8">
        <f>MIN($B$7,ROUND(D1822/$B$6,0))</f>
        <v>1812</v>
      </c>
      <c r="F1822" s="8" t="str">
        <f>DEC2BIN(INT(E1822/64),5)&amp;DEC2BIN(MOD(E1822,64),6)</f>
        <v>11100010100</v>
      </c>
      <c r="G1822" s="8" t="str">
        <f>DEC2HEX(E1822,3)</f>
        <v>714</v>
      </c>
      <c r="H1822" s="8" t="str">
        <f>IF(ROUND(D1822/$B$6,0)&gt;$B$7,"YES","NO")</f>
        <v>NO</v>
      </c>
    </row>
    <row r="1823" spans="1:8">
      <c r="A1823" s="10">
        <v>1813</v>
      </c>
      <c r="B1823" s="11">
        <f>D1822</f>
        <v>2123.4375</v>
      </c>
      <c r="C1823" s="11">
        <f>$B$6</f>
        <v>1.171875</v>
      </c>
      <c r="D1823" s="11">
        <f>B1823+C1823</f>
        <v>2124.609375</v>
      </c>
      <c r="E1823" s="10">
        <f>MIN($B$7,ROUND(D1823/$B$6,0))</f>
        <v>1813</v>
      </c>
      <c r="F1823" s="10" t="str">
        <f>DEC2BIN(INT(E1823/64),5)&amp;DEC2BIN(MOD(E1823,64),6)</f>
        <v>11100010101</v>
      </c>
      <c r="G1823" s="10" t="str">
        <f>DEC2HEX(E1823,3)</f>
        <v>715</v>
      </c>
      <c r="H1823" s="10" t="str">
        <f>IF(ROUND(D1823/$B$6,0)&gt;$B$7,"YES","NO")</f>
        <v>NO</v>
      </c>
    </row>
    <row r="1824" spans="1:8">
      <c r="A1824" s="8">
        <v>1814</v>
      </c>
      <c r="B1824" s="9">
        <f>D1823</f>
        <v>2124.609375</v>
      </c>
      <c r="C1824" s="9">
        <f>$B$6</f>
        <v>1.171875</v>
      </c>
      <c r="D1824" s="9">
        <f>B1824+C1824</f>
        <v>2125.78125</v>
      </c>
      <c r="E1824" s="8">
        <f>MIN($B$7,ROUND(D1824/$B$6,0))</f>
        <v>1814</v>
      </c>
      <c r="F1824" s="8" t="str">
        <f>DEC2BIN(INT(E1824/64),5)&amp;DEC2BIN(MOD(E1824,64),6)</f>
        <v>11100010110</v>
      </c>
      <c r="G1824" s="8" t="str">
        <f>DEC2HEX(E1824,3)</f>
        <v>716</v>
      </c>
      <c r="H1824" s="8" t="str">
        <f>IF(ROUND(D1824/$B$6,0)&gt;$B$7,"YES","NO")</f>
        <v>NO</v>
      </c>
    </row>
    <row r="1825" spans="1:8">
      <c r="A1825" s="10">
        <v>1815</v>
      </c>
      <c r="B1825" s="11">
        <f>D1824</f>
        <v>2125.78125</v>
      </c>
      <c r="C1825" s="11">
        <f>$B$6</f>
        <v>1.171875</v>
      </c>
      <c r="D1825" s="11">
        <f>B1825+C1825</f>
        <v>2126.953125</v>
      </c>
      <c r="E1825" s="10">
        <f>MIN($B$7,ROUND(D1825/$B$6,0))</f>
        <v>1815</v>
      </c>
      <c r="F1825" s="10" t="str">
        <f>DEC2BIN(INT(E1825/64),5)&amp;DEC2BIN(MOD(E1825,64),6)</f>
        <v>11100010111</v>
      </c>
      <c r="G1825" s="10" t="str">
        <f>DEC2HEX(E1825,3)</f>
        <v>717</v>
      </c>
      <c r="H1825" s="10" t="str">
        <f>IF(ROUND(D1825/$B$6,0)&gt;$B$7,"YES","NO")</f>
        <v>NO</v>
      </c>
    </row>
    <row r="1826" spans="1:8">
      <c r="A1826" s="8">
        <v>1816</v>
      </c>
      <c r="B1826" s="9">
        <f>D1825</f>
        <v>2126.953125</v>
      </c>
      <c r="C1826" s="9">
        <f>$B$6</f>
        <v>1.171875</v>
      </c>
      <c r="D1826" s="9">
        <f>B1826+C1826</f>
        <v>2128.125</v>
      </c>
      <c r="E1826" s="8">
        <f>MIN($B$7,ROUND(D1826/$B$6,0))</f>
        <v>1816</v>
      </c>
      <c r="F1826" s="8" t="str">
        <f>DEC2BIN(INT(E1826/64),5)&amp;DEC2BIN(MOD(E1826,64),6)</f>
        <v>11100011000</v>
      </c>
      <c r="G1826" s="8" t="str">
        <f>DEC2HEX(E1826,3)</f>
        <v>718</v>
      </c>
      <c r="H1826" s="8" t="str">
        <f>IF(ROUND(D1826/$B$6,0)&gt;$B$7,"YES","NO")</f>
        <v>NO</v>
      </c>
    </row>
    <row r="1827" spans="1:8">
      <c r="A1827" s="10">
        <v>1817</v>
      </c>
      <c r="B1827" s="11">
        <f>D1826</f>
        <v>2128.125</v>
      </c>
      <c r="C1827" s="11">
        <f>$B$6</f>
        <v>1.171875</v>
      </c>
      <c r="D1827" s="11">
        <f>B1827+C1827</f>
        <v>2129.296875</v>
      </c>
      <c r="E1827" s="10">
        <f>MIN($B$7,ROUND(D1827/$B$6,0))</f>
        <v>1817</v>
      </c>
      <c r="F1827" s="10" t="str">
        <f>DEC2BIN(INT(E1827/64),5)&amp;DEC2BIN(MOD(E1827,64),6)</f>
        <v>11100011001</v>
      </c>
      <c r="G1827" s="10" t="str">
        <f>DEC2HEX(E1827,3)</f>
        <v>719</v>
      </c>
      <c r="H1827" s="10" t="str">
        <f>IF(ROUND(D1827/$B$6,0)&gt;$B$7,"YES","NO")</f>
        <v>NO</v>
      </c>
    </row>
    <row r="1828" spans="1:8">
      <c r="A1828" s="8">
        <v>1818</v>
      </c>
      <c r="B1828" s="9">
        <f>D1827</f>
        <v>2129.296875</v>
      </c>
      <c r="C1828" s="9">
        <f>$B$6</f>
        <v>1.171875</v>
      </c>
      <c r="D1828" s="9">
        <f>B1828+C1828</f>
        <v>2130.46875</v>
      </c>
      <c r="E1828" s="8">
        <f>MIN($B$7,ROUND(D1828/$B$6,0))</f>
        <v>1818</v>
      </c>
      <c r="F1828" s="8" t="str">
        <f>DEC2BIN(INT(E1828/64),5)&amp;DEC2BIN(MOD(E1828,64),6)</f>
        <v>11100011010</v>
      </c>
      <c r="G1828" s="8" t="str">
        <f>DEC2HEX(E1828,3)</f>
        <v>71A</v>
      </c>
      <c r="H1828" s="8" t="str">
        <f>IF(ROUND(D1828/$B$6,0)&gt;$B$7,"YES","NO")</f>
        <v>NO</v>
      </c>
    </row>
    <row r="1829" spans="1:8">
      <c r="A1829" s="10">
        <v>1819</v>
      </c>
      <c r="B1829" s="11">
        <f>D1828</f>
        <v>2130.46875</v>
      </c>
      <c r="C1829" s="11">
        <f>$B$6</f>
        <v>1.171875</v>
      </c>
      <c r="D1829" s="11">
        <f>B1829+C1829</f>
        <v>2131.640625</v>
      </c>
      <c r="E1829" s="10">
        <f>MIN($B$7,ROUND(D1829/$B$6,0))</f>
        <v>1819</v>
      </c>
      <c r="F1829" s="10" t="str">
        <f>DEC2BIN(INT(E1829/64),5)&amp;DEC2BIN(MOD(E1829,64),6)</f>
        <v>11100011011</v>
      </c>
      <c r="G1829" s="10" t="str">
        <f>DEC2HEX(E1829,3)</f>
        <v>71B</v>
      </c>
      <c r="H1829" s="10" t="str">
        <f>IF(ROUND(D1829/$B$6,0)&gt;$B$7,"YES","NO")</f>
        <v>NO</v>
      </c>
    </row>
    <row r="1830" spans="1:8">
      <c r="A1830" s="8">
        <v>1820</v>
      </c>
      <c r="B1830" s="9">
        <f>D1829</f>
        <v>2131.640625</v>
      </c>
      <c r="C1830" s="9">
        <f>$B$6</f>
        <v>1.171875</v>
      </c>
      <c r="D1830" s="9">
        <f>B1830+C1830</f>
        <v>2132.8125</v>
      </c>
      <c r="E1830" s="8">
        <f>MIN($B$7,ROUND(D1830/$B$6,0))</f>
        <v>1820</v>
      </c>
      <c r="F1830" s="8" t="str">
        <f>DEC2BIN(INT(E1830/64),5)&amp;DEC2BIN(MOD(E1830,64),6)</f>
        <v>11100011100</v>
      </c>
      <c r="G1830" s="8" t="str">
        <f>DEC2HEX(E1830,3)</f>
        <v>71C</v>
      </c>
      <c r="H1830" s="8" t="str">
        <f>IF(ROUND(D1830/$B$6,0)&gt;$B$7,"YES","NO")</f>
        <v>NO</v>
      </c>
    </row>
    <row r="1831" spans="1:8">
      <c r="A1831" s="10">
        <v>1821</v>
      </c>
      <c r="B1831" s="11">
        <f>D1830</f>
        <v>2132.8125</v>
      </c>
      <c r="C1831" s="11">
        <f>$B$6</f>
        <v>1.171875</v>
      </c>
      <c r="D1831" s="11">
        <f>B1831+C1831</f>
        <v>2133.984375</v>
      </c>
      <c r="E1831" s="10">
        <f>MIN($B$7,ROUND(D1831/$B$6,0))</f>
        <v>1821</v>
      </c>
      <c r="F1831" s="10" t="str">
        <f>DEC2BIN(INT(E1831/64),5)&amp;DEC2BIN(MOD(E1831,64),6)</f>
        <v>11100011101</v>
      </c>
      <c r="G1831" s="10" t="str">
        <f>DEC2HEX(E1831,3)</f>
        <v>71D</v>
      </c>
      <c r="H1831" s="10" t="str">
        <f>IF(ROUND(D1831/$B$6,0)&gt;$B$7,"YES","NO")</f>
        <v>NO</v>
      </c>
    </row>
    <row r="1832" spans="1:8">
      <c r="A1832" s="8">
        <v>1822</v>
      </c>
      <c r="B1832" s="9">
        <f>D1831</f>
        <v>2133.984375</v>
      </c>
      <c r="C1832" s="9">
        <f>$B$6</f>
        <v>1.171875</v>
      </c>
      <c r="D1832" s="9">
        <f>B1832+C1832</f>
        <v>2135.15625</v>
      </c>
      <c r="E1832" s="8">
        <f>MIN($B$7,ROUND(D1832/$B$6,0))</f>
        <v>1822</v>
      </c>
      <c r="F1832" s="8" t="str">
        <f>DEC2BIN(INT(E1832/64),5)&amp;DEC2BIN(MOD(E1832,64),6)</f>
        <v>11100011110</v>
      </c>
      <c r="G1832" s="8" t="str">
        <f>DEC2HEX(E1832,3)</f>
        <v>71E</v>
      </c>
      <c r="H1832" s="8" t="str">
        <f>IF(ROUND(D1832/$B$6,0)&gt;$B$7,"YES","NO")</f>
        <v>NO</v>
      </c>
    </row>
    <row r="1833" spans="1:8">
      <c r="A1833" s="10">
        <v>1823</v>
      </c>
      <c r="B1833" s="11">
        <f>D1832</f>
        <v>2135.15625</v>
      </c>
      <c r="C1833" s="11">
        <f>$B$6</f>
        <v>1.171875</v>
      </c>
      <c r="D1833" s="11">
        <f>B1833+C1833</f>
        <v>2136.328125</v>
      </c>
      <c r="E1833" s="10">
        <f>MIN($B$7,ROUND(D1833/$B$6,0))</f>
        <v>1823</v>
      </c>
      <c r="F1833" s="10" t="str">
        <f>DEC2BIN(INT(E1833/64),5)&amp;DEC2BIN(MOD(E1833,64),6)</f>
        <v>11100011111</v>
      </c>
      <c r="G1833" s="10" t="str">
        <f>DEC2HEX(E1833,3)</f>
        <v>71F</v>
      </c>
      <c r="H1833" s="10" t="str">
        <f>IF(ROUND(D1833/$B$6,0)&gt;$B$7,"YES","NO")</f>
        <v>NO</v>
      </c>
    </row>
    <row r="1834" spans="1:8">
      <c r="A1834" s="8">
        <v>1824</v>
      </c>
      <c r="B1834" s="9">
        <f>D1833</f>
        <v>2136.328125</v>
      </c>
      <c r="C1834" s="9">
        <f>$B$6</f>
        <v>1.171875</v>
      </c>
      <c r="D1834" s="9">
        <f>B1834+C1834</f>
        <v>2137.5</v>
      </c>
      <c r="E1834" s="8">
        <f>MIN($B$7,ROUND(D1834/$B$6,0))</f>
        <v>1824</v>
      </c>
      <c r="F1834" s="8" t="str">
        <f>DEC2BIN(INT(E1834/64),5)&amp;DEC2BIN(MOD(E1834,64),6)</f>
        <v>11100100000</v>
      </c>
      <c r="G1834" s="8" t="str">
        <f>DEC2HEX(E1834,3)</f>
        <v>720</v>
      </c>
      <c r="H1834" s="8" t="str">
        <f>IF(ROUND(D1834/$B$6,0)&gt;$B$7,"YES","NO")</f>
        <v>NO</v>
      </c>
    </row>
    <row r="1835" spans="1:8">
      <c r="A1835" s="10">
        <v>1825</v>
      </c>
      <c r="B1835" s="11">
        <f>D1834</f>
        <v>2137.5</v>
      </c>
      <c r="C1835" s="11">
        <f>$B$6</f>
        <v>1.171875</v>
      </c>
      <c r="D1835" s="11">
        <f>B1835+C1835</f>
        <v>2138.671875</v>
      </c>
      <c r="E1835" s="10">
        <f>MIN($B$7,ROUND(D1835/$B$6,0))</f>
        <v>1825</v>
      </c>
      <c r="F1835" s="10" t="str">
        <f>DEC2BIN(INT(E1835/64),5)&amp;DEC2BIN(MOD(E1835,64),6)</f>
        <v>11100100001</v>
      </c>
      <c r="G1835" s="10" t="str">
        <f>DEC2HEX(E1835,3)</f>
        <v>721</v>
      </c>
      <c r="H1835" s="10" t="str">
        <f>IF(ROUND(D1835/$B$6,0)&gt;$B$7,"YES","NO")</f>
        <v>NO</v>
      </c>
    </row>
    <row r="1836" spans="1:8">
      <c r="A1836" s="8">
        <v>1826</v>
      </c>
      <c r="B1836" s="9">
        <f>D1835</f>
        <v>2138.671875</v>
      </c>
      <c r="C1836" s="9">
        <f>$B$6</f>
        <v>1.171875</v>
      </c>
      <c r="D1836" s="9">
        <f>B1836+C1836</f>
        <v>2139.84375</v>
      </c>
      <c r="E1836" s="8">
        <f>MIN($B$7,ROUND(D1836/$B$6,0))</f>
        <v>1826</v>
      </c>
      <c r="F1836" s="8" t="str">
        <f>DEC2BIN(INT(E1836/64),5)&amp;DEC2BIN(MOD(E1836,64),6)</f>
        <v>11100100010</v>
      </c>
      <c r="G1836" s="8" t="str">
        <f>DEC2HEX(E1836,3)</f>
        <v>722</v>
      </c>
      <c r="H1836" s="8" t="str">
        <f>IF(ROUND(D1836/$B$6,0)&gt;$B$7,"YES","NO")</f>
        <v>NO</v>
      </c>
    </row>
    <row r="1837" spans="1:8">
      <c r="A1837" s="10">
        <v>1827</v>
      </c>
      <c r="B1837" s="11">
        <f>D1836</f>
        <v>2139.84375</v>
      </c>
      <c r="C1837" s="11">
        <f>$B$6</f>
        <v>1.171875</v>
      </c>
      <c r="D1837" s="11">
        <f>B1837+C1837</f>
        <v>2141.015625</v>
      </c>
      <c r="E1837" s="10">
        <f>MIN($B$7,ROUND(D1837/$B$6,0))</f>
        <v>1827</v>
      </c>
      <c r="F1837" s="10" t="str">
        <f>DEC2BIN(INT(E1837/64),5)&amp;DEC2BIN(MOD(E1837,64),6)</f>
        <v>11100100011</v>
      </c>
      <c r="G1837" s="10" t="str">
        <f>DEC2HEX(E1837,3)</f>
        <v>723</v>
      </c>
      <c r="H1837" s="10" t="str">
        <f>IF(ROUND(D1837/$B$6,0)&gt;$B$7,"YES","NO")</f>
        <v>NO</v>
      </c>
    </row>
    <row r="1838" spans="1:8">
      <c r="A1838" s="8">
        <v>1828</v>
      </c>
      <c r="B1838" s="9">
        <f>D1837</f>
        <v>2141.015625</v>
      </c>
      <c r="C1838" s="9">
        <f>$B$6</f>
        <v>1.171875</v>
      </c>
      <c r="D1838" s="9">
        <f>B1838+C1838</f>
        <v>2142.1875</v>
      </c>
      <c r="E1838" s="8">
        <f>MIN($B$7,ROUND(D1838/$B$6,0))</f>
        <v>1828</v>
      </c>
      <c r="F1838" s="8" t="str">
        <f>DEC2BIN(INT(E1838/64),5)&amp;DEC2BIN(MOD(E1838,64),6)</f>
        <v>11100100100</v>
      </c>
      <c r="G1838" s="8" t="str">
        <f>DEC2HEX(E1838,3)</f>
        <v>724</v>
      </c>
      <c r="H1838" s="8" t="str">
        <f>IF(ROUND(D1838/$B$6,0)&gt;$B$7,"YES","NO")</f>
        <v>NO</v>
      </c>
    </row>
    <row r="1839" spans="1:8">
      <c r="A1839" s="10">
        <v>1829</v>
      </c>
      <c r="B1839" s="11">
        <f>D1838</f>
        <v>2142.1875</v>
      </c>
      <c r="C1839" s="11">
        <f>$B$6</f>
        <v>1.171875</v>
      </c>
      <c r="D1839" s="11">
        <f>B1839+C1839</f>
        <v>2143.359375</v>
      </c>
      <c r="E1839" s="10">
        <f>MIN($B$7,ROUND(D1839/$B$6,0))</f>
        <v>1829</v>
      </c>
      <c r="F1839" s="10" t="str">
        <f>DEC2BIN(INT(E1839/64),5)&amp;DEC2BIN(MOD(E1839,64),6)</f>
        <v>11100100101</v>
      </c>
      <c r="G1839" s="10" t="str">
        <f>DEC2HEX(E1839,3)</f>
        <v>725</v>
      </c>
      <c r="H1839" s="10" t="str">
        <f>IF(ROUND(D1839/$B$6,0)&gt;$B$7,"YES","NO")</f>
        <v>NO</v>
      </c>
    </row>
    <row r="1840" spans="1:8">
      <c r="A1840" s="8">
        <v>1830</v>
      </c>
      <c r="B1840" s="9">
        <f>D1839</f>
        <v>2143.359375</v>
      </c>
      <c r="C1840" s="9">
        <f>$B$6</f>
        <v>1.171875</v>
      </c>
      <c r="D1840" s="9">
        <f>B1840+C1840</f>
        <v>2144.53125</v>
      </c>
      <c r="E1840" s="8">
        <f>MIN($B$7,ROUND(D1840/$B$6,0))</f>
        <v>1830</v>
      </c>
      <c r="F1840" s="8" t="str">
        <f>DEC2BIN(INT(E1840/64),5)&amp;DEC2BIN(MOD(E1840,64),6)</f>
        <v>11100100110</v>
      </c>
      <c r="G1840" s="8" t="str">
        <f>DEC2HEX(E1840,3)</f>
        <v>726</v>
      </c>
      <c r="H1840" s="8" t="str">
        <f>IF(ROUND(D1840/$B$6,0)&gt;$B$7,"YES","NO")</f>
        <v>NO</v>
      </c>
    </row>
    <row r="1841" spans="1:8">
      <c r="A1841" s="10">
        <v>1831</v>
      </c>
      <c r="B1841" s="11">
        <f>D1840</f>
        <v>2144.53125</v>
      </c>
      <c r="C1841" s="11">
        <f>$B$6</f>
        <v>1.171875</v>
      </c>
      <c r="D1841" s="11">
        <f>B1841+C1841</f>
        <v>2145.703125</v>
      </c>
      <c r="E1841" s="10">
        <f>MIN($B$7,ROUND(D1841/$B$6,0))</f>
        <v>1831</v>
      </c>
      <c r="F1841" s="10" t="str">
        <f>DEC2BIN(INT(E1841/64),5)&amp;DEC2BIN(MOD(E1841,64),6)</f>
        <v>11100100111</v>
      </c>
      <c r="G1841" s="10" t="str">
        <f>DEC2HEX(E1841,3)</f>
        <v>727</v>
      </c>
      <c r="H1841" s="10" t="str">
        <f>IF(ROUND(D1841/$B$6,0)&gt;$B$7,"YES","NO")</f>
        <v>NO</v>
      </c>
    </row>
    <row r="1842" spans="1:8">
      <c r="A1842" s="8">
        <v>1832</v>
      </c>
      <c r="B1842" s="9">
        <f>D1841</f>
        <v>2145.703125</v>
      </c>
      <c r="C1842" s="9">
        <f>$B$6</f>
        <v>1.171875</v>
      </c>
      <c r="D1842" s="9">
        <f>B1842+C1842</f>
        <v>2146.875</v>
      </c>
      <c r="E1842" s="8">
        <f>MIN($B$7,ROUND(D1842/$B$6,0))</f>
        <v>1832</v>
      </c>
      <c r="F1842" s="8" t="str">
        <f>DEC2BIN(INT(E1842/64),5)&amp;DEC2BIN(MOD(E1842,64),6)</f>
        <v>11100101000</v>
      </c>
      <c r="G1842" s="8" t="str">
        <f>DEC2HEX(E1842,3)</f>
        <v>728</v>
      </c>
      <c r="H1842" s="8" t="str">
        <f>IF(ROUND(D1842/$B$6,0)&gt;$B$7,"YES","NO")</f>
        <v>NO</v>
      </c>
    </row>
    <row r="1843" spans="1:8">
      <c r="A1843" s="10">
        <v>1833</v>
      </c>
      <c r="B1843" s="11">
        <f>D1842</f>
        <v>2146.875</v>
      </c>
      <c r="C1843" s="11">
        <f>$B$6</f>
        <v>1.171875</v>
      </c>
      <c r="D1843" s="11">
        <f>B1843+C1843</f>
        <v>2148.046875</v>
      </c>
      <c r="E1843" s="10">
        <f>MIN($B$7,ROUND(D1843/$B$6,0))</f>
        <v>1833</v>
      </c>
      <c r="F1843" s="10" t="str">
        <f>DEC2BIN(INT(E1843/64),5)&amp;DEC2BIN(MOD(E1843,64),6)</f>
        <v>11100101001</v>
      </c>
      <c r="G1843" s="10" t="str">
        <f>DEC2HEX(E1843,3)</f>
        <v>729</v>
      </c>
      <c r="H1843" s="10" t="str">
        <f>IF(ROUND(D1843/$B$6,0)&gt;$B$7,"YES","NO")</f>
        <v>NO</v>
      </c>
    </row>
    <row r="1844" spans="1:8">
      <c r="A1844" s="8">
        <v>1834</v>
      </c>
      <c r="B1844" s="9">
        <f>D1843</f>
        <v>2148.046875</v>
      </c>
      <c r="C1844" s="9">
        <f>$B$6</f>
        <v>1.171875</v>
      </c>
      <c r="D1844" s="9">
        <f>B1844+C1844</f>
        <v>2149.21875</v>
      </c>
      <c r="E1844" s="8">
        <f>MIN($B$7,ROUND(D1844/$B$6,0))</f>
        <v>1834</v>
      </c>
      <c r="F1844" s="8" t="str">
        <f>DEC2BIN(INT(E1844/64),5)&amp;DEC2BIN(MOD(E1844,64),6)</f>
        <v>11100101010</v>
      </c>
      <c r="G1844" s="8" t="str">
        <f>DEC2HEX(E1844,3)</f>
        <v>72A</v>
      </c>
      <c r="H1844" s="8" t="str">
        <f>IF(ROUND(D1844/$B$6,0)&gt;$B$7,"YES","NO")</f>
        <v>NO</v>
      </c>
    </row>
    <row r="1845" spans="1:8">
      <c r="A1845" s="10">
        <v>1835</v>
      </c>
      <c r="B1845" s="11">
        <f>D1844</f>
        <v>2149.21875</v>
      </c>
      <c r="C1845" s="11">
        <f>$B$6</f>
        <v>1.171875</v>
      </c>
      <c r="D1845" s="11">
        <f>B1845+C1845</f>
        <v>2150.390625</v>
      </c>
      <c r="E1845" s="10">
        <f>MIN($B$7,ROUND(D1845/$B$6,0))</f>
        <v>1835</v>
      </c>
      <c r="F1845" s="10" t="str">
        <f>DEC2BIN(INT(E1845/64),5)&amp;DEC2BIN(MOD(E1845,64),6)</f>
        <v>11100101011</v>
      </c>
      <c r="G1845" s="10" t="str">
        <f>DEC2HEX(E1845,3)</f>
        <v>72B</v>
      </c>
      <c r="H1845" s="10" t="str">
        <f>IF(ROUND(D1845/$B$6,0)&gt;$B$7,"YES","NO")</f>
        <v>NO</v>
      </c>
    </row>
    <row r="1846" spans="1:8">
      <c r="A1846" s="8">
        <v>1836</v>
      </c>
      <c r="B1846" s="9">
        <f>D1845</f>
        <v>2150.390625</v>
      </c>
      <c r="C1846" s="9">
        <f>$B$6</f>
        <v>1.171875</v>
      </c>
      <c r="D1846" s="9">
        <f>B1846+C1846</f>
        <v>2151.5625</v>
      </c>
      <c r="E1846" s="8">
        <f>MIN($B$7,ROUND(D1846/$B$6,0))</f>
        <v>1836</v>
      </c>
      <c r="F1846" s="8" t="str">
        <f>DEC2BIN(INT(E1846/64),5)&amp;DEC2BIN(MOD(E1846,64),6)</f>
        <v>11100101100</v>
      </c>
      <c r="G1846" s="8" t="str">
        <f>DEC2HEX(E1846,3)</f>
        <v>72C</v>
      </c>
      <c r="H1846" s="8" t="str">
        <f>IF(ROUND(D1846/$B$6,0)&gt;$B$7,"YES","NO")</f>
        <v>NO</v>
      </c>
    </row>
    <row r="1847" spans="1:8">
      <c r="A1847" s="10">
        <v>1837</v>
      </c>
      <c r="B1847" s="11">
        <f>D1846</f>
        <v>2151.5625</v>
      </c>
      <c r="C1847" s="11">
        <f>$B$6</f>
        <v>1.171875</v>
      </c>
      <c r="D1847" s="11">
        <f>B1847+C1847</f>
        <v>2152.734375</v>
      </c>
      <c r="E1847" s="10">
        <f>MIN($B$7,ROUND(D1847/$B$6,0))</f>
        <v>1837</v>
      </c>
      <c r="F1847" s="10" t="str">
        <f>DEC2BIN(INT(E1847/64),5)&amp;DEC2BIN(MOD(E1847,64),6)</f>
        <v>11100101101</v>
      </c>
      <c r="G1847" s="10" t="str">
        <f>DEC2HEX(E1847,3)</f>
        <v>72D</v>
      </c>
      <c r="H1847" s="10" t="str">
        <f>IF(ROUND(D1847/$B$6,0)&gt;$B$7,"YES","NO")</f>
        <v>NO</v>
      </c>
    </row>
    <row r="1848" spans="1:8">
      <c r="A1848" s="8">
        <v>1838</v>
      </c>
      <c r="B1848" s="9">
        <f>D1847</f>
        <v>2152.734375</v>
      </c>
      <c r="C1848" s="9">
        <f>$B$6</f>
        <v>1.171875</v>
      </c>
      <c r="D1848" s="9">
        <f>B1848+C1848</f>
        <v>2153.90625</v>
      </c>
      <c r="E1848" s="8">
        <f>MIN($B$7,ROUND(D1848/$B$6,0))</f>
        <v>1838</v>
      </c>
      <c r="F1848" s="8" t="str">
        <f>DEC2BIN(INT(E1848/64),5)&amp;DEC2BIN(MOD(E1848,64),6)</f>
        <v>11100101110</v>
      </c>
      <c r="G1848" s="8" t="str">
        <f>DEC2HEX(E1848,3)</f>
        <v>72E</v>
      </c>
      <c r="H1848" s="8" t="str">
        <f>IF(ROUND(D1848/$B$6,0)&gt;$B$7,"YES","NO")</f>
        <v>NO</v>
      </c>
    </row>
    <row r="1849" spans="1:8">
      <c r="A1849" s="10">
        <v>1839</v>
      </c>
      <c r="B1849" s="11">
        <f>D1848</f>
        <v>2153.90625</v>
      </c>
      <c r="C1849" s="11">
        <f>$B$6</f>
        <v>1.171875</v>
      </c>
      <c r="D1849" s="11">
        <f>B1849+C1849</f>
        <v>2155.078125</v>
      </c>
      <c r="E1849" s="10">
        <f>MIN($B$7,ROUND(D1849/$B$6,0))</f>
        <v>1839</v>
      </c>
      <c r="F1849" s="10" t="str">
        <f>DEC2BIN(INT(E1849/64),5)&amp;DEC2BIN(MOD(E1849,64),6)</f>
        <v>11100101111</v>
      </c>
      <c r="G1849" s="10" t="str">
        <f>DEC2HEX(E1849,3)</f>
        <v>72F</v>
      </c>
      <c r="H1849" s="10" t="str">
        <f>IF(ROUND(D1849/$B$6,0)&gt;$B$7,"YES","NO")</f>
        <v>NO</v>
      </c>
    </row>
    <row r="1850" spans="1:8">
      <c r="A1850" s="8">
        <v>1840</v>
      </c>
      <c r="B1850" s="9">
        <f>D1849</f>
        <v>2155.078125</v>
      </c>
      <c r="C1850" s="9">
        <f>$B$6</f>
        <v>1.171875</v>
      </c>
      <c r="D1850" s="9">
        <f>B1850+C1850</f>
        <v>2156.25</v>
      </c>
      <c r="E1850" s="8">
        <f>MIN($B$7,ROUND(D1850/$B$6,0))</f>
        <v>1840</v>
      </c>
      <c r="F1850" s="8" t="str">
        <f>DEC2BIN(INT(E1850/64),5)&amp;DEC2BIN(MOD(E1850,64),6)</f>
        <v>11100110000</v>
      </c>
      <c r="G1850" s="8" t="str">
        <f>DEC2HEX(E1850,3)</f>
        <v>730</v>
      </c>
      <c r="H1850" s="8" t="str">
        <f>IF(ROUND(D1850/$B$6,0)&gt;$B$7,"YES","NO")</f>
        <v>NO</v>
      </c>
    </row>
    <row r="1851" spans="1:8">
      <c r="A1851" s="10">
        <v>1841</v>
      </c>
      <c r="B1851" s="11">
        <f>D1850</f>
        <v>2156.25</v>
      </c>
      <c r="C1851" s="11">
        <f>$B$6</f>
        <v>1.171875</v>
      </c>
      <c r="D1851" s="11">
        <f>B1851+C1851</f>
        <v>2157.421875</v>
      </c>
      <c r="E1851" s="10">
        <f>MIN($B$7,ROUND(D1851/$B$6,0))</f>
        <v>1841</v>
      </c>
      <c r="F1851" s="10" t="str">
        <f>DEC2BIN(INT(E1851/64),5)&amp;DEC2BIN(MOD(E1851,64),6)</f>
        <v>11100110001</v>
      </c>
      <c r="G1851" s="10" t="str">
        <f>DEC2HEX(E1851,3)</f>
        <v>731</v>
      </c>
      <c r="H1851" s="10" t="str">
        <f>IF(ROUND(D1851/$B$6,0)&gt;$B$7,"YES","NO")</f>
        <v>NO</v>
      </c>
    </row>
    <row r="1852" spans="1:8">
      <c r="A1852" s="8">
        <v>1842</v>
      </c>
      <c r="B1852" s="9">
        <f>D1851</f>
        <v>2157.421875</v>
      </c>
      <c r="C1852" s="9">
        <f>$B$6</f>
        <v>1.171875</v>
      </c>
      <c r="D1852" s="9">
        <f>B1852+C1852</f>
        <v>2158.59375</v>
      </c>
      <c r="E1852" s="8">
        <f>MIN($B$7,ROUND(D1852/$B$6,0))</f>
        <v>1842</v>
      </c>
      <c r="F1852" s="8" t="str">
        <f>DEC2BIN(INT(E1852/64),5)&amp;DEC2BIN(MOD(E1852,64),6)</f>
        <v>11100110010</v>
      </c>
      <c r="G1852" s="8" t="str">
        <f>DEC2HEX(E1852,3)</f>
        <v>732</v>
      </c>
      <c r="H1852" s="8" t="str">
        <f>IF(ROUND(D1852/$B$6,0)&gt;$B$7,"YES","NO")</f>
        <v>NO</v>
      </c>
    </row>
    <row r="1853" spans="1:8">
      <c r="A1853" s="10">
        <v>1843</v>
      </c>
      <c r="B1853" s="11">
        <f>D1852</f>
        <v>2158.59375</v>
      </c>
      <c r="C1853" s="11">
        <f>$B$6</f>
        <v>1.171875</v>
      </c>
      <c r="D1853" s="11">
        <f>B1853+C1853</f>
        <v>2159.765625</v>
      </c>
      <c r="E1853" s="10">
        <f>MIN($B$7,ROUND(D1853/$B$6,0))</f>
        <v>1843</v>
      </c>
      <c r="F1853" s="10" t="str">
        <f>DEC2BIN(INT(E1853/64),5)&amp;DEC2BIN(MOD(E1853,64),6)</f>
        <v>11100110011</v>
      </c>
      <c r="G1853" s="10" t="str">
        <f>DEC2HEX(E1853,3)</f>
        <v>733</v>
      </c>
      <c r="H1853" s="10" t="str">
        <f>IF(ROUND(D1853/$B$6,0)&gt;$B$7,"YES","NO")</f>
        <v>NO</v>
      </c>
    </row>
    <row r="1854" spans="1:8">
      <c r="A1854" s="8">
        <v>1844</v>
      </c>
      <c r="B1854" s="9">
        <f>D1853</f>
        <v>2159.765625</v>
      </c>
      <c r="C1854" s="9">
        <f>$B$6</f>
        <v>1.171875</v>
      </c>
      <c r="D1854" s="9">
        <f>B1854+C1854</f>
        <v>2160.9375</v>
      </c>
      <c r="E1854" s="8">
        <f>MIN($B$7,ROUND(D1854/$B$6,0))</f>
        <v>1844</v>
      </c>
      <c r="F1854" s="8" t="str">
        <f>DEC2BIN(INT(E1854/64),5)&amp;DEC2BIN(MOD(E1854,64),6)</f>
        <v>11100110100</v>
      </c>
      <c r="G1854" s="8" t="str">
        <f>DEC2HEX(E1854,3)</f>
        <v>734</v>
      </c>
      <c r="H1854" s="8" t="str">
        <f>IF(ROUND(D1854/$B$6,0)&gt;$B$7,"YES","NO")</f>
        <v>NO</v>
      </c>
    </row>
    <row r="1855" spans="1:8">
      <c r="A1855" s="10">
        <v>1845</v>
      </c>
      <c r="B1855" s="11">
        <f>D1854</f>
        <v>2160.9375</v>
      </c>
      <c r="C1855" s="11">
        <f>$B$6</f>
        <v>1.171875</v>
      </c>
      <c r="D1855" s="11">
        <f>B1855+C1855</f>
        <v>2162.109375</v>
      </c>
      <c r="E1855" s="10">
        <f>MIN($B$7,ROUND(D1855/$B$6,0))</f>
        <v>1845</v>
      </c>
      <c r="F1855" s="10" t="str">
        <f>DEC2BIN(INT(E1855/64),5)&amp;DEC2BIN(MOD(E1855,64),6)</f>
        <v>11100110101</v>
      </c>
      <c r="G1855" s="10" t="str">
        <f>DEC2HEX(E1855,3)</f>
        <v>735</v>
      </c>
      <c r="H1855" s="10" t="str">
        <f>IF(ROUND(D1855/$B$6,0)&gt;$B$7,"YES","NO")</f>
        <v>NO</v>
      </c>
    </row>
    <row r="1856" spans="1:8">
      <c r="A1856" s="8">
        <v>1846</v>
      </c>
      <c r="B1856" s="9">
        <f>D1855</f>
        <v>2162.109375</v>
      </c>
      <c r="C1856" s="9">
        <f>$B$6</f>
        <v>1.171875</v>
      </c>
      <c r="D1856" s="9">
        <f>B1856+C1856</f>
        <v>2163.28125</v>
      </c>
      <c r="E1856" s="8">
        <f>MIN($B$7,ROUND(D1856/$B$6,0))</f>
        <v>1846</v>
      </c>
      <c r="F1856" s="8" t="str">
        <f>DEC2BIN(INT(E1856/64),5)&amp;DEC2BIN(MOD(E1856,64),6)</f>
        <v>11100110110</v>
      </c>
      <c r="G1856" s="8" t="str">
        <f>DEC2HEX(E1856,3)</f>
        <v>736</v>
      </c>
      <c r="H1856" s="8" t="str">
        <f>IF(ROUND(D1856/$B$6,0)&gt;$B$7,"YES","NO")</f>
        <v>NO</v>
      </c>
    </row>
    <row r="1857" spans="1:8">
      <c r="A1857" s="10">
        <v>1847</v>
      </c>
      <c r="B1857" s="11">
        <f>D1856</f>
        <v>2163.28125</v>
      </c>
      <c r="C1857" s="11">
        <f>$B$6</f>
        <v>1.171875</v>
      </c>
      <c r="D1857" s="11">
        <f>B1857+C1857</f>
        <v>2164.453125</v>
      </c>
      <c r="E1857" s="10">
        <f>MIN($B$7,ROUND(D1857/$B$6,0))</f>
        <v>1847</v>
      </c>
      <c r="F1857" s="10" t="str">
        <f>DEC2BIN(INT(E1857/64),5)&amp;DEC2BIN(MOD(E1857,64),6)</f>
        <v>11100110111</v>
      </c>
      <c r="G1857" s="10" t="str">
        <f>DEC2HEX(E1857,3)</f>
        <v>737</v>
      </c>
      <c r="H1857" s="10" t="str">
        <f>IF(ROUND(D1857/$B$6,0)&gt;$B$7,"YES","NO")</f>
        <v>NO</v>
      </c>
    </row>
    <row r="1858" spans="1:8">
      <c r="A1858" s="8">
        <v>1848</v>
      </c>
      <c r="B1858" s="9">
        <f>D1857</f>
        <v>2164.453125</v>
      </c>
      <c r="C1858" s="9">
        <f>$B$6</f>
        <v>1.171875</v>
      </c>
      <c r="D1858" s="9">
        <f>B1858+C1858</f>
        <v>2165.625</v>
      </c>
      <c r="E1858" s="8">
        <f>MIN($B$7,ROUND(D1858/$B$6,0))</f>
        <v>1848</v>
      </c>
      <c r="F1858" s="8" t="str">
        <f>DEC2BIN(INT(E1858/64),5)&amp;DEC2BIN(MOD(E1858,64),6)</f>
        <v>11100111000</v>
      </c>
      <c r="G1858" s="8" t="str">
        <f>DEC2HEX(E1858,3)</f>
        <v>738</v>
      </c>
      <c r="H1858" s="8" t="str">
        <f>IF(ROUND(D1858/$B$6,0)&gt;$B$7,"YES","NO")</f>
        <v>NO</v>
      </c>
    </row>
    <row r="1859" spans="1:8">
      <c r="A1859" s="10">
        <v>1849</v>
      </c>
      <c r="B1859" s="11">
        <f>D1858</f>
        <v>2165.625</v>
      </c>
      <c r="C1859" s="11">
        <f>$B$6</f>
        <v>1.171875</v>
      </c>
      <c r="D1859" s="11">
        <f>B1859+C1859</f>
        <v>2166.796875</v>
      </c>
      <c r="E1859" s="10">
        <f>MIN($B$7,ROUND(D1859/$B$6,0))</f>
        <v>1849</v>
      </c>
      <c r="F1859" s="10" t="str">
        <f>DEC2BIN(INT(E1859/64),5)&amp;DEC2BIN(MOD(E1859,64),6)</f>
        <v>11100111001</v>
      </c>
      <c r="G1859" s="10" t="str">
        <f>DEC2HEX(E1859,3)</f>
        <v>739</v>
      </c>
      <c r="H1859" s="10" t="str">
        <f>IF(ROUND(D1859/$B$6,0)&gt;$B$7,"YES","NO")</f>
        <v>NO</v>
      </c>
    </row>
    <row r="1860" spans="1:8">
      <c r="A1860" s="8">
        <v>1850</v>
      </c>
      <c r="B1860" s="9">
        <f>D1859</f>
        <v>2166.796875</v>
      </c>
      <c r="C1860" s="9">
        <f>$B$6</f>
        <v>1.171875</v>
      </c>
      <c r="D1860" s="9">
        <f>B1860+C1860</f>
        <v>2167.96875</v>
      </c>
      <c r="E1860" s="8">
        <f>MIN($B$7,ROUND(D1860/$B$6,0))</f>
        <v>1850</v>
      </c>
      <c r="F1860" s="8" t="str">
        <f>DEC2BIN(INT(E1860/64),5)&amp;DEC2BIN(MOD(E1860,64),6)</f>
        <v>11100111010</v>
      </c>
      <c r="G1860" s="8" t="str">
        <f>DEC2HEX(E1860,3)</f>
        <v>73A</v>
      </c>
      <c r="H1860" s="8" t="str">
        <f>IF(ROUND(D1860/$B$6,0)&gt;$B$7,"YES","NO")</f>
        <v>NO</v>
      </c>
    </row>
    <row r="1861" spans="1:8">
      <c r="A1861" s="10">
        <v>1851</v>
      </c>
      <c r="B1861" s="11">
        <f>D1860</f>
        <v>2167.96875</v>
      </c>
      <c r="C1861" s="11">
        <f>$B$6</f>
        <v>1.171875</v>
      </c>
      <c r="D1861" s="11">
        <f>B1861+C1861</f>
        <v>2169.140625</v>
      </c>
      <c r="E1861" s="10">
        <f>MIN($B$7,ROUND(D1861/$B$6,0))</f>
        <v>1851</v>
      </c>
      <c r="F1861" s="10" t="str">
        <f>DEC2BIN(INT(E1861/64),5)&amp;DEC2BIN(MOD(E1861,64),6)</f>
        <v>11100111011</v>
      </c>
      <c r="G1861" s="10" t="str">
        <f>DEC2HEX(E1861,3)</f>
        <v>73B</v>
      </c>
      <c r="H1861" s="10" t="str">
        <f>IF(ROUND(D1861/$B$6,0)&gt;$B$7,"YES","NO")</f>
        <v>NO</v>
      </c>
    </row>
    <row r="1862" spans="1:8">
      <c r="A1862" s="8">
        <v>1852</v>
      </c>
      <c r="B1862" s="9">
        <f>D1861</f>
        <v>2169.140625</v>
      </c>
      <c r="C1862" s="9">
        <f>$B$6</f>
        <v>1.171875</v>
      </c>
      <c r="D1862" s="9">
        <f>B1862+C1862</f>
        <v>2170.3125</v>
      </c>
      <c r="E1862" s="8">
        <f>MIN($B$7,ROUND(D1862/$B$6,0))</f>
        <v>1852</v>
      </c>
      <c r="F1862" s="8" t="str">
        <f>DEC2BIN(INT(E1862/64),5)&amp;DEC2BIN(MOD(E1862,64),6)</f>
        <v>11100111100</v>
      </c>
      <c r="G1862" s="8" t="str">
        <f>DEC2HEX(E1862,3)</f>
        <v>73C</v>
      </c>
      <c r="H1862" s="8" t="str">
        <f>IF(ROUND(D1862/$B$6,0)&gt;$B$7,"YES","NO")</f>
        <v>NO</v>
      </c>
    </row>
    <row r="1863" spans="1:8">
      <c r="A1863" s="10">
        <v>1853</v>
      </c>
      <c r="B1863" s="11">
        <f>D1862</f>
        <v>2170.3125</v>
      </c>
      <c r="C1863" s="11">
        <f>$B$6</f>
        <v>1.171875</v>
      </c>
      <c r="D1863" s="11">
        <f>B1863+C1863</f>
        <v>2171.484375</v>
      </c>
      <c r="E1863" s="10">
        <f>MIN($B$7,ROUND(D1863/$B$6,0))</f>
        <v>1853</v>
      </c>
      <c r="F1863" s="10" t="str">
        <f>DEC2BIN(INT(E1863/64),5)&amp;DEC2BIN(MOD(E1863,64),6)</f>
        <v>11100111101</v>
      </c>
      <c r="G1863" s="10" t="str">
        <f>DEC2HEX(E1863,3)</f>
        <v>73D</v>
      </c>
      <c r="H1863" s="10" t="str">
        <f>IF(ROUND(D1863/$B$6,0)&gt;$B$7,"YES","NO")</f>
        <v>NO</v>
      </c>
    </row>
    <row r="1864" spans="1:8">
      <c r="A1864" s="8">
        <v>1854</v>
      </c>
      <c r="B1864" s="9">
        <f>D1863</f>
        <v>2171.484375</v>
      </c>
      <c r="C1864" s="9">
        <f>$B$6</f>
        <v>1.171875</v>
      </c>
      <c r="D1864" s="9">
        <f>B1864+C1864</f>
        <v>2172.65625</v>
      </c>
      <c r="E1864" s="8">
        <f>MIN($B$7,ROUND(D1864/$B$6,0))</f>
        <v>1854</v>
      </c>
      <c r="F1864" s="8" t="str">
        <f>DEC2BIN(INT(E1864/64),5)&amp;DEC2BIN(MOD(E1864,64),6)</f>
        <v>11100111110</v>
      </c>
      <c r="G1864" s="8" t="str">
        <f>DEC2HEX(E1864,3)</f>
        <v>73E</v>
      </c>
      <c r="H1864" s="8" t="str">
        <f>IF(ROUND(D1864/$B$6,0)&gt;$B$7,"YES","NO")</f>
        <v>NO</v>
      </c>
    </row>
    <row r="1865" spans="1:8">
      <c r="A1865" s="10">
        <v>1855</v>
      </c>
      <c r="B1865" s="11">
        <f>D1864</f>
        <v>2172.65625</v>
      </c>
      <c r="C1865" s="11">
        <f>$B$6</f>
        <v>1.171875</v>
      </c>
      <c r="D1865" s="11">
        <f>B1865+C1865</f>
        <v>2173.828125</v>
      </c>
      <c r="E1865" s="10">
        <f>MIN($B$7,ROUND(D1865/$B$6,0))</f>
        <v>1855</v>
      </c>
      <c r="F1865" s="10" t="str">
        <f>DEC2BIN(INT(E1865/64),5)&amp;DEC2BIN(MOD(E1865,64),6)</f>
        <v>11100111111</v>
      </c>
      <c r="G1865" s="10" t="str">
        <f>DEC2HEX(E1865,3)</f>
        <v>73F</v>
      </c>
      <c r="H1865" s="10" t="str">
        <f>IF(ROUND(D1865/$B$6,0)&gt;$B$7,"YES","NO")</f>
        <v>NO</v>
      </c>
    </row>
    <row r="1866" spans="1:8">
      <c r="A1866" s="8">
        <v>1856</v>
      </c>
      <c r="B1866" s="9">
        <f>D1865</f>
        <v>2173.828125</v>
      </c>
      <c r="C1866" s="9">
        <f>$B$6</f>
        <v>1.171875</v>
      </c>
      <c r="D1866" s="9">
        <f>B1866+C1866</f>
        <v>2175</v>
      </c>
      <c r="E1866" s="8">
        <f>MIN($B$7,ROUND(D1866/$B$6,0))</f>
        <v>1856</v>
      </c>
      <c r="F1866" s="8" t="str">
        <f>DEC2BIN(INT(E1866/64),5)&amp;DEC2BIN(MOD(E1866,64),6)</f>
        <v>11101000000</v>
      </c>
      <c r="G1866" s="8" t="str">
        <f>DEC2HEX(E1866,3)</f>
        <v>740</v>
      </c>
      <c r="H1866" s="8" t="str">
        <f>IF(ROUND(D1866/$B$6,0)&gt;$B$7,"YES","NO")</f>
        <v>NO</v>
      </c>
    </row>
    <row r="1867" spans="1:8">
      <c r="A1867" s="10">
        <v>1857</v>
      </c>
      <c r="B1867" s="11">
        <f>D1866</f>
        <v>2175</v>
      </c>
      <c r="C1867" s="11">
        <f>$B$6</f>
        <v>1.171875</v>
      </c>
      <c r="D1867" s="11">
        <f>B1867+C1867</f>
        <v>2176.171875</v>
      </c>
      <c r="E1867" s="10">
        <f>MIN($B$7,ROUND(D1867/$B$6,0))</f>
        <v>1857</v>
      </c>
      <c r="F1867" s="10" t="str">
        <f>DEC2BIN(INT(E1867/64),5)&amp;DEC2BIN(MOD(E1867,64),6)</f>
        <v>11101000001</v>
      </c>
      <c r="G1867" s="10" t="str">
        <f>DEC2HEX(E1867,3)</f>
        <v>741</v>
      </c>
      <c r="H1867" s="10" t="str">
        <f>IF(ROUND(D1867/$B$6,0)&gt;$B$7,"YES","NO")</f>
        <v>NO</v>
      </c>
    </row>
    <row r="1868" spans="1:8">
      <c r="A1868" s="8">
        <v>1858</v>
      </c>
      <c r="B1868" s="9">
        <f>D1867</f>
        <v>2176.171875</v>
      </c>
      <c r="C1868" s="9">
        <f>$B$6</f>
        <v>1.171875</v>
      </c>
      <c r="D1868" s="9">
        <f>B1868+C1868</f>
        <v>2177.34375</v>
      </c>
      <c r="E1868" s="8">
        <f>MIN($B$7,ROUND(D1868/$B$6,0))</f>
        <v>1858</v>
      </c>
      <c r="F1868" s="8" t="str">
        <f>DEC2BIN(INT(E1868/64),5)&amp;DEC2BIN(MOD(E1868,64),6)</f>
        <v>11101000010</v>
      </c>
      <c r="G1868" s="8" t="str">
        <f>DEC2HEX(E1868,3)</f>
        <v>742</v>
      </c>
      <c r="H1868" s="8" t="str">
        <f>IF(ROUND(D1868/$B$6,0)&gt;$B$7,"YES","NO")</f>
        <v>NO</v>
      </c>
    </row>
    <row r="1869" spans="1:8">
      <c r="A1869" s="10">
        <v>1859</v>
      </c>
      <c r="B1869" s="11">
        <f>D1868</f>
        <v>2177.34375</v>
      </c>
      <c r="C1869" s="11">
        <f>$B$6</f>
        <v>1.171875</v>
      </c>
      <c r="D1869" s="11">
        <f>B1869+C1869</f>
        <v>2178.515625</v>
      </c>
      <c r="E1869" s="10">
        <f>MIN($B$7,ROUND(D1869/$B$6,0))</f>
        <v>1859</v>
      </c>
      <c r="F1869" s="10" t="str">
        <f>DEC2BIN(INT(E1869/64),5)&amp;DEC2BIN(MOD(E1869,64),6)</f>
        <v>11101000011</v>
      </c>
      <c r="G1869" s="10" t="str">
        <f>DEC2HEX(E1869,3)</f>
        <v>743</v>
      </c>
      <c r="H1869" s="10" t="str">
        <f>IF(ROUND(D1869/$B$6,0)&gt;$B$7,"YES","NO")</f>
        <v>NO</v>
      </c>
    </row>
    <row r="1870" spans="1:8">
      <c r="A1870" s="8">
        <v>1860</v>
      </c>
      <c r="B1870" s="9">
        <f>D1869</f>
        <v>2178.515625</v>
      </c>
      <c r="C1870" s="9">
        <f>$B$6</f>
        <v>1.171875</v>
      </c>
      <c r="D1870" s="9">
        <f>B1870+C1870</f>
        <v>2179.6875</v>
      </c>
      <c r="E1870" s="8">
        <f>MIN($B$7,ROUND(D1870/$B$6,0))</f>
        <v>1860</v>
      </c>
      <c r="F1870" s="8" t="str">
        <f>DEC2BIN(INT(E1870/64),5)&amp;DEC2BIN(MOD(E1870,64),6)</f>
        <v>11101000100</v>
      </c>
      <c r="G1870" s="8" t="str">
        <f>DEC2HEX(E1870,3)</f>
        <v>744</v>
      </c>
      <c r="H1870" s="8" t="str">
        <f>IF(ROUND(D1870/$B$6,0)&gt;$B$7,"YES","NO")</f>
        <v>NO</v>
      </c>
    </row>
    <row r="1871" spans="1:8">
      <c r="A1871" s="10">
        <v>1861</v>
      </c>
      <c r="B1871" s="11">
        <f>D1870</f>
        <v>2179.6875</v>
      </c>
      <c r="C1871" s="11">
        <f>$B$6</f>
        <v>1.171875</v>
      </c>
      <c r="D1871" s="11">
        <f>B1871+C1871</f>
        <v>2180.859375</v>
      </c>
      <c r="E1871" s="10">
        <f>MIN($B$7,ROUND(D1871/$B$6,0))</f>
        <v>1861</v>
      </c>
      <c r="F1871" s="10" t="str">
        <f>DEC2BIN(INT(E1871/64),5)&amp;DEC2BIN(MOD(E1871,64),6)</f>
        <v>11101000101</v>
      </c>
      <c r="G1871" s="10" t="str">
        <f>DEC2HEX(E1871,3)</f>
        <v>745</v>
      </c>
      <c r="H1871" s="10" t="str">
        <f>IF(ROUND(D1871/$B$6,0)&gt;$B$7,"YES","NO")</f>
        <v>NO</v>
      </c>
    </row>
    <row r="1872" spans="1:8">
      <c r="A1872" s="8">
        <v>1862</v>
      </c>
      <c r="B1872" s="9">
        <f>D1871</f>
        <v>2180.859375</v>
      </c>
      <c r="C1872" s="9">
        <f>$B$6</f>
        <v>1.171875</v>
      </c>
      <c r="D1872" s="9">
        <f>B1872+C1872</f>
        <v>2182.03125</v>
      </c>
      <c r="E1872" s="8">
        <f>MIN($B$7,ROUND(D1872/$B$6,0))</f>
        <v>1862</v>
      </c>
      <c r="F1872" s="8" t="str">
        <f>DEC2BIN(INT(E1872/64),5)&amp;DEC2BIN(MOD(E1872,64),6)</f>
        <v>11101000110</v>
      </c>
      <c r="G1872" s="8" t="str">
        <f>DEC2HEX(E1872,3)</f>
        <v>746</v>
      </c>
      <c r="H1872" s="8" t="str">
        <f>IF(ROUND(D1872/$B$6,0)&gt;$B$7,"YES","NO")</f>
        <v>NO</v>
      </c>
    </row>
    <row r="1873" spans="1:8">
      <c r="A1873" s="10">
        <v>1863</v>
      </c>
      <c r="B1873" s="11">
        <f>D1872</f>
        <v>2182.03125</v>
      </c>
      <c r="C1873" s="11">
        <f>$B$6</f>
        <v>1.171875</v>
      </c>
      <c r="D1873" s="11">
        <f>B1873+C1873</f>
        <v>2183.203125</v>
      </c>
      <c r="E1873" s="10">
        <f>MIN($B$7,ROUND(D1873/$B$6,0))</f>
        <v>1863</v>
      </c>
      <c r="F1873" s="10" t="str">
        <f>DEC2BIN(INT(E1873/64),5)&amp;DEC2BIN(MOD(E1873,64),6)</f>
        <v>11101000111</v>
      </c>
      <c r="G1873" s="10" t="str">
        <f>DEC2HEX(E1873,3)</f>
        <v>747</v>
      </c>
      <c r="H1873" s="10" t="str">
        <f>IF(ROUND(D1873/$B$6,0)&gt;$B$7,"YES","NO")</f>
        <v>NO</v>
      </c>
    </row>
    <row r="1874" spans="1:8">
      <c r="A1874" s="8">
        <v>1864</v>
      </c>
      <c r="B1874" s="9">
        <f>D1873</f>
        <v>2183.203125</v>
      </c>
      <c r="C1874" s="9">
        <f>$B$6</f>
        <v>1.171875</v>
      </c>
      <c r="D1874" s="9">
        <f>B1874+C1874</f>
        <v>2184.375</v>
      </c>
      <c r="E1874" s="8">
        <f>MIN($B$7,ROUND(D1874/$B$6,0))</f>
        <v>1864</v>
      </c>
      <c r="F1874" s="8" t="str">
        <f>DEC2BIN(INT(E1874/64),5)&amp;DEC2BIN(MOD(E1874,64),6)</f>
        <v>11101001000</v>
      </c>
      <c r="G1874" s="8" t="str">
        <f>DEC2HEX(E1874,3)</f>
        <v>748</v>
      </c>
      <c r="H1874" s="8" t="str">
        <f>IF(ROUND(D1874/$B$6,0)&gt;$B$7,"YES","NO")</f>
        <v>NO</v>
      </c>
    </row>
    <row r="1875" spans="1:8">
      <c r="A1875" s="10">
        <v>1865</v>
      </c>
      <c r="B1875" s="11">
        <f>D1874</f>
        <v>2184.375</v>
      </c>
      <c r="C1875" s="11">
        <f>$B$6</f>
        <v>1.171875</v>
      </c>
      <c r="D1875" s="11">
        <f>B1875+C1875</f>
        <v>2185.546875</v>
      </c>
      <c r="E1875" s="10">
        <f>MIN($B$7,ROUND(D1875/$B$6,0))</f>
        <v>1865</v>
      </c>
      <c r="F1875" s="10" t="str">
        <f>DEC2BIN(INT(E1875/64),5)&amp;DEC2BIN(MOD(E1875,64),6)</f>
        <v>11101001001</v>
      </c>
      <c r="G1875" s="10" t="str">
        <f>DEC2HEX(E1875,3)</f>
        <v>749</v>
      </c>
      <c r="H1875" s="10" t="str">
        <f>IF(ROUND(D1875/$B$6,0)&gt;$B$7,"YES","NO")</f>
        <v>NO</v>
      </c>
    </row>
    <row r="1876" spans="1:8">
      <c r="A1876" s="8">
        <v>1866</v>
      </c>
      <c r="B1876" s="9">
        <f>D1875</f>
        <v>2185.546875</v>
      </c>
      <c r="C1876" s="9">
        <f>$B$6</f>
        <v>1.171875</v>
      </c>
      <c r="D1876" s="9">
        <f>B1876+C1876</f>
        <v>2186.71875</v>
      </c>
      <c r="E1876" s="8">
        <f>MIN($B$7,ROUND(D1876/$B$6,0))</f>
        <v>1866</v>
      </c>
      <c r="F1876" s="8" t="str">
        <f>DEC2BIN(INT(E1876/64),5)&amp;DEC2BIN(MOD(E1876,64),6)</f>
        <v>11101001010</v>
      </c>
      <c r="G1876" s="8" t="str">
        <f>DEC2HEX(E1876,3)</f>
        <v>74A</v>
      </c>
      <c r="H1876" s="8" t="str">
        <f>IF(ROUND(D1876/$B$6,0)&gt;$B$7,"YES","NO")</f>
        <v>NO</v>
      </c>
    </row>
    <row r="1877" spans="1:8">
      <c r="A1877" s="10">
        <v>1867</v>
      </c>
      <c r="B1877" s="11">
        <f>D1876</f>
        <v>2186.71875</v>
      </c>
      <c r="C1877" s="11">
        <f>$B$6</f>
        <v>1.171875</v>
      </c>
      <c r="D1877" s="11">
        <f>B1877+C1877</f>
        <v>2187.890625</v>
      </c>
      <c r="E1877" s="10">
        <f>MIN($B$7,ROUND(D1877/$B$6,0))</f>
        <v>1867</v>
      </c>
      <c r="F1877" s="10" t="str">
        <f>DEC2BIN(INT(E1877/64),5)&amp;DEC2BIN(MOD(E1877,64),6)</f>
        <v>11101001011</v>
      </c>
      <c r="G1877" s="10" t="str">
        <f>DEC2HEX(E1877,3)</f>
        <v>74B</v>
      </c>
      <c r="H1877" s="10" t="str">
        <f>IF(ROUND(D1877/$B$6,0)&gt;$B$7,"YES","NO")</f>
        <v>NO</v>
      </c>
    </row>
    <row r="1878" spans="1:8">
      <c r="A1878" s="8">
        <v>1868</v>
      </c>
      <c r="B1878" s="9">
        <f>D1877</f>
        <v>2187.890625</v>
      </c>
      <c r="C1878" s="9">
        <f>$B$6</f>
        <v>1.171875</v>
      </c>
      <c r="D1878" s="9">
        <f>B1878+C1878</f>
        <v>2189.0625</v>
      </c>
      <c r="E1878" s="8">
        <f>MIN($B$7,ROUND(D1878/$B$6,0))</f>
        <v>1868</v>
      </c>
      <c r="F1878" s="8" t="str">
        <f>DEC2BIN(INT(E1878/64),5)&amp;DEC2BIN(MOD(E1878,64),6)</f>
        <v>11101001100</v>
      </c>
      <c r="G1878" s="8" t="str">
        <f>DEC2HEX(E1878,3)</f>
        <v>74C</v>
      </c>
      <c r="H1878" s="8" t="str">
        <f>IF(ROUND(D1878/$B$6,0)&gt;$B$7,"YES","NO")</f>
        <v>NO</v>
      </c>
    </row>
    <row r="1879" spans="1:8">
      <c r="A1879" s="10">
        <v>1869</v>
      </c>
      <c r="B1879" s="11">
        <f>D1878</f>
        <v>2189.0625</v>
      </c>
      <c r="C1879" s="11">
        <f>$B$6</f>
        <v>1.171875</v>
      </c>
      <c r="D1879" s="11">
        <f>B1879+C1879</f>
        <v>2190.234375</v>
      </c>
      <c r="E1879" s="10">
        <f>MIN($B$7,ROUND(D1879/$B$6,0))</f>
        <v>1869</v>
      </c>
      <c r="F1879" s="10" t="str">
        <f>DEC2BIN(INT(E1879/64),5)&amp;DEC2BIN(MOD(E1879,64),6)</f>
        <v>11101001101</v>
      </c>
      <c r="G1879" s="10" t="str">
        <f>DEC2HEX(E1879,3)</f>
        <v>74D</v>
      </c>
      <c r="H1879" s="10" t="str">
        <f>IF(ROUND(D1879/$B$6,0)&gt;$B$7,"YES","NO")</f>
        <v>NO</v>
      </c>
    </row>
    <row r="1880" spans="1:8">
      <c r="A1880" s="8">
        <v>1870</v>
      </c>
      <c r="B1880" s="9">
        <f>D1879</f>
        <v>2190.234375</v>
      </c>
      <c r="C1880" s="9">
        <f>$B$6</f>
        <v>1.171875</v>
      </c>
      <c r="D1880" s="9">
        <f>B1880+C1880</f>
        <v>2191.40625</v>
      </c>
      <c r="E1880" s="8">
        <f>MIN($B$7,ROUND(D1880/$B$6,0))</f>
        <v>1870</v>
      </c>
      <c r="F1880" s="8" t="str">
        <f>DEC2BIN(INT(E1880/64),5)&amp;DEC2BIN(MOD(E1880,64),6)</f>
        <v>11101001110</v>
      </c>
      <c r="G1880" s="8" t="str">
        <f>DEC2HEX(E1880,3)</f>
        <v>74E</v>
      </c>
      <c r="H1880" s="8" t="str">
        <f>IF(ROUND(D1880/$B$6,0)&gt;$B$7,"YES","NO")</f>
        <v>NO</v>
      </c>
    </row>
    <row r="1881" spans="1:8">
      <c r="A1881" s="10">
        <v>1871</v>
      </c>
      <c r="B1881" s="11">
        <f>D1880</f>
        <v>2191.40625</v>
      </c>
      <c r="C1881" s="11">
        <f>$B$6</f>
        <v>1.171875</v>
      </c>
      <c r="D1881" s="11">
        <f>B1881+C1881</f>
        <v>2192.578125</v>
      </c>
      <c r="E1881" s="10">
        <f>MIN($B$7,ROUND(D1881/$B$6,0))</f>
        <v>1871</v>
      </c>
      <c r="F1881" s="10" t="str">
        <f>DEC2BIN(INT(E1881/64),5)&amp;DEC2BIN(MOD(E1881,64),6)</f>
        <v>11101001111</v>
      </c>
      <c r="G1881" s="10" t="str">
        <f>DEC2HEX(E1881,3)</f>
        <v>74F</v>
      </c>
      <c r="H1881" s="10" t="str">
        <f>IF(ROUND(D1881/$B$6,0)&gt;$B$7,"YES","NO")</f>
        <v>NO</v>
      </c>
    </row>
    <row r="1882" spans="1:8">
      <c r="A1882" s="8">
        <v>1872</v>
      </c>
      <c r="B1882" s="9">
        <f>D1881</f>
        <v>2192.578125</v>
      </c>
      <c r="C1882" s="9">
        <f>$B$6</f>
        <v>1.171875</v>
      </c>
      <c r="D1882" s="9">
        <f>B1882+C1882</f>
        <v>2193.75</v>
      </c>
      <c r="E1882" s="8">
        <f>MIN($B$7,ROUND(D1882/$B$6,0))</f>
        <v>1872</v>
      </c>
      <c r="F1882" s="8" t="str">
        <f>DEC2BIN(INT(E1882/64),5)&amp;DEC2BIN(MOD(E1882,64),6)</f>
        <v>11101010000</v>
      </c>
      <c r="G1882" s="8" t="str">
        <f>DEC2HEX(E1882,3)</f>
        <v>750</v>
      </c>
      <c r="H1882" s="8" t="str">
        <f>IF(ROUND(D1882/$B$6,0)&gt;$B$7,"YES","NO")</f>
        <v>NO</v>
      </c>
    </row>
    <row r="1883" spans="1:8">
      <c r="A1883" s="10">
        <v>1873</v>
      </c>
      <c r="B1883" s="11">
        <f>D1882</f>
        <v>2193.75</v>
      </c>
      <c r="C1883" s="11">
        <f>$B$6</f>
        <v>1.171875</v>
      </c>
      <c r="D1883" s="11">
        <f>B1883+C1883</f>
        <v>2194.921875</v>
      </c>
      <c r="E1883" s="10">
        <f>MIN($B$7,ROUND(D1883/$B$6,0))</f>
        <v>1873</v>
      </c>
      <c r="F1883" s="10" t="str">
        <f>DEC2BIN(INT(E1883/64),5)&amp;DEC2BIN(MOD(E1883,64),6)</f>
        <v>11101010001</v>
      </c>
      <c r="G1883" s="10" t="str">
        <f>DEC2HEX(E1883,3)</f>
        <v>751</v>
      </c>
      <c r="H1883" s="10" t="str">
        <f>IF(ROUND(D1883/$B$6,0)&gt;$B$7,"YES","NO")</f>
        <v>NO</v>
      </c>
    </row>
    <row r="1884" spans="1:8">
      <c r="A1884" s="8">
        <v>1874</v>
      </c>
      <c r="B1884" s="9">
        <f>D1883</f>
        <v>2194.921875</v>
      </c>
      <c r="C1884" s="9">
        <f>$B$6</f>
        <v>1.171875</v>
      </c>
      <c r="D1884" s="9">
        <f>B1884+C1884</f>
        <v>2196.09375</v>
      </c>
      <c r="E1884" s="8">
        <f>MIN($B$7,ROUND(D1884/$B$6,0))</f>
        <v>1874</v>
      </c>
      <c r="F1884" s="8" t="str">
        <f>DEC2BIN(INT(E1884/64),5)&amp;DEC2BIN(MOD(E1884,64),6)</f>
        <v>11101010010</v>
      </c>
      <c r="G1884" s="8" t="str">
        <f>DEC2HEX(E1884,3)</f>
        <v>752</v>
      </c>
      <c r="H1884" s="8" t="str">
        <f>IF(ROUND(D1884/$B$6,0)&gt;$B$7,"YES","NO")</f>
        <v>NO</v>
      </c>
    </row>
    <row r="1885" spans="1:8">
      <c r="A1885" s="10">
        <v>1875</v>
      </c>
      <c r="B1885" s="11">
        <f>D1884</f>
        <v>2196.09375</v>
      </c>
      <c r="C1885" s="11">
        <f>$B$6</f>
        <v>1.171875</v>
      </c>
      <c r="D1885" s="11">
        <f>B1885+C1885</f>
        <v>2197.265625</v>
      </c>
      <c r="E1885" s="10">
        <f>MIN($B$7,ROUND(D1885/$B$6,0))</f>
        <v>1875</v>
      </c>
      <c r="F1885" s="10" t="str">
        <f>DEC2BIN(INT(E1885/64),5)&amp;DEC2BIN(MOD(E1885,64),6)</f>
        <v>11101010011</v>
      </c>
      <c r="G1885" s="10" t="str">
        <f>DEC2HEX(E1885,3)</f>
        <v>753</v>
      </c>
      <c r="H1885" s="10" t="str">
        <f>IF(ROUND(D1885/$B$6,0)&gt;$B$7,"YES","NO")</f>
        <v>NO</v>
      </c>
    </row>
    <row r="1886" spans="1:8">
      <c r="A1886" s="8">
        <v>1876</v>
      </c>
      <c r="B1886" s="9">
        <f>D1885</f>
        <v>2197.265625</v>
      </c>
      <c r="C1886" s="9">
        <f>$B$6</f>
        <v>1.171875</v>
      </c>
      <c r="D1886" s="9">
        <f>B1886+C1886</f>
        <v>2198.4375</v>
      </c>
      <c r="E1886" s="8">
        <f>MIN($B$7,ROUND(D1886/$B$6,0))</f>
        <v>1876</v>
      </c>
      <c r="F1886" s="8" t="str">
        <f>DEC2BIN(INT(E1886/64),5)&amp;DEC2BIN(MOD(E1886,64),6)</f>
        <v>11101010100</v>
      </c>
      <c r="G1886" s="8" t="str">
        <f>DEC2HEX(E1886,3)</f>
        <v>754</v>
      </c>
      <c r="H1886" s="8" t="str">
        <f>IF(ROUND(D1886/$B$6,0)&gt;$B$7,"YES","NO")</f>
        <v>NO</v>
      </c>
    </row>
    <row r="1887" spans="1:8">
      <c r="A1887" s="10">
        <v>1877</v>
      </c>
      <c r="B1887" s="11">
        <f>D1886</f>
        <v>2198.4375</v>
      </c>
      <c r="C1887" s="11">
        <f>$B$6</f>
        <v>1.171875</v>
      </c>
      <c r="D1887" s="11">
        <f>B1887+C1887</f>
        <v>2199.609375</v>
      </c>
      <c r="E1887" s="10">
        <f>MIN($B$7,ROUND(D1887/$B$6,0))</f>
        <v>1877</v>
      </c>
      <c r="F1887" s="10" t="str">
        <f>DEC2BIN(INT(E1887/64),5)&amp;DEC2BIN(MOD(E1887,64),6)</f>
        <v>11101010101</v>
      </c>
      <c r="G1887" s="10" t="str">
        <f>DEC2HEX(E1887,3)</f>
        <v>755</v>
      </c>
      <c r="H1887" s="10" t="str">
        <f>IF(ROUND(D1887/$B$6,0)&gt;$B$7,"YES","NO")</f>
        <v>NO</v>
      </c>
    </row>
    <row r="1888" spans="1:8">
      <c r="A1888" s="8">
        <v>1878</v>
      </c>
      <c r="B1888" s="9">
        <f>D1887</f>
        <v>2199.609375</v>
      </c>
      <c r="C1888" s="9">
        <f>$B$6</f>
        <v>1.171875</v>
      </c>
      <c r="D1888" s="9">
        <f>B1888+C1888</f>
        <v>2200.78125</v>
      </c>
      <c r="E1888" s="8">
        <f>MIN($B$7,ROUND(D1888/$B$6,0))</f>
        <v>1878</v>
      </c>
      <c r="F1888" s="8" t="str">
        <f>DEC2BIN(INT(E1888/64),5)&amp;DEC2BIN(MOD(E1888,64),6)</f>
        <v>11101010110</v>
      </c>
      <c r="G1888" s="8" t="str">
        <f>DEC2HEX(E1888,3)</f>
        <v>756</v>
      </c>
      <c r="H1888" s="8" t="str">
        <f>IF(ROUND(D1888/$B$6,0)&gt;$B$7,"YES","NO")</f>
        <v>NO</v>
      </c>
    </row>
    <row r="1889" spans="1:8">
      <c r="A1889" s="10">
        <v>1879</v>
      </c>
      <c r="B1889" s="11">
        <f>D1888</f>
        <v>2200.78125</v>
      </c>
      <c r="C1889" s="11">
        <f>$B$6</f>
        <v>1.171875</v>
      </c>
      <c r="D1889" s="11">
        <f>B1889+C1889</f>
        <v>2201.953125</v>
      </c>
      <c r="E1889" s="10">
        <f>MIN($B$7,ROUND(D1889/$B$6,0))</f>
        <v>1879</v>
      </c>
      <c r="F1889" s="10" t="str">
        <f>DEC2BIN(INT(E1889/64),5)&amp;DEC2BIN(MOD(E1889,64),6)</f>
        <v>11101010111</v>
      </c>
      <c r="G1889" s="10" t="str">
        <f>DEC2HEX(E1889,3)</f>
        <v>757</v>
      </c>
      <c r="H1889" s="10" t="str">
        <f>IF(ROUND(D1889/$B$6,0)&gt;$B$7,"YES","NO")</f>
        <v>NO</v>
      </c>
    </row>
    <row r="1890" spans="1:8">
      <c r="A1890" s="8">
        <v>1880</v>
      </c>
      <c r="B1890" s="9">
        <f>D1889</f>
        <v>2201.953125</v>
      </c>
      <c r="C1890" s="9">
        <f>$B$6</f>
        <v>1.171875</v>
      </c>
      <c r="D1890" s="9">
        <f>B1890+C1890</f>
        <v>2203.125</v>
      </c>
      <c r="E1890" s="8">
        <f>MIN($B$7,ROUND(D1890/$B$6,0))</f>
        <v>1880</v>
      </c>
      <c r="F1890" s="8" t="str">
        <f>DEC2BIN(INT(E1890/64),5)&amp;DEC2BIN(MOD(E1890,64),6)</f>
        <v>11101011000</v>
      </c>
      <c r="G1890" s="8" t="str">
        <f>DEC2HEX(E1890,3)</f>
        <v>758</v>
      </c>
      <c r="H1890" s="8" t="str">
        <f>IF(ROUND(D1890/$B$6,0)&gt;$B$7,"YES","NO")</f>
        <v>NO</v>
      </c>
    </row>
    <row r="1891" spans="1:8">
      <c r="A1891" s="10">
        <v>1881</v>
      </c>
      <c r="B1891" s="11">
        <f>D1890</f>
        <v>2203.125</v>
      </c>
      <c r="C1891" s="11">
        <f>$B$6</f>
        <v>1.171875</v>
      </c>
      <c r="D1891" s="11">
        <f>B1891+C1891</f>
        <v>2204.296875</v>
      </c>
      <c r="E1891" s="10">
        <f>MIN($B$7,ROUND(D1891/$B$6,0))</f>
        <v>1881</v>
      </c>
      <c r="F1891" s="10" t="str">
        <f>DEC2BIN(INT(E1891/64),5)&amp;DEC2BIN(MOD(E1891,64),6)</f>
        <v>11101011001</v>
      </c>
      <c r="G1891" s="10" t="str">
        <f>DEC2HEX(E1891,3)</f>
        <v>759</v>
      </c>
      <c r="H1891" s="10" t="str">
        <f>IF(ROUND(D1891/$B$6,0)&gt;$B$7,"YES","NO")</f>
        <v>NO</v>
      </c>
    </row>
    <row r="1892" spans="1:8">
      <c r="A1892" s="8">
        <v>1882</v>
      </c>
      <c r="B1892" s="9">
        <f>D1891</f>
        <v>2204.296875</v>
      </c>
      <c r="C1892" s="9">
        <f>$B$6</f>
        <v>1.171875</v>
      </c>
      <c r="D1892" s="9">
        <f>B1892+C1892</f>
        <v>2205.46875</v>
      </c>
      <c r="E1892" s="8">
        <f>MIN($B$7,ROUND(D1892/$B$6,0))</f>
        <v>1882</v>
      </c>
      <c r="F1892" s="8" t="str">
        <f>DEC2BIN(INT(E1892/64),5)&amp;DEC2BIN(MOD(E1892,64),6)</f>
        <v>11101011010</v>
      </c>
      <c r="G1892" s="8" t="str">
        <f>DEC2HEX(E1892,3)</f>
        <v>75A</v>
      </c>
      <c r="H1892" s="8" t="str">
        <f>IF(ROUND(D1892/$B$6,0)&gt;$B$7,"YES","NO")</f>
        <v>NO</v>
      </c>
    </row>
    <row r="1893" spans="1:8">
      <c r="A1893" s="10">
        <v>1883</v>
      </c>
      <c r="B1893" s="11">
        <f>D1892</f>
        <v>2205.46875</v>
      </c>
      <c r="C1893" s="11">
        <f>$B$6</f>
        <v>1.171875</v>
      </c>
      <c r="D1893" s="11">
        <f>B1893+C1893</f>
        <v>2206.640625</v>
      </c>
      <c r="E1893" s="10">
        <f>MIN($B$7,ROUND(D1893/$B$6,0))</f>
        <v>1883</v>
      </c>
      <c r="F1893" s="10" t="str">
        <f>DEC2BIN(INT(E1893/64),5)&amp;DEC2BIN(MOD(E1893,64),6)</f>
        <v>11101011011</v>
      </c>
      <c r="G1893" s="10" t="str">
        <f>DEC2HEX(E1893,3)</f>
        <v>75B</v>
      </c>
      <c r="H1893" s="10" t="str">
        <f>IF(ROUND(D1893/$B$6,0)&gt;$B$7,"YES","NO")</f>
        <v>NO</v>
      </c>
    </row>
    <row r="1894" spans="1:8">
      <c r="A1894" s="8">
        <v>1884</v>
      </c>
      <c r="B1894" s="9">
        <f>D1893</f>
        <v>2206.640625</v>
      </c>
      <c r="C1894" s="9">
        <f>$B$6</f>
        <v>1.171875</v>
      </c>
      <c r="D1894" s="9">
        <f>B1894+C1894</f>
        <v>2207.8125</v>
      </c>
      <c r="E1894" s="8">
        <f>MIN($B$7,ROUND(D1894/$B$6,0))</f>
        <v>1884</v>
      </c>
      <c r="F1894" s="8" t="str">
        <f>DEC2BIN(INT(E1894/64),5)&amp;DEC2BIN(MOD(E1894,64),6)</f>
        <v>11101011100</v>
      </c>
      <c r="G1894" s="8" t="str">
        <f>DEC2HEX(E1894,3)</f>
        <v>75C</v>
      </c>
      <c r="H1894" s="8" t="str">
        <f>IF(ROUND(D1894/$B$6,0)&gt;$B$7,"YES","NO")</f>
        <v>NO</v>
      </c>
    </row>
    <row r="1895" spans="1:8">
      <c r="A1895" s="10">
        <v>1885</v>
      </c>
      <c r="B1895" s="11">
        <f>D1894</f>
        <v>2207.8125</v>
      </c>
      <c r="C1895" s="11">
        <f>$B$6</f>
        <v>1.171875</v>
      </c>
      <c r="D1895" s="11">
        <f>B1895+C1895</f>
        <v>2208.984375</v>
      </c>
      <c r="E1895" s="10">
        <f>MIN($B$7,ROUND(D1895/$B$6,0))</f>
        <v>1885</v>
      </c>
      <c r="F1895" s="10" t="str">
        <f>DEC2BIN(INT(E1895/64),5)&amp;DEC2BIN(MOD(E1895,64),6)</f>
        <v>11101011101</v>
      </c>
      <c r="G1895" s="10" t="str">
        <f>DEC2HEX(E1895,3)</f>
        <v>75D</v>
      </c>
      <c r="H1895" s="10" t="str">
        <f>IF(ROUND(D1895/$B$6,0)&gt;$B$7,"YES","NO")</f>
        <v>NO</v>
      </c>
    </row>
    <row r="1896" spans="1:8">
      <c r="A1896" s="8">
        <v>1886</v>
      </c>
      <c r="B1896" s="9">
        <f>D1895</f>
        <v>2208.984375</v>
      </c>
      <c r="C1896" s="9">
        <f>$B$6</f>
        <v>1.171875</v>
      </c>
      <c r="D1896" s="9">
        <f>B1896+C1896</f>
        <v>2210.15625</v>
      </c>
      <c r="E1896" s="8">
        <f>MIN($B$7,ROUND(D1896/$B$6,0))</f>
        <v>1886</v>
      </c>
      <c r="F1896" s="8" t="str">
        <f>DEC2BIN(INT(E1896/64),5)&amp;DEC2BIN(MOD(E1896,64),6)</f>
        <v>11101011110</v>
      </c>
      <c r="G1896" s="8" t="str">
        <f>DEC2HEX(E1896,3)</f>
        <v>75E</v>
      </c>
      <c r="H1896" s="8" t="str">
        <f>IF(ROUND(D1896/$B$6,0)&gt;$B$7,"YES","NO")</f>
        <v>NO</v>
      </c>
    </row>
    <row r="1897" spans="1:8">
      <c r="A1897" s="10">
        <v>1887</v>
      </c>
      <c r="B1897" s="11">
        <f>D1896</f>
        <v>2210.15625</v>
      </c>
      <c r="C1897" s="11">
        <f>$B$6</f>
        <v>1.171875</v>
      </c>
      <c r="D1897" s="11">
        <f>B1897+C1897</f>
        <v>2211.328125</v>
      </c>
      <c r="E1897" s="10">
        <f>MIN($B$7,ROUND(D1897/$B$6,0))</f>
        <v>1887</v>
      </c>
      <c r="F1897" s="10" t="str">
        <f>DEC2BIN(INT(E1897/64),5)&amp;DEC2BIN(MOD(E1897,64),6)</f>
        <v>11101011111</v>
      </c>
      <c r="G1897" s="10" t="str">
        <f>DEC2HEX(E1897,3)</f>
        <v>75F</v>
      </c>
      <c r="H1897" s="10" t="str">
        <f>IF(ROUND(D1897/$B$6,0)&gt;$B$7,"YES","NO")</f>
        <v>NO</v>
      </c>
    </row>
    <row r="1898" spans="1:8">
      <c r="A1898" s="8">
        <v>1888</v>
      </c>
      <c r="B1898" s="9">
        <f>D1897</f>
        <v>2211.328125</v>
      </c>
      <c r="C1898" s="9">
        <f>$B$6</f>
        <v>1.171875</v>
      </c>
      <c r="D1898" s="9">
        <f>B1898+C1898</f>
        <v>2212.5</v>
      </c>
      <c r="E1898" s="8">
        <f>MIN($B$7,ROUND(D1898/$B$6,0))</f>
        <v>1888</v>
      </c>
      <c r="F1898" s="8" t="str">
        <f>DEC2BIN(INT(E1898/64),5)&amp;DEC2BIN(MOD(E1898,64),6)</f>
        <v>11101100000</v>
      </c>
      <c r="G1898" s="8" t="str">
        <f>DEC2HEX(E1898,3)</f>
        <v>760</v>
      </c>
      <c r="H1898" s="8" t="str">
        <f>IF(ROUND(D1898/$B$6,0)&gt;$B$7,"YES","NO")</f>
        <v>NO</v>
      </c>
    </row>
    <row r="1899" spans="1:8">
      <c r="A1899" s="10">
        <v>1889</v>
      </c>
      <c r="B1899" s="11">
        <f>D1898</f>
        <v>2212.5</v>
      </c>
      <c r="C1899" s="11">
        <f>$B$6</f>
        <v>1.171875</v>
      </c>
      <c r="D1899" s="11">
        <f>B1899+C1899</f>
        <v>2213.671875</v>
      </c>
      <c r="E1899" s="10">
        <f>MIN($B$7,ROUND(D1899/$B$6,0))</f>
        <v>1889</v>
      </c>
      <c r="F1899" s="10" t="str">
        <f>DEC2BIN(INT(E1899/64),5)&amp;DEC2BIN(MOD(E1899,64),6)</f>
        <v>11101100001</v>
      </c>
      <c r="G1899" s="10" t="str">
        <f>DEC2HEX(E1899,3)</f>
        <v>761</v>
      </c>
      <c r="H1899" s="10" t="str">
        <f>IF(ROUND(D1899/$B$6,0)&gt;$B$7,"YES","NO")</f>
        <v>NO</v>
      </c>
    </row>
    <row r="1900" spans="1:8">
      <c r="A1900" s="8">
        <v>1890</v>
      </c>
      <c r="B1900" s="9">
        <f>D1899</f>
        <v>2213.671875</v>
      </c>
      <c r="C1900" s="9">
        <f>$B$6</f>
        <v>1.171875</v>
      </c>
      <c r="D1900" s="9">
        <f>B1900+C1900</f>
        <v>2214.84375</v>
      </c>
      <c r="E1900" s="8">
        <f>MIN($B$7,ROUND(D1900/$B$6,0))</f>
        <v>1890</v>
      </c>
      <c r="F1900" s="8" t="str">
        <f>DEC2BIN(INT(E1900/64),5)&amp;DEC2BIN(MOD(E1900,64),6)</f>
        <v>11101100010</v>
      </c>
      <c r="G1900" s="8" t="str">
        <f>DEC2HEX(E1900,3)</f>
        <v>762</v>
      </c>
      <c r="H1900" s="8" t="str">
        <f>IF(ROUND(D1900/$B$6,0)&gt;$B$7,"YES","NO")</f>
        <v>NO</v>
      </c>
    </row>
    <row r="1901" spans="1:8">
      <c r="A1901" s="10">
        <v>1891</v>
      </c>
      <c r="B1901" s="11">
        <f>D1900</f>
        <v>2214.84375</v>
      </c>
      <c r="C1901" s="11">
        <f>$B$6</f>
        <v>1.171875</v>
      </c>
      <c r="D1901" s="11">
        <f>B1901+C1901</f>
        <v>2216.015625</v>
      </c>
      <c r="E1901" s="10">
        <f>MIN($B$7,ROUND(D1901/$B$6,0))</f>
        <v>1891</v>
      </c>
      <c r="F1901" s="10" t="str">
        <f>DEC2BIN(INT(E1901/64),5)&amp;DEC2BIN(MOD(E1901,64),6)</f>
        <v>11101100011</v>
      </c>
      <c r="G1901" s="10" t="str">
        <f>DEC2HEX(E1901,3)</f>
        <v>763</v>
      </c>
      <c r="H1901" s="10" t="str">
        <f>IF(ROUND(D1901/$B$6,0)&gt;$B$7,"YES","NO")</f>
        <v>NO</v>
      </c>
    </row>
    <row r="1902" spans="1:8">
      <c r="A1902" s="8">
        <v>1892</v>
      </c>
      <c r="B1902" s="9">
        <f>D1901</f>
        <v>2216.015625</v>
      </c>
      <c r="C1902" s="9">
        <f>$B$6</f>
        <v>1.171875</v>
      </c>
      <c r="D1902" s="9">
        <f>B1902+C1902</f>
        <v>2217.1875</v>
      </c>
      <c r="E1902" s="8">
        <f>MIN($B$7,ROUND(D1902/$B$6,0))</f>
        <v>1892</v>
      </c>
      <c r="F1902" s="8" t="str">
        <f>DEC2BIN(INT(E1902/64),5)&amp;DEC2BIN(MOD(E1902,64),6)</f>
        <v>11101100100</v>
      </c>
      <c r="G1902" s="8" t="str">
        <f>DEC2HEX(E1902,3)</f>
        <v>764</v>
      </c>
      <c r="H1902" s="8" t="str">
        <f>IF(ROUND(D1902/$B$6,0)&gt;$B$7,"YES","NO")</f>
        <v>NO</v>
      </c>
    </row>
    <row r="1903" spans="1:8">
      <c r="A1903" s="10">
        <v>1893</v>
      </c>
      <c r="B1903" s="11">
        <f>D1902</f>
        <v>2217.1875</v>
      </c>
      <c r="C1903" s="11">
        <f>$B$6</f>
        <v>1.171875</v>
      </c>
      <c r="D1903" s="11">
        <f>B1903+C1903</f>
        <v>2218.359375</v>
      </c>
      <c r="E1903" s="10">
        <f>MIN($B$7,ROUND(D1903/$B$6,0))</f>
        <v>1893</v>
      </c>
      <c r="F1903" s="10" t="str">
        <f>DEC2BIN(INT(E1903/64),5)&amp;DEC2BIN(MOD(E1903,64),6)</f>
        <v>11101100101</v>
      </c>
      <c r="G1903" s="10" t="str">
        <f>DEC2HEX(E1903,3)</f>
        <v>765</v>
      </c>
      <c r="H1903" s="10" t="str">
        <f>IF(ROUND(D1903/$B$6,0)&gt;$B$7,"YES","NO")</f>
        <v>NO</v>
      </c>
    </row>
    <row r="1904" spans="1:8">
      <c r="A1904" s="8">
        <v>1894</v>
      </c>
      <c r="B1904" s="9">
        <f>D1903</f>
        <v>2218.359375</v>
      </c>
      <c r="C1904" s="9">
        <f>$B$6</f>
        <v>1.171875</v>
      </c>
      <c r="D1904" s="9">
        <f>B1904+C1904</f>
        <v>2219.53125</v>
      </c>
      <c r="E1904" s="8">
        <f>MIN($B$7,ROUND(D1904/$B$6,0))</f>
        <v>1894</v>
      </c>
      <c r="F1904" s="8" t="str">
        <f>DEC2BIN(INT(E1904/64),5)&amp;DEC2BIN(MOD(E1904,64),6)</f>
        <v>11101100110</v>
      </c>
      <c r="G1904" s="8" t="str">
        <f>DEC2HEX(E1904,3)</f>
        <v>766</v>
      </c>
      <c r="H1904" s="8" t="str">
        <f>IF(ROUND(D1904/$B$6,0)&gt;$B$7,"YES","NO")</f>
        <v>NO</v>
      </c>
    </row>
    <row r="1905" spans="1:8">
      <c r="A1905" s="10">
        <v>1895</v>
      </c>
      <c r="B1905" s="11">
        <f>D1904</f>
        <v>2219.53125</v>
      </c>
      <c r="C1905" s="11">
        <f>$B$6</f>
        <v>1.171875</v>
      </c>
      <c r="D1905" s="11">
        <f>B1905+C1905</f>
        <v>2220.703125</v>
      </c>
      <c r="E1905" s="10">
        <f>MIN($B$7,ROUND(D1905/$B$6,0))</f>
        <v>1895</v>
      </c>
      <c r="F1905" s="10" t="str">
        <f>DEC2BIN(INT(E1905/64),5)&amp;DEC2BIN(MOD(E1905,64),6)</f>
        <v>11101100111</v>
      </c>
      <c r="G1905" s="10" t="str">
        <f>DEC2HEX(E1905,3)</f>
        <v>767</v>
      </c>
      <c r="H1905" s="10" t="str">
        <f>IF(ROUND(D1905/$B$6,0)&gt;$B$7,"YES","NO")</f>
        <v>NO</v>
      </c>
    </row>
    <row r="1906" spans="1:8">
      <c r="A1906" s="8">
        <v>1896</v>
      </c>
      <c r="B1906" s="9">
        <f>D1905</f>
        <v>2220.703125</v>
      </c>
      <c r="C1906" s="9">
        <f>$B$6</f>
        <v>1.171875</v>
      </c>
      <c r="D1906" s="9">
        <f>B1906+C1906</f>
        <v>2221.875</v>
      </c>
      <c r="E1906" s="8">
        <f>MIN($B$7,ROUND(D1906/$B$6,0))</f>
        <v>1896</v>
      </c>
      <c r="F1906" s="8" t="str">
        <f>DEC2BIN(INT(E1906/64),5)&amp;DEC2BIN(MOD(E1906,64),6)</f>
        <v>11101101000</v>
      </c>
      <c r="G1906" s="8" t="str">
        <f>DEC2HEX(E1906,3)</f>
        <v>768</v>
      </c>
      <c r="H1906" s="8" t="str">
        <f>IF(ROUND(D1906/$B$6,0)&gt;$B$7,"YES","NO")</f>
        <v>NO</v>
      </c>
    </row>
    <row r="1907" spans="1:8">
      <c r="A1907" s="10">
        <v>1897</v>
      </c>
      <c r="B1907" s="11">
        <f>D1906</f>
        <v>2221.875</v>
      </c>
      <c r="C1907" s="11">
        <f>$B$6</f>
        <v>1.171875</v>
      </c>
      <c r="D1907" s="11">
        <f>B1907+C1907</f>
        <v>2223.046875</v>
      </c>
      <c r="E1907" s="10">
        <f>MIN($B$7,ROUND(D1907/$B$6,0))</f>
        <v>1897</v>
      </c>
      <c r="F1907" s="10" t="str">
        <f>DEC2BIN(INT(E1907/64),5)&amp;DEC2BIN(MOD(E1907,64),6)</f>
        <v>11101101001</v>
      </c>
      <c r="G1907" s="10" t="str">
        <f>DEC2HEX(E1907,3)</f>
        <v>769</v>
      </c>
      <c r="H1907" s="10" t="str">
        <f>IF(ROUND(D1907/$B$6,0)&gt;$B$7,"YES","NO")</f>
        <v>NO</v>
      </c>
    </row>
    <row r="1908" spans="1:8">
      <c r="A1908" s="8">
        <v>1898</v>
      </c>
      <c r="B1908" s="9">
        <f>D1907</f>
        <v>2223.046875</v>
      </c>
      <c r="C1908" s="9">
        <f>$B$6</f>
        <v>1.171875</v>
      </c>
      <c r="D1908" s="9">
        <f>B1908+C1908</f>
        <v>2224.21875</v>
      </c>
      <c r="E1908" s="8">
        <f>MIN($B$7,ROUND(D1908/$B$6,0))</f>
        <v>1898</v>
      </c>
      <c r="F1908" s="8" t="str">
        <f>DEC2BIN(INT(E1908/64),5)&amp;DEC2BIN(MOD(E1908,64),6)</f>
        <v>11101101010</v>
      </c>
      <c r="G1908" s="8" t="str">
        <f>DEC2HEX(E1908,3)</f>
        <v>76A</v>
      </c>
      <c r="H1908" s="8" t="str">
        <f>IF(ROUND(D1908/$B$6,0)&gt;$B$7,"YES","NO")</f>
        <v>NO</v>
      </c>
    </row>
    <row r="1909" spans="1:8">
      <c r="A1909" s="10">
        <v>1899</v>
      </c>
      <c r="B1909" s="11">
        <f>D1908</f>
        <v>2224.21875</v>
      </c>
      <c r="C1909" s="11">
        <f>$B$6</f>
        <v>1.171875</v>
      </c>
      <c r="D1909" s="11">
        <f>B1909+C1909</f>
        <v>2225.390625</v>
      </c>
      <c r="E1909" s="10">
        <f>MIN($B$7,ROUND(D1909/$B$6,0))</f>
        <v>1899</v>
      </c>
      <c r="F1909" s="10" t="str">
        <f>DEC2BIN(INT(E1909/64),5)&amp;DEC2BIN(MOD(E1909,64),6)</f>
        <v>11101101011</v>
      </c>
      <c r="G1909" s="10" t="str">
        <f>DEC2HEX(E1909,3)</f>
        <v>76B</v>
      </c>
      <c r="H1909" s="10" t="str">
        <f>IF(ROUND(D1909/$B$6,0)&gt;$B$7,"YES","NO")</f>
        <v>NO</v>
      </c>
    </row>
    <row r="1910" spans="1:8">
      <c r="A1910" s="8">
        <v>1900</v>
      </c>
      <c r="B1910" s="9">
        <f>D1909</f>
        <v>2225.390625</v>
      </c>
      <c r="C1910" s="9">
        <f>$B$6</f>
        <v>1.171875</v>
      </c>
      <c r="D1910" s="9">
        <f>B1910+C1910</f>
        <v>2226.5625</v>
      </c>
      <c r="E1910" s="8">
        <f>MIN($B$7,ROUND(D1910/$B$6,0))</f>
        <v>1900</v>
      </c>
      <c r="F1910" s="8" t="str">
        <f>DEC2BIN(INT(E1910/64),5)&amp;DEC2BIN(MOD(E1910,64),6)</f>
        <v>11101101100</v>
      </c>
      <c r="G1910" s="8" t="str">
        <f>DEC2HEX(E1910,3)</f>
        <v>76C</v>
      </c>
      <c r="H1910" s="8" t="str">
        <f>IF(ROUND(D1910/$B$6,0)&gt;$B$7,"YES","NO")</f>
        <v>NO</v>
      </c>
    </row>
    <row r="1911" spans="1:8">
      <c r="A1911" s="10">
        <v>1901</v>
      </c>
      <c r="B1911" s="11">
        <f>D1910</f>
        <v>2226.5625</v>
      </c>
      <c r="C1911" s="11">
        <f>$B$6</f>
        <v>1.171875</v>
      </c>
      <c r="D1911" s="11">
        <f>B1911+C1911</f>
        <v>2227.734375</v>
      </c>
      <c r="E1911" s="10">
        <f>MIN($B$7,ROUND(D1911/$B$6,0))</f>
        <v>1901</v>
      </c>
      <c r="F1911" s="10" t="str">
        <f>DEC2BIN(INT(E1911/64),5)&amp;DEC2BIN(MOD(E1911,64),6)</f>
        <v>11101101101</v>
      </c>
      <c r="G1911" s="10" t="str">
        <f>DEC2HEX(E1911,3)</f>
        <v>76D</v>
      </c>
      <c r="H1911" s="10" t="str">
        <f>IF(ROUND(D1911/$B$6,0)&gt;$B$7,"YES","NO")</f>
        <v>NO</v>
      </c>
    </row>
    <row r="1912" spans="1:8">
      <c r="A1912" s="8">
        <v>1902</v>
      </c>
      <c r="B1912" s="9">
        <f>D1911</f>
        <v>2227.734375</v>
      </c>
      <c r="C1912" s="9">
        <f>$B$6</f>
        <v>1.171875</v>
      </c>
      <c r="D1912" s="9">
        <f>B1912+C1912</f>
        <v>2228.90625</v>
      </c>
      <c r="E1912" s="8">
        <f>MIN($B$7,ROUND(D1912/$B$6,0))</f>
        <v>1902</v>
      </c>
      <c r="F1912" s="8" t="str">
        <f>DEC2BIN(INT(E1912/64),5)&amp;DEC2BIN(MOD(E1912,64),6)</f>
        <v>11101101110</v>
      </c>
      <c r="G1912" s="8" t="str">
        <f>DEC2HEX(E1912,3)</f>
        <v>76E</v>
      </c>
      <c r="H1912" s="8" t="str">
        <f>IF(ROUND(D1912/$B$6,0)&gt;$B$7,"YES","NO")</f>
        <v>NO</v>
      </c>
    </row>
    <row r="1913" spans="1:8">
      <c r="A1913" s="10">
        <v>1903</v>
      </c>
      <c r="B1913" s="11">
        <f>D1912</f>
        <v>2228.90625</v>
      </c>
      <c r="C1913" s="11">
        <f>$B$6</f>
        <v>1.171875</v>
      </c>
      <c r="D1913" s="11">
        <f>B1913+C1913</f>
        <v>2230.078125</v>
      </c>
      <c r="E1913" s="10">
        <f>MIN($B$7,ROUND(D1913/$B$6,0))</f>
        <v>1903</v>
      </c>
      <c r="F1913" s="10" t="str">
        <f>DEC2BIN(INT(E1913/64),5)&amp;DEC2BIN(MOD(E1913,64),6)</f>
        <v>11101101111</v>
      </c>
      <c r="G1913" s="10" t="str">
        <f>DEC2HEX(E1913,3)</f>
        <v>76F</v>
      </c>
      <c r="H1913" s="10" t="str">
        <f>IF(ROUND(D1913/$B$6,0)&gt;$B$7,"YES","NO")</f>
        <v>NO</v>
      </c>
    </row>
    <row r="1914" spans="1:8">
      <c r="A1914" s="8">
        <v>1904</v>
      </c>
      <c r="B1914" s="9">
        <f>D1913</f>
        <v>2230.078125</v>
      </c>
      <c r="C1914" s="9">
        <f>$B$6</f>
        <v>1.171875</v>
      </c>
      <c r="D1914" s="9">
        <f>B1914+C1914</f>
        <v>2231.25</v>
      </c>
      <c r="E1914" s="8">
        <f>MIN($B$7,ROUND(D1914/$B$6,0))</f>
        <v>1904</v>
      </c>
      <c r="F1914" s="8" t="str">
        <f>DEC2BIN(INT(E1914/64),5)&amp;DEC2BIN(MOD(E1914,64),6)</f>
        <v>11101110000</v>
      </c>
      <c r="G1914" s="8" t="str">
        <f>DEC2HEX(E1914,3)</f>
        <v>770</v>
      </c>
      <c r="H1914" s="8" t="str">
        <f>IF(ROUND(D1914/$B$6,0)&gt;$B$7,"YES","NO")</f>
        <v>NO</v>
      </c>
    </row>
    <row r="1915" spans="1:8">
      <c r="A1915" s="10">
        <v>1905</v>
      </c>
      <c r="B1915" s="11">
        <f>D1914</f>
        <v>2231.25</v>
      </c>
      <c r="C1915" s="11">
        <f>$B$6</f>
        <v>1.171875</v>
      </c>
      <c r="D1915" s="11">
        <f>B1915+C1915</f>
        <v>2232.421875</v>
      </c>
      <c r="E1915" s="10">
        <f>MIN($B$7,ROUND(D1915/$B$6,0))</f>
        <v>1905</v>
      </c>
      <c r="F1915" s="10" t="str">
        <f>DEC2BIN(INT(E1915/64),5)&amp;DEC2BIN(MOD(E1915,64),6)</f>
        <v>11101110001</v>
      </c>
      <c r="G1915" s="10" t="str">
        <f>DEC2HEX(E1915,3)</f>
        <v>771</v>
      </c>
      <c r="H1915" s="10" t="str">
        <f>IF(ROUND(D1915/$B$6,0)&gt;$B$7,"YES","NO")</f>
        <v>NO</v>
      </c>
    </row>
    <row r="1916" spans="1:8">
      <c r="A1916" s="8">
        <v>1906</v>
      </c>
      <c r="B1916" s="9">
        <f>D1915</f>
        <v>2232.421875</v>
      </c>
      <c r="C1916" s="9">
        <f>$B$6</f>
        <v>1.171875</v>
      </c>
      <c r="D1916" s="9">
        <f>B1916+C1916</f>
        <v>2233.59375</v>
      </c>
      <c r="E1916" s="8">
        <f>MIN($B$7,ROUND(D1916/$B$6,0))</f>
        <v>1906</v>
      </c>
      <c r="F1916" s="8" t="str">
        <f>DEC2BIN(INT(E1916/64),5)&amp;DEC2BIN(MOD(E1916,64),6)</f>
        <v>11101110010</v>
      </c>
      <c r="G1916" s="8" t="str">
        <f>DEC2HEX(E1916,3)</f>
        <v>772</v>
      </c>
      <c r="H1916" s="8" t="str">
        <f>IF(ROUND(D1916/$B$6,0)&gt;$B$7,"YES","NO")</f>
        <v>NO</v>
      </c>
    </row>
    <row r="1917" spans="1:8">
      <c r="A1917" s="10">
        <v>1907</v>
      </c>
      <c r="B1917" s="11">
        <f>D1916</f>
        <v>2233.59375</v>
      </c>
      <c r="C1917" s="11">
        <f>$B$6</f>
        <v>1.171875</v>
      </c>
      <c r="D1917" s="11">
        <f>B1917+C1917</f>
        <v>2234.765625</v>
      </c>
      <c r="E1917" s="10">
        <f>MIN($B$7,ROUND(D1917/$B$6,0))</f>
        <v>1907</v>
      </c>
      <c r="F1917" s="10" t="str">
        <f>DEC2BIN(INT(E1917/64),5)&amp;DEC2BIN(MOD(E1917,64),6)</f>
        <v>11101110011</v>
      </c>
      <c r="G1917" s="10" t="str">
        <f>DEC2HEX(E1917,3)</f>
        <v>773</v>
      </c>
      <c r="H1917" s="10" t="str">
        <f>IF(ROUND(D1917/$B$6,0)&gt;$B$7,"YES","NO")</f>
        <v>NO</v>
      </c>
    </row>
    <row r="1918" spans="1:8">
      <c r="A1918" s="8">
        <v>1908</v>
      </c>
      <c r="B1918" s="9">
        <f>D1917</f>
        <v>2234.765625</v>
      </c>
      <c r="C1918" s="9">
        <f>$B$6</f>
        <v>1.171875</v>
      </c>
      <c r="D1918" s="9">
        <f>B1918+C1918</f>
        <v>2235.9375</v>
      </c>
      <c r="E1918" s="8">
        <f>MIN($B$7,ROUND(D1918/$B$6,0))</f>
        <v>1908</v>
      </c>
      <c r="F1918" s="8" t="str">
        <f>DEC2BIN(INT(E1918/64),5)&amp;DEC2BIN(MOD(E1918,64),6)</f>
        <v>11101110100</v>
      </c>
      <c r="G1918" s="8" t="str">
        <f>DEC2HEX(E1918,3)</f>
        <v>774</v>
      </c>
      <c r="H1918" s="8" t="str">
        <f>IF(ROUND(D1918/$B$6,0)&gt;$B$7,"YES","NO")</f>
        <v>NO</v>
      </c>
    </row>
    <row r="1919" spans="1:8">
      <c r="A1919" s="10">
        <v>1909</v>
      </c>
      <c r="B1919" s="11">
        <f>D1918</f>
        <v>2235.9375</v>
      </c>
      <c r="C1919" s="11">
        <f>$B$6</f>
        <v>1.171875</v>
      </c>
      <c r="D1919" s="11">
        <f>B1919+C1919</f>
        <v>2237.109375</v>
      </c>
      <c r="E1919" s="10">
        <f>MIN($B$7,ROUND(D1919/$B$6,0))</f>
        <v>1909</v>
      </c>
      <c r="F1919" s="10" t="str">
        <f>DEC2BIN(INT(E1919/64),5)&amp;DEC2BIN(MOD(E1919,64),6)</f>
        <v>11101110101</v>
      </c>
      <c r="G1919" s="10" t="str">
        <f>DEC2HEX(E1919,3)</f>
        <v>775</v>
      </c>
      <c r="H1919" s="10" t="str">
        <f>IF(ROUND(D1919/$B$6,0)&gt;$B$7,"YES","NO")</f>
        <v>NO</v>
      </c>
    </row>
    <row r="1920" spans="1:8">
      <c r="A1920" s="8">
        <v>1910</v>
      </c>
      <c r="B1920" s="9">
        <f>D1919</f>
        <v>2237.109375</v>
      </c>
      <c r="C1920" s="9">
        <f>$B$6</f>
        <v>1.171875</v>
      </c>
      <c r="D1920" s="9">
        <f>B1920+C1920</f>
        <v>2238.28125</v>
      </c>
      <c r="E1920" s="8">
        <f>MIN($B$7,ROUND(D1920/$B$6,0))</f>
        <v>1910</v>
      </c>
      <c r="F1920" s="8" t="str">
        <f>DEC2BIN(INT(E1920/64),5)&amp;DEC2BIN(MOD(E1920,64),6)</f>
        <v>11101110110</v>
      </c>
      <c r="G1920" s="8" t="str">
        <f>DEC2HEX(E1920,3)</f>
        <v>776</v>
      </c>
      <c r="H1920" s="8" t="str">
        <f>IF(ROUND(D1920/$B$6,0)&gt;$B$7,"YES","NO")</f>
        <v>NO</v>
      </c>
    </row>
    <row r="1921" spans="1:8">
      <c r="A1921" s="10">
        <v>1911</v>
      </c>
      <c r="B1921" s="11">
        <f>D1920</f>
        <v>2238.28125</v>
      </c>
      <c r="C1921" s="11">
        <f>$B$6</f>
        <v>1.171875</v>
      </c>
      <c r="D1921" s="11">
        <f>B1921+C1921</f>
        <v>2239.453125</v>
      </c>
      <c r="E1921" s="10">
        <f>MIN($B$7,ROUND(D1921/$B$6,0))</f>
        <v>1911</v>
      </c>
      <c r="F1921" s="10" t="str">
        <f>DEC2BIN(INT(E1921/64),5)&amp;DEC2BIN(MOD(E1921,64),6)</f>
        <v>11101110111</v>
      </c>
      <c r="G1921" s="10" t="str">
        <f>DEC2HEX(E1921,3)</f>
        <v>777</v>
      </c>
      <c r="H1921" s="10" t="str">
        <f>IF(ROUND(D1921/$B$6,0)&gt;$B$7,"YES","NO")</f>
        <v>NO</v>
      </c>
    </row>
    <row r="1922" spans="1:8">
      <c r="A1922" s="8">
        <v>1912</v>
      </c>
      <c r="B1922" s="9">
        <f>D1921</f>
        <v>2239.453125</v>
      </c>
      <c r="C1922" s="9">
        <f>$B$6</f>
        <v>1.171875</v>
      </c>
      <c r="D1922" s="9">
        <f>B1922+C1922</f>
        <v>2240.625</v>
      </c>
      <c r="E1922" s="8">
        <f>MIN($B$7,ROUND(D1922/$B$6,0))</f>
        <v>1912</v>
      </c>
      <c r="F1922" s="8" t="str">
        <f>DEC2BIN(INT(E1922/64),5)&amp;DEC2BIN(MOD(E1922,64),6)</f>
        <v>11101111000</v>
      </c>
      <c r="G1922" s="8" t="str">
        <f>DEC2HEX(E1922,3)</f>
        <v>778</v>
      </c>
      <c r="H1922" s="8" t="str">
        <f>IF(ROUND(D1922/$B$6,0)&gt;$B$7,"YES","NO")</f>
        <v>NO</v>
      </c>
    </row>
    <row r="1923" spans="1:8">
      <c r="A1923" s="10">
        <v>1913</v>
      </c>
      <c r="B1923" s="11">
        <f>D1922</f>
        <v>2240.625</v>
      </c>
      <c r="C1923" s="11">
        <f>$B$6</f>
        <v>1.171875</v>
      </c>
      <c r="D1923" s="11">
        <f>B1923+C1923</f>
        <v>2241.796875</v>
      </c>
      <c r="E1923" s="10">
        <f>MIN($B$7,ROUND(D1923/$B$6,0))</f>
        <v>1913</v>
      </c>
      <c r="F1923" s="10" t="str">
        <f>DEC2BIN(INT(E1923/64),5)&amp;DEC2BIN(MOD(E1923,64),6)</f>
        <v>11101111001</v>
      </c>
      <c r="G1923" s="10" t="str">
        <f>DEC2HEX(E1923,3)</f>
        <v>779</v>
      </c>
      <c r="H1923" s="10" t="str">
        <f>IF(ROUND(D1923/$B$6,0)&gt;$B$7,"YES","NO")</f>
        <v>NO</v>
      </c>
    </row>
    <row r="1924" spans="1:8">
      <c r="A1924" s="8">
        <v>1914</v>
      </c>
      <c r="B1924" s="9">
        <f>D1923</f>
        <v>2241.796875</v>
      </c>
      <c r="C1924" s="9">
        <f>$B$6</f>
        <v>1.171875</v>
      </c>
      <c r="D1924" s="9">
        <f>B1924+C1924</f>
        <v>2242.96875</v>
      </c>
      <c r="E1924" s="8">
        <f>MIN($B$7,ROUND(D1924/$B$6,0))</f>
        <v>1914</v>
      </c>
      <c r="F1924" s="8" t="str">
        <f>DEC2BIN(INT(E1924/64),5)&amp;DEC2BIN(MOD(E1924,64),6)</f>
        <v>11101111010</v>
      </c>
      <c r="G1924" s="8" t="str">
        <f>DEC2HEX(E1924,3)</f>
        <v>77A</v>
      </c>
      <c r="H1924" s="8" t="str">
        <f>IF(ROUND(D1924/$B$6,0)&gt;$B$7,"YES","NO")</f>
        <v>NO</v>
      </c>
    </row>
    <row r="1925" spans="1:8">
      <c r="A1925" s="10">
        <v>1915</v>
      </c>
      <c r="B1925" s="11">
        <f>D1924</f>
        <v>2242.96875</v>
      </c>
      <c r="C1925" s="11">
        <f>$B$6</f>
        <v>1.171875</v>
      </c>
      <c r="D1925" s="11">
        <f>B1925+C1925</f>
        <v>2244.140625</v>
      </c>
      <c r="E1925" s="10">
        <f>MIN($B$7,ROUND(D1925/$B$6,0))</f>
        <v>1915</v>
      </c>
      <c r="F1925" s="10" t="str">
        <f>DEC2BIN(INT(E1925/64),5)&amp;DEC2BIN(MOD(E1925,64),6)</f>
        <v>11101111011</v>
      </c>
      <c r="G1925" s="10" t="str">
        <f>DEC2HEX(E1925,3)</f>
        <v>77B</v>
      </c>
      <c r="H1925" s="10" t="str">
        <f>IF(ROUND(D1925/$B$6,0)&gt;$B$7,"YES","NO")</f>
        <v>NO</v>
      </c>
    </row>
    <row r="1926" spans="1:8">
      <c r="A1926" s="8">
        <v>1916</v>
      </c>
      <c r="B1926" s="9">
        <f>D1925</f>
        <v>2244.140625</v>
      </c>
      <c r="C1926" s="9">
        <f>$B$6</f>
        <v>1.171875</v>
      </c>
      <c r="D1926" s="9">
        <f>B1926+C1926</f>
        <v>2245.3125</v>
      </c>
      <c r="E1926" s="8">
        <f>MIN($B$7,ROUND(D1926/$B$6,0))</f>
        <v>1916</v>
      </c>
      <c r="F1926" s="8" t="str">
        <f>DEC2BIN(INT(E1926/64),5)&amp;DEC2BIN(MOD(E1926,64),6)</f>
        <v>11101111100</v>
      </c>
      <c r="G1926" s="8" t="str">
        <f>DEC2HEX(E1926,3)</f>
        <v>77C</v>
      </c>
      <c r="H1926" s="8" t="str">
        <f>IF(ROUND(D1926/$B$6,0)&gt;$B$7,"YES","NO")</f>
        <v>NO</v>
      </c>
    </row>
    <row r="1927" spans="1:8">
      <c r="A1927" s="10">
        <v>1917</v>
      </c>
      <c r="B1927" s="11">
        <f>D1926</f>
        <v>2245.3125</v>
      </c>
      <c r="C1927" s="11">
        <f>$B$6</f>
        <v>1.171875</v>
      </c>
      <c r="D1927" s="11">
        <f>B1927+C1927</f>
        <v>2246.484375</v>
      </c>
      <c r="E1927" s="10">
        <f>MIN($B$7,ROUND(D1927/$B$6,0))</f>
        <v>1917</v>
      </c>
      <c r="F1927" s="10" t="str">
        <f>DEC2BIN(INT(E1927/64),5)&amp;DEC2BIN(MOD(E1927,64),6)</f>
        <v>11101111101</v>
      </c>
      <c r="G1927" s="10" t="str">
        <f>DEC2HEX(E1927,3)</f>
        <v>77D</v>
      </c>
      <c r="H1927" s="10" t="str">
        <f>IF(ROUND(D1927/$B$6,0)&gt;$B$7,"YES","NO")</f>
        <v>NO</v>
      </c>
    </row>
    <row r="1928" spans="1:8">
      <c r="A1928" s="8">
        <v>1918</v>
      </c>
      <c r="B1928" s="9">
        <f>D1927</f>
        <v>2246.484375</v>
      </c>
      <c r="C1928" s="9">
        <f>$B$6</f>
        <v>1.171875</v>
      </c>
      <c r="D1928" s="9">
        <f>B1928+C1928</f>
        <v>2247.65625</v>
      </c>
      <c r="E1928" s="8">
        <f>MIN($B$7,ROUND(D1928/$B$6,0))</f>
        <v>1918</v>
      </c>
      <c r="F1928" s="8" t="str">
        <f>DEC2BIN(INT(E1928/64),5)&amp;DEC2BIN(MOD(E1928,64),6)</f>
        <v>11101111110</v>
      </c>
      <c r="G1928" s="8" t="str">
        <f>DEC2HEX(E1928,3)</f>
        <v>77E</v>
      </c>
      <c r="H1928" s="8" t="str">
        <f>IF(ROUND(D1928/$B$6,0)&gt;$B$7,"YES","NO")</f>
        <v>NO</v>
      </c>
    </row>
    <row r="1929" spans="1:8">
      <c r="A1929" s="10">
        <v>1919</v>
      </c>
      <c r="B1929" s="11">
        <f>D1928</f>
        <v>2247.65625</v>
      </c>
      <c r="C1929" s="11">
        <f>$B$6</f>
        <v>1.171875</v>
      </c>
      <c r="D1929" s="11">
        <f>B1929+C1929</f>
        <v>2248.828125</v>
      </c>
      <c r="E1929" s="10">
        <f>MIN($B$7,ROUND(D1929/$B$6,0))</f>
        <v>1919</v>
      </c>
      <c r="F1929" s="10" t="str">
        <f>DEC2BIN(INT(E1929/64),5)&amp;DEC2BIN(MOD(E1929,64),6)</f>
        <v>11101111111</v>
      </c>
      <c r="G1929" s="10" t="str">
        <f>DEC2HEX(E1929,3)</f>
        <v>77F</v>
      </c>
      <c r="H1929" s="10" t="str">
        <f>IF(ROUND(D1929/$B$6,0)&gt;$B$7,"YES","NO")</f>
        <v>NO</v>
      </c>
    </row>
    <row r="1930" spans="1:8">
      <c r="A1930" s="8">
        <v>1920</v>
      </c>
      <c r="B1930" s="9">
        <f>D1929</f>
        <v>2248.828125</v>
      </c>
      <c r="C1930" s="9">
        <f>$B$6</f>
        <v>1.171875</v>
      </c>
      <c r="D1930" s="9">
        <f>B1930+C1930</f>
        <v>2250</v>
      </c>
      <c r="E1930" s="8">
        <f>MIN($B$7,ROUND(D1930/$B$6,0))</f>
        <v>1920</v>
      </c>
      <c r="F1930" s="8" t="str">
        <f>DEC2BIN(INT(E1930/64),5)&amp;DEC2BIN(MOD(E1930,64),6)</f>
        <v>11110000000</v>
      </c>
      <c r="G1930" s="8" t="str">
        <f>DEC2HEX(E1930,3)</f>
        <v>780</v>
      </c>
      <c r="H1930" s="8" t="str">
        <f>IF(ROUND(D1930/$B$6,0)&gt;$B$7,"YES","NO")</f>
        <v>NO</v>
      </c>
    </row>
    <row r="1931" spans="1:8">
      <c r="A1931" s="10">
        <v>1921</v>
      </c>
      <c r="B1931" s="11">
        <f>D1930</f>
        <v>2250</v>
      </c>
      <c r="C1931" s="11">
        <f>$B$6</f>
        <v>1.171875</v>
      </c>
      <c r="D1931" s="11">
        <f>B1931+C1931</f>
        <v>2251.171875</v>
      </c>
      <c r="E1931" s="10">
        <f>MIN($B$7,ROUND(D1931/$B$6,0))</f>
        <v>1921</v>
      </c>
      <c r="F1931" s="10" t="str">
        <f>DEC2BIN(INT(E1931/64),5)&amp;DEC2BIN(MOD(E1931,64),6)</f>
        <v>11110000001</v>
      </c>
      <c r="G1931" s="10" t="str">
        <f>DEC2HEX(E1931,3)</f>
        <v>781</v>
      </c>
      <c r="H1931" s="10" t="str">
        <f>IF(ROUND(D1931/$B$6,0)&gt;$B$7,"YES","NO")</f>
        <v>NO</v>
      </c>
    </row>
    <row r="1932" spans="1:8">
      <c r="A1932" s="8">
        <v>1922</v>
      </c>
      <c r="B1932" s="9">
        <f>D1931</f>
        <v>2251.171875</v>
      </c>
      <c r="C1932" s="9">
        <f>$B$6</f>
        <v>1.171875</v>
      </c>
      <c r="D1932" s="9">
        <f>B1932+C1932</f>
        <v>2252.34375</v>
      </c>
      <c r="E1932" s="8">
        <f>MIN($B$7,ROUND(D1932/$B$6,0))</f>
        <v>1922</v>
      </c>
      <c r="F1932" s="8" t="str">
        <f>DEC2BIN(INT(E1932/64),5)&amp;DEC2BIN(MOD(E1932,64),6)</f>
        <v>11110000010</v>
      </c>
      <c r="G1932" s="8" t="str">
        <f>DEC2HEX(E1932,3)</f>
        <v>782</v>
      </c>
      <c r="H1932" s="8" t="str">
        <f>IF(ROUND(D1932/$B$6,0)&gt;$B$7,"YES","NO")</f>
        <v>NO</v>
      </c>
    </row>
    <row r="1933" spans="1:8">
      <c r="A1933" s="10">
        <v>1923</v>
      </c>
      <c r="B1933" s="11">
        <f>D1932</f>
        <v>2252.34375</v>
      </c>
      <c r="C1933" s="11">
        <f>$B$6</f>
        <v>1.171875</v>
      </c>
      <c r="D1933" s="11">
        <f>B1933+C1933</f>
        <v>2253.515625</v>
      </c>
      <c r="E1933" s="10">
        <f>MIN($B$7,ROUND(D1933/$B$6,0))</f>
        <v>1923</v>
      </c>
      <c r="F1933" s="10" t="str">
        <f>DEC2BIN(INT(E1933/64),5)&amp;DEC2BIN(MOD(E1933,64),6)</f>
        <v>11110000011</v>
      </c>
      <c r="G1933" s="10" t="str">
        <f>DEC2HEX(E1933,3)</f>
        <v>783</v>
      </c>
      <c r="H1933" s="10" t="str">
        <f>IF(ROUND(D1933/$B$6,0)&gt;$B$7,"YES","NO")</f>
        <v>NO</v>
      </c>
    </row>
    <row r="1934" spans="1:8">
      <c r="A1934" s="8">
        <v>1924</v>
      </c>
      <c r="B1934" s="9">
        <f>D1933</f>
        <v>2253.515625</v>
      </c>
      <c r="C1934" s="9">
        <f>$B$6</f>
        <v>1.171875</v>
      </c>
      <c r="D1934" s="9">
        <f>B1934+C1934</f>
        <v>2254.6875</v>
      </c>
      <c r="E1934" s="8">
        <f>MIN($B$7,ROUND(D1934/$B$6,0))</f>
        <v>1924</v>
      </c>
      <c r="F1934" s="8" t="str">
        <f>DEC2BIN(INT(E1934/64),5)&amp;DEC2BIN(MOD(E1934,64),6)</f>
        <v>11110000100</v>
      </c>
      <c r="G1934" s="8" t="str">
        <f>DEC2HEX(E1934,3)</f>
        <v>784</v>
      </c>
      <c r="H1934" s="8" t="str">
        <f>IF(ROUND(D1934/$B$6,0)&gt;$B$7,"YES","NO")</f>
        <v>NO</v>
      </c>
    </row>
    <row r="1935" spans="1:8">
      <c r="A1935" s="10">
        <v>1925</v>
      </c>
      <c r="B1935" s="11">
        <f>D1934</f>
        <v>2254.6875</v>
      </c>
      <c r="C1935" s="11">
        <f>$B$6</f>
        <v>1.171875</v>
      </c>
      <c r="D1935" s="11">
        <f>B1935+C1935</f>
        <v>2255.859375</v>
      </c>
      <c r="E1935" s="10">
        <f>MIN($B$7,ROUND(D1935/$B$6,0))</f>
        <v>1925</v>
      </c>
      <c r="F1935" s="10" t="str">
        <f>DEC2BIN(INT(E1935/64),5)&amp;DEC2BIN(MOD(E1935,64),6)</f>
        <v>11110000101</v>
      </c>
      <c r="G1935" s="10" t="str">
        <f>DEC2HEX(E1935,3)</f>
        <v>785</v>
      </c>
      <c r="H1935" s="10" t="str">
        <f>IF(ROUND(D1935/$B$6,0)&gt;$B$7,"YES","NO")</f>
        <v>NO</v>
      </c>
    </row>
    <row r="1936" spans="1:8">
      <c r="A1936" s="8">
        <v>1926</v>
      </c>
      <c r="B1936" s="9">
        <f>D1935</f>
        <v>2255.859375</v>
      </c>
      <c r="C1936" s="9">
        <f>$B$6</f>
        <v>1.171875</v>
      </c>
      <c r="D1936" s="9">
        <f>B1936+C1936</f>
        <v>2257.03125</v>
      </c>
      <c r="E1936" s="8">
        <f>MIN($B$7,ROUND(D1936/$B$6,0))</f>
        <v>1926</v>
      </c>
      <c r="F1936" s="8" t="str">
        <f>DEC2BIN(INT(E1936/64),5)&amp;DEC2BIN(MOD(E1936,64),6)</f>
        <v>11110000110</v>
      </c>
      <c r="G1936" s="8" t="str">
        <f>DEC2HEX(E1936,3)</f>
        <v>786</v>
      </c>
      <c r="H1936" s="8" t="str">
        <f>IF(ROUND(D1936/$B$6,0)&gt;$B$7,"YES","NO")</f>
        <v>NO</v>
      </c>
    </row>
    <row r="1937" spans="1:8">
      <c r="A1937" s="10">
        <v>1927</v>
      </c>
      <c r="B1937" s="11">
        <f>D1936</f>
        <v>2257.03125</v>
      </c>
      <c r="C1937" s="11">
        <f>$B$6</f>
        <v>1.171875</v>
      </c>
      <c r="D1937" s="11">
        <f>B1937+C1937</f>
        <v>2258.203125</v>
      </c>
      <c r="E1937" s="10">
        <f>MIN($B$7,ROUND(D1937/$B$6,0))</f>
        <v>1927</v>
      </c>
      <c r="F1937" s="10" t="str">
        <f>DEC2BIN(INT(E1937/64),5)&amp;DEC2BIN(MOD(E1937,64),6)</f>
        <v>11110000111</v>
      </c>
      <c r="G1937" s="10" t="str">
        <f>DEC2HEX(E1937,3)</f>
        <v>787</v>
      </c>
      <c r="H1937" s="10" t="str">
        <f>IF(ROUND(D1937/$B$6,0)&gt;$B$7,"YES","NO")</f>
        <v>NO</v>
      </c>
    </row>
    <row r="1938" spans="1:8">
      <c r="A1938" s="8">
        <v>1928</v>
      </c>
      <c r="B1938" s="9">
        <f>D1937</f>
        <v>2258.203125</v>
      </c>
      <c r="C1938" s="9">
        <f>$B$6</f>
        <v>1.171875</v>
      </c>
      <c r="D1938" s="9">
        <f>B1938+C1938</f>
        <v>2259.375</v>
      </c>
      <c r="E1938" s="8">
        <f>MIN($B$7,ROUND(D1938/$B$6,0))</f>
        <v>1928</v>
      </c>
      <c r="F1938" s="8" t="str">
        <f>DEC2BIN(INT(E1938/64),5)&amp;DEC2BIN(MOD(E1938,64),6)</f>
        <v>11110001000</v>
      </c>
      <c r="G1938" s="8" t="str">
        <f>DEC2HEX(E1938,3)</f>
        <v>788</v>
      </c>
      <c r="H1938" s="8" t="str">
        <f>IF(ROUND(D1938/$B$6,0)&gt;$B$7,"YES","NO")</f>
        <v>NO</v>
      </c>
    </row>
    <row r="1939" spans="1:8">
      <c r="A1939" s="10">
        <v>1929</v>
      </c>
      <c r="B1939" s="11">
        <f>D1938</f>
        <v>2259.375</v>
      </c>
      <c r="C1939" s="11">
        <f>$B$6</f>
        <v>1.171875</v>
      </c>
      <c r="D1939" s="11">
        <f>B1939+C1939</f>
        <v>2260.546875</v>
      </c>
      <c r="E1939" s="10">
        <f>MIN($B$7,ROUND(D1939/$B$6,0))</f>
        <v>1929</v>
      </c>
      <c r="F1939" s="10" t="str">
        <f>DEC2BIN(INT(E1939/64),5)&amp;DEC2BIN(MOD(E1939,64),6)</f>
        <v>11110001001</v>
      </c>
      <c r="G1939" s="10" t="str">
        <f>DEC2HEX(E1939,3)</f>
        <v>789</v>
      </c>
      <c r="H1939" s="10" t="str">
        <f>IF(ROUND(D1939/$B$6,0)&gt;$B$7,"YES","NO")</f>
        <v>NO</v>
      </c>
    </row>
    <row r="1940" spans="1:8">
      <c r="A1940" s="8">
        <v>1930</v>
      </c>
      <c r="B1940" s="9">
        <f>D1939</f>
        <v>2260.546875</v>
      </c>
      <c r="C1940" s="9">
        <f>$B$6</f>
        <v>1.171875</v>
      </c>
      <c r="D1940" s="9">
        <f>B1940+C1940</f>
        <v>2261.71875</v>
      </c>
      <c r="E1940" s="8">
        <f>MIN($B$7,ROUND(D1940/$B$6,0))</f>
        <v>1930</v>
      </c>
      <c r="F1940" s="8" t="str">
        <f>DEC2BIN(INT(E1940/64),5)&amp;DEC2BIN(MOD(E1940,64),6)</f>
        <v>11110001010</v>
      </c>
      <c r="G1940" s="8" t="str">
        <f>DEC2HEX(E1940,3)</f>
        <v>78A</v>
      </c>
      <c r="H1940" s="8" t="str">
        <f>IF(ROUND(D1940/$B$6,0)&gt;$B$7,"YES","NO")</f>
        <v>NO</v>
      </c>
    </row>
    <row r="1941" spans="1:8">
      <c r="A1941" s="10">
        <v>1931</v>
      </c>
      <c r="B1941" s="11">
        <f>D1940</f>
        <v>2261.71875</v>
      </c>
      <c r="C1941" s="11">
        <f>$B$6</f>
        <v>1.171875</v>
      </c>
      <c r="D1941" s="11">
        <f>B1941+C1941</f>
        <v>2262.890625</v>
      </c>
      <c r="E1941" s="10">
        <f>MIN($B$7,ROUND(D1941/$B$6,0))</f>
        <v>1931</v>
      </c>
      <c r="F1941" s="10" t="str">
        <f>DEC2BIN(INT(E1941/64),5)&amp;DEC2BIN(MOD(E1941,64),6)</f>
        <v>11110001011</v>
      </c>
      <c r="G1941" s="10" t="str">
        <f>DEC2HEX(E1941,3)</f>
        <v>78B</v>
      </c>
      <c r="H1941" s="10" t="str">
        <f>IF(ROUND(D1941/$B$6,0)&gt;$B$7,"YES","NO")</f>
        <v>NO</v>
      </c>
    </row>
    <row r="1942" spans="1:8">
      <c r="A1942" s="8">
        <v>1932</v>
      </c>
      <c r="B1942" s="9">
        <f>D1941</f>
        <v>2262.890625</v>
      </c>
      <c r="C1942" s="9">
        <f>$B$6</f>
        <v>1.171875</v>
      </c>
      <c r="D1942" s="9">
        <f>B1942+C1942</f>
        <v>2264.0625</v>
      </c>
      <c r="E1942" s="8">
        <f>MIN($B$7,ROUND(D1942/$B$6,0))</f>
        <v>1932</v>
      </c>
      <c r="F1942" s="8" t="str">
        <f>DEC2BIN(INT(E1942/64),5)&amp;DEC2BIN(MOD(E1942,64),6)</f>
        <v>11110001100</v>
      </c>
      <c r="G1942" s="8" t="str">
        <f>DEC2HEX(E1942,3)</f>
        <v>78C</v>
      </c>
      <c r="H1942" s="8" t="str">
        <f>IF(ROUND(D1942/$B$6,0)&gt;$B$7,"YES","NO")</f>
        <v>NO</v>
      </c>
    </row>
    <row r="1943" spans="1:8">
      <c r="A1943" s="10">
        <v>1933</v>
      </c>
      <c r="B1943" s="11">
        <f>D1942</f>
        <v>2264.0625</v>
      </c>
      <c r="C1943" s="11">
        <f>$B$6</f>
        <v>1.171875</v>
      </c>
      <c r="D1943" s="11">
        <f>B1943+C1943</f>
        <v>2265.234375</v>
      </c>
      <c r="E1943" s="10">
        <f>MIN($B$7,ROUND(D1943/$B$6,0))</f>
        <v>1933</v>
      </c>
      <c r="F1943" s="10" t="str">
        <f>DEC2BIN(INT(E1943/64),5)&amp;DEC2BIN(MOD(E1943,64),6)</f>
        <v>11110001101</v>
      </c>
      <c r="G1943" s="10" t="str">
        <f>DEC2HEX(E1943,3)</f>
        <v>78D</v>
      </c>
      <c r="H1943" s="10" t="str">
        <f>IF(ROUND(D1943/$B$6,0)&gt;$B$7,"YES","NO")</f>
        <v>NO</v>
      </c>
    </row>
    <row r="1944" spans="1:8">
      <c r="A1944" s="8">
        <v>1934</v>
      </c>
      <c r="B1944" s="9">
        <f>D1943</f>
        <v>2265.234375</v>
      </c>
      <c r="C1944" s="9">
        <f>$B$6</f>
        <v>1.171875</v>
      </c>
      <c r="D1944" s="9">
        <f>B1944+C1944</f>
        <v>2266.40625</v>
      </c>
      <c r="E1944" s="8">
        <f>MIN($B$7,ROUND(D1944/$B$6,0))</f>
        <v>1934</v>
      </c>
      <c r="F1944" s="8" t="str">
        <f>DEC2BIN(INT(E1944/64),5)&amp;DEC2BIN(MOD(E1944,64),6)</f>
        <v>11110001110</v>
      </c>
      <c r="G1944" s="8" t="str">
        <f>DEC2HEX(E1944,3)</f>
        <v>78E</v>
      </c>
      <c r="H1944" s="8" t="str">
        <f>IF(ROUND(D1944/$B$6,0)&gt;$B$7,"YES","NO")</f>
        <v>NO</v>
      </c>
    </row>
    <row r="1945" spans="1:8">
      <c r="A1945" s="10">
        <v>1935</v>
      </c>
      <c r="B1945" s="11">
        <f>D1944</f>
        <v>2266.40625</v>
      </c>
      <c r="C1945" s="11">
        <f>$B$6</f>
        <v>1.171875</v>
      </c>
      <c r="D1945" s="11">
        <f>B1945+C1945</f>
        <v>2267.578125</v>
      </c>
      <c r="E1945" s="10">
        <f>MIN($B$7,ROUND(D1945/$B$6,0))</f>
        <v>1935</v>
      </c>
      <c r="F1945" s="10" t="str">
        <f>DEC2BIN(INT(E1945/64),5)&amp;DEC2BIN(MOD(E1945,64),6)</f>
        <v>11110001111</v>
      </c>
      <c r="G1945" s="10" t="str">
        <f>DEC2HEX(E1945,3)</f>
        <v>78F</v>
      </c>
      <c r="H1945" s="10" t="str">
        <f>IF(ROUND(D1945/$B$6,0)&gt;$B$7,"YES","NO")</f>
        <v>NO</v>
      </c>
    </row>
    <row r="1946" spans="1:8">
      <c r="A1946" s="8">
        <v>1936</v>
      </c>
      <c r="B1946" s="9">
        <f>D1945</f>
        <v>2267.578125</v>
      </c>
      <c r="C1946" s="9">
        <f>$B$6</f>
        <v>1.171875</v>
      </c>
      <c r="D1946" s="9">
        <f>B1946+C1946</f>
        <v>2268.75</v>
      </c>
      <c r="E1946" s="8">
        <f>MIN($B$7,ROUND(D1946/$B$6,0))</f>
        <v>1936</v>
      </c>
      <c r="F1946" s="8" t="str">
        <f>DEC2BIN(INT(E1946/64),5)&amp;DEC2BIN(MOD(E1946,64),6)</f>
        <v>11110010000</v>
      </c>
      <c r="G1946" s="8" t="str">
        <f>DEC2HEX(E1946,3)</f>
        <v>790</v>
      </c>
      <c r="H1946" s="8" t="str">
        <f>IF(ROUND(D1946/$B$6,0)&gt;$B$7,"YES","NO")</f>
        <v>NO</v>
      </c>
    </row>
    <row r="1947" spans="1:8">
      <c r="A1947" s="10">
        <v>1937</v>
      </c>
      <c r="B1947" s="11">
        <f>D1946</f>
        <v>2268.75</v>
      </c>
      <c r="C1947" s="11">
        <f>$B$6</f>
        <v>1.171875</v>
      </c>
      <c r="D1947" s="11">
        <f>B1947+C1947</f>
        <v>2269.921875</v>
      </c>
      <c r="E1947" s="10">
        <f>MIN($B$7,ROUND(D1947/$B$6,0))</f>
        <v>1937</v>
      </c>
      <c r="F1947" s="10" t="str">
        <f>DEC2BIN(INT(E1947/64),5)&amp;DEC2BIN(MOD(E1947,64),6)</f>
        <v>11110010001</v>
      </c>
      <c r="G1947" s="10" t="str">
        <f>DEC2HEX(E1947,3)</f>
        <v>791</v>
      </c>
      <c r="H1947" s="10" t="str">
        <f>IF(ROUND(D1947/$B$6,0)&gt;$B$7,"YES","NO")</f>
        <v>NO</v>
      </c>
    </row>
    <row r="1948" spans="1:8">
      <c r="A1948" s="8">
        <v>1938</v>
      </c>
      <c r="B1948" s="9">
        <f>D1947</f>
        <v>2269.921875</v>
      </c>
      <c r="C1948" s="9">
        <f>$B$6</f>
        <v>1.171875</v>
      </c>
      <c r="D1948" s="9">
        <f>B1948+C1948</f>
        <v>2271.09375</v>
      </c>
      <c r="E1948" s="8">
        <f>MIN($B$7,ROUND(D1948/$B$6,0))</f>
        <v>1938</v>
      </c>
      <c r="F1948" s="8" t="str">
        <f>DEC2BIN(INT(E1948/64),5)&amp;DEC2BIN(MOD(E1948,64),6)</f>
        <v>11110010010</v>
      </c>
      <c r="G1948" s="8" t="str">
        <f>DEC2HEX(E1948,3)</f>
        <v>792</v>
      </c>
      <c r="H1948" s="8" t="str">
        <f>IF(ROUND(D1948/$B$6,0)&gt;$B$7,"YES","NO")</f>
        <v>NO</v>
      </c>
    </row>
    <row r="1949" spans="1:8">
      <c r="A1949" s="10">
        <v>1939</v>
      </c>
      <c r="B1949" s="11">
        <f>D1948</f>
        <v>2271.09375</v>
      </c>
      <c r="C1949" s="11">
        <f>$B$6</f>
        <v>1.171875</v>
      </c>
      <c r="D1949" s="11">
        <f>B1949+C1949</f>
        <v>2272.265625</v>
      </c>
      <c r="E1949" s="10">
        <f>MIN($B$7,ROUND(D1949/$B$6,0))</f>
        <v>1939</v>
      </c>
      <c r="F1949" s="10" t="str">
        <f>DEC2BIN(INT(E1949/64),5)&amp;DEC2BIN(MOD(E1949,64),6)</f>
        <v>11110010011</v>
      </c>
      <c r="G1949" s="10" t="str">
        <f>DEC2HEX(E1949,3)</f>
        <v>793</v>
      </c>
      <c r="H1949" s="10" t="str">
        <f>IF(ROUND(D1949/$B$6,0)&gt;$B$7,"YES","NO")</f>
        <v>NO</v>
      </c>
    </row>
    <row r="1950" spans="1:8">
      <c r="A1950" s="8">
        <v>1940</v>
      </c>
      <c r="B1950" s="9">
        <f>D1949</f>
        <v>2272.265625</v>
      </c>
      <c r="C1950" s="9">
        <f>$B$6</f>
        <v>1.171875</v>
      </c>
      <c r="D1950" s="9">
        <f>B1950+C1950</f>
        <v>2273.4375</v>
      </c>
      <c r="E1950" s="8">
        <f>MIN($B$7,ROUND(D1950/$B$6,0))</f>
        <v>1940</v>
      </c>
      <c r="F1950" s="8" t="str">
        <f>DEC2BIN(INT(E1950/64),5)&amp;DEC2BIN(MOD(E1950,64),6)</f>
        <v>11110010100</v>
      </c>
      <c r="G1950" s="8" t="str">
        <f>DEC2HEX(E1950,3)</f>
        <v>794</v>
      </c>
      <c r="H1950" s="8" t="str">
        <f>IF(ROUND(D1950/$B$6,0)&gt;$B$7,"YES","NO")</f>
        <v>NO</v>
      </c>
    </row>
    <row r="1951" spans="1:8">
      <c r="A1951" s="10">
        <v>1941</v>
      </c>
      <c r="B1951" s="11">
        <f>D1950</f>
        <v>2273.4375</v>
      </c>
      <c r="C1951" s="11">
        <f>$B$6</f>
        <v>1.171875</v>
      </c>
      <c r="D1951" s="11">
        <f>B1951+C1951</f>
        <v>2274.609375</v>
      </c>
      <c r="E1951" s="10">
        <f>MIN($B$7,ROUND(D1951/$B$6,0))</f>
        <v>1941</v>
      </c>
      <c r="F1951" s="10" t="str">
        <f>DEC2BIN(INT(E1951/64),5)&amp;DEC2BIN(MOD(E1951,64),6)</f>
        <v>11110010101</v>
      </c>
      <c r="G1951" s="10" t="str">
        <f>DEC2HEX(E1951,3)</f>
        <v>795</v>
      </c>
      <c r="H1951" s="10" t="str">
        <f>IF(ROUND(D1951/$B$6,0)&gt;$B$7,"YES","NO")</f>
        <v>NO</v>
      </c>
    </row>
    <row r="1952" spans="1:8">
      <c r="A1952" s="8">
        <v>1942</v>
      </c>
      <c r="B1952" s="9">
        <f>D1951</f>
        <v>2274.609375</v>
      </c>
      <c r="C1952" s="9">
        <f>$B$6</f>
        <v>1.171875</v>
      </c>
      <c r="D1952" s="9">
        <f>B1952+C1952</f>
        <v>2275.78125</v>
      </c>
      <c r="E1952" s="8">
        <f>MIN($B$7,ROUND(D1952/$B$6,0))</f>
        <v>1942</v>
      </c>
      <c r="F1952" s="8" t="str">
        <f>DEC2BIN(INT(E1952/64),5)&amp;DEC2BIN(MOD(E1952,64),6)</f>
        <v>11110010110</v>
      </c>
      <c r="G1952" s="8" t="str">
        <f>DEC2HEX(E1952,3)</f>
        <v>796</v>
      </c>
      <c r="H1952" s="8" t="str">
        <f>IF(ROUND(D1952/$B$6,0)&gt;$B$7,"YES","NO")</f>
        <v>NO</v>
      </c>
    </row>
    <row r="1953" spans="1:8">
      <c r="A1953" s="10">
        <v>1943</v>
      </c>
      <c r="B1953" s="11">
        <f>D1952</f>
        <v>2275.78125</v>
      </c>
      <c r="C1953" s="11">
        <f>$B$6</f>
        <v>1.171875</v>
      </c>
      <c r="D1953" s="11">
        <f>B1953+C1953</f>
        <v>2276.953125</v>
      </c>
      <c r="E1953" s="10">
        <f>MIN($B$7,ROUND(D1953/$B$6,0))</f>
        <v>1943</v>
      </c>
      <c r="F1953" s="10" t="str">
        <f>DEC2BIN(INT(E1953/64),5)&amp;DEC2BIN(MOD(E1953,64),6)</f>
        <v>11110010111</v>
      </c>
      <c r="G1953" s="10" t="str">
        <f>DEC2HEX(E1953,3)</f>
        <v>797</v>
      </c>
      <c r="H1953" s="10" t="str">
        <f>IF(ROUND(D1953/$B$6,0)&gt;$B$7,"YES","NO")</f>
        <v>NO</v>
      </c>
    </row>
    <row r="1954" spans="1:8">
      <c r="A1954" s="8">
        <v>1944</v>
      </c>
      <c r="B1954" s="9">
        <f>D1953</f>
        <v>2276.953125</v>
      </c>
      <c r="C1954" s="9">
        <f>$B$6</f>
        <v>1.171875</v>
      </c>
      <c r="D1954" s="9">
        <f>B1954+C1954</f>
        <v>2278.125</v>
      </c>
      <c r="E1954" s="8">
        <f>MIN($B$7,ROUND(D1954/$B$6,0))</f>
        <v>1944</v>
      </c>
      <c r="F1954" s="8" t="str">
        <f>DEC2BIN(INT(E1954/64),5)&amp;DEC2BIN(MOD(E1954,64),6)</f>
        <v>11110011000</v>
      </c>
      <c r="G1954" s="8" t="str">
        <f>DEC2HEX(E1954,3)</f>
        <v>798</v>
      </c>
      <c r="H1954" s="8" t="str">
        <f>IF(ROUND(D1954/$B$6,0)&gt;$B$7,"YES","NO")</f>
        <v>NO</v>
      </c>
    </row>
    <row r="1955" spans="1:8">
      <c r="A1955" s="10">
        <v>1945</v>
      </c>
      <c r="B1955" s="11">
        <f>D1954</f>
        <v>2278.125</v>
      </c>
      <c r="C1955" s="11">
        <f>$B$6</f>
        <v>1.171875</v>
      </c>
      <c r="D1955" s="11">
        <f>B1955+C1955</f>
        <v>2279.296875</v>
      </c>
      <c r="E1955" s="10">
        <f>MIN($B$7,ROUND(D1955/$B$6,0))</f>
        <v>1945</v>
      </c>
      <c r="F1955" s="10" t="str">
        <f>DEC2BIN(INT(E1955/64),5)&amp;DEC2BIN(MOD(E1955,64),6)</f>
        <v>11110011001</v>
      </c>
      <c r="G1955" s="10" t="str">
        <f>DEC2HEX(E1955,3)</f>
        <v>799</v>
      </c>
      <c r="H1955" s="10" t="str">
        <f>IF(ROUND(D1955/$B$6,0)&gt;$B$7,"YES","NO")</f>
        <v>NO</v>
      </c>
    </row>
    <row r="1956" spans="1:8">
      <c r="A1956" s="8">
        <v>1946</v>
      </c>
      <c r="B1956" s="9">
        <f>D1955</f>
        <v>2279.296875</v>
      </c>
      <c r="C1956" s="9">
        <f>$B$6</f>
        <v>1.171875</v>
      </c>
      <c r="D1956" s="9">
        <f>B1956+C1956</f>
        <v>2280.46875</v>
      </c>
      <c r="E1956" s="8">
        <f>MIN($B$7,ROUND(D1956/$B$6,0))</f>
        <v>1946</v>
      </c>
      <c r="F1956" s="8" t="str">
        <f>DEC2BIN(INT(E1956/64),5)&amp;DEC2BIN(MOD(E1956,64),6)</f>
        <v>11110011010</v>
      </c>
      <c r="G1956" s="8" t="str">
        <f>DEC2HEX(E1956,3)</f>
        <v>79A</v>
      </c>
      <c r="H1956" s="8" t="str">
        <f>IF(ROUND(D1956/$B$6,0)&gt;$B$7,"YES","NO")</f>
        <v>NO</v>
      </c>
    </row>
    <row r="1957" spans="1:8">
      <c r="A1957" s="10">
        <v>1947</v>
      </c>
      <c r="B1957" s="11">
        <f>D1956</f>
        <v>2280.46875</v>
      </c>
      <c r="C1957" s="11">
        <f>$B$6</f>
        <v>1.171875</v>
      </c>
      <c r="D1957" s="11">
        <f>B1957+C1957</f>
        <v>2281.640625</v>
      </c>
      <c r="E1957" s="10">
        <f>MIN($B$7,ROUND(D1957/$B$6,0))</f>
        <v>1947</v>
      </c>
      <c r="F1957" s="10" t="str">
        <f>DEC2BIN(INT(E1957/64),5)&amp;DEC2BIN(MOD(E1957,64),6)</f>
        <v>11110011011</v>
      </c>
      <c r="G1957" s="10" t="str">
        <f>DEC2HEX(E1957,3)</f>
        <v>79B</v>
      </c>
      <c r="H1957" s="10" t="str">
        <f>IF(ROUND(D1957/$B$6,0)&gt;$B$7,"YES","NO")</f>
        <v>NO</v>
      </c>
    </row>
    <row r="1958" spans="1:8">
      <c r="A1958" s="8">
        <v>1948</v>
      </c>
      <c r="B1958" s="9">
        <f>D1957</f>
        <v>2281.640625</v>
      </c>
      <c r="C1958" s="9">
        <f>$B$6</f>
        <v>1.171875</v>
      </c>
      <c r="D1958" s="9">
        <f>B1958+C1958</f>
        <v>2282.8125</v>
      </c>
      <c r="E1958" s="8">
        <f>MIN($B$7,ROUND(D1958/$B$6,0))</f>
        <v>1948</v>
      </c>
      <c r="F1958" s="8" t="str">
        <f>DEC2BIN(INT(E1958/64),5)&amp;DEC2BIN(MOD(E1958,64),6)</f>
        <v>11110011100</v>
      </c>
      <c r="G1958" s="8" t="str">
        <f>DEC2HEX(E1958,3)</f>
        <v>79C</v>
      </c>
      <c r="H1958" s="8" t="str">
        <f>IF(ROUND(D1958/$B$6,0)&gt;$B$7,"YES","NO")</f>
        <v>NO</v>
      </c>
    </row>
    <row r="1959" spans="1:8">
      <c r="A1959" s="10">
        <v>1949</v>
      </c>
      <c r="B1959" s="11">
        <f>D1958</f>
        <v>2282.8125</v>
      </c>
      <c r="C1959" s="11">
        <f>$B$6</f>
        <v>1.171875</v>
      </c>
      <c r="D1959" s="11">
        <f>B1959+C1959</f>
        <v>2283.984375</v>
      </c>
      <c r="E1959" s="10">
        <f>MIN($B$7,ROUND(D1959/$B$6,0))</f>
        <v>1949</v>
      </c>
      <c r="F1959" s="10" t="str">
        <f>DEC2BIN(INT(E1959/64),5)&amp;DEC2BIN(MOD(E1959,64),6)</f>
        <v>11110011101</v>
      </c>
      <c r="G1959" s="10" t="str">
        <f>DEC2HEX(E1959,3)</f>
        <v>79D</v>
      </c>
      <c r="H1959" s="10" t="str">
        <f>IF(ROUND(D1959/$B$6,0)&gt;$B$7,"YES","NO")</f>
        <v>NO</v>
      </c>
    </row>
    <row r="1960" spans="1:8">
      <c r="A1960" s="8">
        <v>1950</v>
      </c>
      <c r="B1960" s="9">
        <f>D1959</f>
        <v>2283.984375</v>
      </c>
      <c r="C1960" s="9">
        <f>$B$6</f>
        <v>1.171875</v>
      </c>
      <c r="D1960" s="9">
        <f>B1960+C1960</f>
        <v>2285.15625</v>
      </c>
      <c r="E1960" s="8">
        <f>MIN($B$7,ROUND(D1960/$B$6,0))</f>
        <v>1950</v>
      </c>
      <c r="F1960" s="8" t="str">
        <f>DEC2BIN(INT(E1960/64),5)&amp;DEC2BIN(MOD(E1960,64),6)</f>
        <v>11110011110</v>
      </c>
      <c r="G1960" s="8" t="str">
        <f>DEC2HEX(E1960,3)</f>
        <v>79E</v>
      </c>
      <c r="H1960" s="8" t="str">
        <f>IF(ROUND(D1960/$B$6,0)&gt;$B$7,"YES","NO")</f>
        <v>NO</v>
      </c>
    </row>
    <row r="1961" spans="1:8">
      <c r="A1961" s="10">
        <v>1951</v>
      </c>
      <c r="B1961" s="11">
        <f>D1960</f>
        <v>2285.15625</v>
      </c>
      <c r="C1961" s="11">
        <f>$B$6</f>
        <v>1.171875</v>
      </c>
      <c r="D1961" s="11">
        <f>B1961+C1961</f>
        <v>2286.328125</v>
      </c>
      <c r="E1961" s="10">
        <f>MIN($B$7,ROUND(D1961/$B$6,0))</f>
        <v>1951</v>
      </c>
      <c r="F1961" s="10" t="str">
        <f>DEC2BIN(INT(E1961/64),5)&amp;DEC2BIN(MOD(E1961,64),6)</f>
        <v>11110011111</v>
      </c>
      <c r="G1961" s="10" t="str">
        <f>DEC2HEX(E1961,3)</f>
        <v>79F</v>
      </c>
      <c r="H1961" s="10" t="str">
        <f>IF(ROUND(D1961/$B$6,0)&gt;$B$7,"YES","NO")</f>
        <v>NO</v>
      </c>
    </row>
    <row r="1962" spans="1:8">
      <c r="A1962" s="8">
        <v>1952</v>
      </c>
      <c r="B1962" s="9">
        <f>D1961</f>
        <v>2286.328125</v>
      </c>
      <c r="C1962" s="9">
        <f>$B$6</f>
        <v>1.171875</v>
      </c>
      <c r="D1962" s="9">
        <f>B1962+C1962</f>
        <v>2287.5</v>
      </c>
      <c r="E1962" s="8">
        <f>MIN($B$7,ROUND(D1962/$B$6,0))</f>
        <v>1952</v>
      </c>
      <c r="F1962" s="8" t="str">
        <f>DEC2BIN(INT(E1962/64),5)&amp;DEC2BIN(MOD(E1962,64),6)</f>
        <v>11110100000</v>
      </c>
      <c r="G1962" s="8" t="str">
        <f>DEC2HEX(E1962,3)</f>
        <v>7A0</v>
      </c>
      <c r="H1962" s="8" t="str">
        <f>IF(ROUND(D1962/$B$6,0)&gt;$B$7,"YES","NO")</f>
        <v>NO</v>
      </c>
    </row>
    <row r="1963" spans="1:8">
      <c r="A1963" s="10">
        <v>1953</v>
      </c>
      <c r="B1963" s="11">
        <f>D1962</f>
        <v>2287.5</v>
      </c>
      <c r="C1963" s="11">
        <f>$B$6</f>
        <v>1.171875</v>
      </c>
      <c r="D1963" s="11">
        <f>B1963+C1963</f>
        <v>2288.671875</v>
      </c>
      <c r="E1963" s="10">
        <f>MIN($B$7,ROUND(D1963/$B$6,0))</f>
        <v>1953</v>
      </c>
      <c r="F1963" s="10" t="str">
        <f>DEC2BIN(INT(E1963/64),5)&amp;DEC2BIN(MOD(E1963,64),6)</f>
        <v>11110100001</v>
      </c>
      <c r="G1963" s="10" t="str">
        <f>DEC2HEX(E1963,3)</f>
        <v>7A1</v>
      </c>
      <c r="H1963" s="10" t="str">
        <f>IF(ROUND(D1963/$B$6,0)&gt;$B$7,"YES","NO")</f>
        <v>NO</v>
      </c>
    </row>
    <row r="1964" spans="1:8">
      <c r="A1964" s="8">
        <v>1954</v>
      </c>
      <c r="B1964" s="9">
        <f>D1963</f>
        <v>2288.671875</v>
      </c>
      <c r="C1964" s="9">
        <f>$B$6</f>
        <v>1.171875</v>
      </c>
      <c r="D1964" s="9">
        <f>B1964+C1964</f>
        <v>2289.84375</v>
      </c>
      <c r="E1964" s="8">
        <f>MIN($B$7,ROUND(D1964/$B$6,0))</f>
        <v>1954</v>
      </c>
      <c r="F1964" s="8" t="str">
        <f>DEC2BIN(INT(E1964/64),5)&amp;DEC2BIN(MOD(E1964,64),6)</f>
        <v>11110100010</v>
      </c>
      <c r="G1964" s="8" t="str">
        <f>DEC2HEX(E1964,3)</f>
        <v>7A2</v>
      </c>
      <c r="H1964" s="8" t="str">
        <f>IF(ROUND(D1964/$B$6,0)&gt;$B$7,"YES","NO")</f>
        <v>NO</v>
      </c>
    </row>
    <row r="1965" spans="1:8">
      <c r="A1965" s="10">
        <v>1955</v>
      </c>
      <c r="B1965" s="11">
        <f>D1964</f>
        <v>2289.84375</v>
      </c>
      <c r="C1965" s="11">
        <f>$B$6</f>
        <v>1.171875</v>
      </c>
      <c r="D1965" s="11">
        <f>B1965+C1965</f>
        <v>2291.015625</v>
      </c>
      <c r="E1965" s="10">
        <f>MIN($B$7,ROUND(D1965/$B$6,0))</f>
        <v>1955</v>
      </c>
      <c r="F1965" s="10" t="str">
        <f>DEC2BIN(INT(E1965/64),5)&amp;DEC2BIN(MOD(E1965,64),6)</f>
        <v>11110100011</v>
      </c>
      <c r="G1965" s="10" t="str">
        <f>DEC2HEX(E1965,3)</f>
        <v>7A3</v>
      </c>
      <c r="H1965" s="10" t="str">
        <f>IF(ROUND(D1965/$B$6,0)&gt;$B$7,"YES","NO")</f>
        <v>NO</v>
      </c>
    </row>
    <row r="1966" spans="1:8">
      <c r="A1966" s="8">
        <v>1956</v>
      </c>
      <c r="B1966" s="9">
        <f>D1965</f>
        <v>2291.015625</v>
      </c>
      <c r="C1966" s="9">
        <f>$B$6</f>
        <v>1.171875</v>
      </c>
      <c r="D1966" s="9">
        <f>B1966+C1966</f>
        <v>2292.1875</v>
      </c>
      <c r="E1966" s="8">
        <f>MIN($B$7,ROUND(D1966/$B$6,0))</f>
        <v>1956</v>
      </c>
      <c r="F1966" s="8" t="str">
        <f>DEC2BIN(INT(E1966/64),5)&amp;DEC2BIN(MOD(E1966,64),6)</f>
        <v>11110100100</v>
      </c>
      <c r="G1966" s="8" t="str">
        <f>DEC2HEX(E1966,3)</f>
        <v>7A4</v>
      </c>
      <c r="H1966" s="8" t="str">
        <f>IF(ROUND(D1966/$B$6,0)&gt;$B$7,"YES","NO")</f>
        <v>NO</v>
      </c>
    </row>
    <row r="1967" spans="1:8">
      <c r="A1967" s="10">
        <v>1957</v>
      </c>
      <c r="B1967" s="11">
        <f>D1966</f>
        <v>2292.1875</v>
      </c>
      <c r="C1967" s="11">
        <f>$B$6</f>
        <v>1.171875</v>
      </c>
      <c r="D1967" s="11">
        <f>B1967+C1967</f>
        <v>2293.359375</v>
      </c>
      <c r="E1967" s="10">
        <f>MIN($B$7,ROUND(D1967/$B$6,0))</f>
        <v>1957</v>
      </c>
      <c r="F1967" s="10" t="str">
        <f>DEC2BIN(INT(E1967/64),5)&amp;DEC2BIN(MOD(E1967,64),6)</f>
        <v>11110100101</v>
      </c>
      <c r="G1967" s="10" t="str">
        <f>DEC2HEX(E1967,3)</f>
        <v>7A5</v>
      </c>
      <c r="H1967" s="10" t="str">
        <f>IF(ROUND(D1967/$B$6,0)&gt;$B$7,"YES","NO")</f>
        <v>NO</v>
      </c>
    </row>
    <row r="1968" spans="1:8">
      <c r="A1968" s="8">
        <v>1958</v>
      </c>
      <c r="B1968" s="9">
        <f>D1967</f>
        <v>2293.359375</v>
      </c>
      <c r="C1968" s="9">
        <f>$B$6</f>
        <v>1.171875</v>
      </c>
      <c r="D1968" s="9">
        <f>B1968+C1968</f>
        <v>2294.53125</v>
      </c>
      <c r="E1968" s="8">
        <f>MIN($B$7,ROUND(D1968/$B$6,0))</f>
        <v>1958</v>
      </c>
      <c r="F1968" s="8" t="str">
        <f>DEC2BIN(INT(E1968/64),5)&amp;DEC2BIN(MOD(E1968,64),6)</f>
        <v>11110100110</v>
      </c>
      <c r="G1968" s="8" t="str">
        <f>DEC2HEX(E1968,3)</f>
        <v>7A6</v>
      </c>
      <c r="H1968" s="8" t="str">
        <f>IF(ROUND(D1968/$B$6,0)&gt;$B$7,"YES","NO")</f>
        <v>NO</v>
      </c>
    </row>
    <row r="1969" spans="1:8">
      <c r="A1969" s="10">
        <v>1959</v>
      </c>
      <c r="B1969" s="11">
        <f>D1968</f>
        <v>2294.53125</v>
      </c>
      <c r="C1969" s="11">
        <f>$B$6</f>
        <v>1.171875</v>
      </c>
      <c r="D1969" s="11">
        <f>B1969+C1969</f>
        <v>2295.703125</v>
      </c>
      <c r="E1969" s="10">
        <f>MIN($B$7,ROUND(D1969/$B$6,0))</f>
        <v>1959</v>
      </c>
      <c r="F1969" s="10" t="str">
        <f>DEC2BIN(INT(E1969/64),5)&amp;DEC2BIN(MOD(E1969,64),6)</f>
        <v>11110100111</v>
      </c>
      <c r="G1969" s="10" t="str">
        <f>DEC2HEX(E1969,3)</f>
        <v>7A7</v>
      </c>
      <c r="H1969" s="10" t="str">
        <f>IF(ROUND(D1969/$B$6,0)&gt;$B$7,"YES","NO")</f>
        <v>NO</v>
      </c>
    </row>
    <row r="1970" spans="1:8">
      <c r="A1970" s="8">
        <v>1960</v>
      </c>
      <c r="B1970" s="9">
        <f>D1969</f>
        <v>2295.703125</v>
      </c>
      <c r="C1970" s="9">
        <f>$B$6</f>
        <v>1.171875</v>
      </c>
      <c r="D1970" s="9">
        <f>B1970+C1970</f>
        <v>2296.875</v>
      </c>
      <c r="E1970" s="8">
        <f>MIN($B$7,ROUND(D1970/$B$6,0))</f>
        <v>1960</v>
      </c>
      <c r="F1970" s="8" t="str">
        <f>DEC2BIN(INT(E1970/64),5)&amp;DEC2BIN(MOD(E1970,64),6)</f>
        <v>11110101000</v>
      </c>
      <c r="G1970" s="8" t="str">
        <f>DEC2HEX(E1970,3)</f>
        <v>7A8</v>
      </c>
      <c r="H1970" s="8" t="str">
        <f>IF(ROUND(D1970/$B$6,0)&gt;$B$7,"YES","NO")</f>
        <v>NO</v>
      </c>
    </row>
    <row r="1971" spans="1:8">
      <c r="A1971" s="10">
        <v>1961</v>
      </c>
      <c r="B1971" s="11">
        <f>D1970</f>
        <v>2296.875</v>
      </c>
      <c r="C1971" s="11">
        <f>$B$6</f>
        <v>1.171875</v>
      </c>
      <c r="D1971" s="11">
        <f>B1971+C1971</f>
        <v>2298.046875</v>
      </c>
      <c r="E1971" s="10">
        <f>MIN($B$7,ROUND(D1971/$B$6,0))</f>
        <v>1961</v>
      </c>
      <c r="F1971" s="10" t="str">
        <f>DEC2BIN(INT(E1971/64),5)&amp;DEC2BIN(MOD(E1971,64),6)</f>
        <v>11110101001</v>
      </c>
      <c r="G1971" s="10" t="str">
        <f>DEC2HEX(E1971,3)</f>
        <v>7A9</v>
      </c>
      <c r="H1971" s="10" t="str">
        <f>IF(ROUND(D1971/$B$6,0)&gt;$B$7,"YES","NO")</f>
        <v>NO</v>
      </c>
    </row>
    <row r="1972" spans="1:8">
      <c r="A1972" s="8">
        <v>1962</v>
      </c>
      <c r="B1972" s="9">
        <f>D1971</f>
        <v>2298.046875</v>
      </c>
      <c r="C1972" s="9">
        <f>$B$6</f>
        <v>1.171875</v>
      </c>
      <c r="D1972" s="9">
        <f>B1972+C1972</f>
        <v>2299.21875</v>
      </c>
      <c r="E1972" s="8">
        <f>MIN($B$7,ROUND(D1972/$B$6,0))</f>
        <v>1962</v>
      </c>
      <c r="F1972" s="8" t="str">
        <f>DEC2BIN(INT(E1972/64),5)&amp;DEC2BIN(MOD(E1972,64),6)</f>
        <v>11110101010</v>
      </c>
      <c r="G1972" s="8" t="str">
        <f>DEC2HEX(E1972,3)</f>
        <v>7AA</v>
      </c>
      <c r="H1972" s="8" t="str">
        <f>IF(ROUND(D1972/$B$6,0)&gt;$B$7,"YES","NO")</f>
        <v>NO</v>
      </c>
    </row>
    <row r="1973" spans="1:8">
      <c r="A1973" s="10">
        <v>1963</v>
      </c>
      <c r="B1973" s="11">
        <f>D1972</f>
        <v>2299.21875</v>
      </c>
      <c r="C1973" s="11">
        <f>$B$6</f>
        <v>1.171875</v>
      </c>
      <c r="D1973" s="11">
        <f>B1973+C1973</f>
        <v>2300.390625</v>
      </c>
      <c r="E1973" s="10">
        <f>MIN($B$7,ROUND(D1973/$B$6,0))</f>
        <v>1963</v>
      </c>
      <c r="F1973" s="10" t="str">
        <f>DEC2BIN(INT(E1973/64),5)&amp;DEC2BIN(MOD(E1973,64),6)</f>
        <v>11110101011</v>
      </c>
      <c r="G1973" s="10" t="str">
        <f>DEC2HEX(E1973,3)</f>
        <v>7AB</v>
      </c>
      <c r="H1973" s="10" t="str">
        <f>IF(ROUND(D1973/$B$6,0)&gt;$B$7,"YES","NO")</f>
        <v>NO</v>
      </c>
    </row>
    <row r="1974" spans="1:8">
      <c r="A1974" s="8">
        <v>1964</v>
      </c>
      <c r="B1974" s="9">
        <f>D1973</f>
        <v>2300.390625</v>
      </c>
      <c r="C1974" s="9">
        <f>$B$6</f>
        <v>1.171875</v>
      </c>
      <c r="D1974" s="9">
        <f>B1974+C1974</f>
        <v>2301.5625</v>
      </c>
      <c r="E1974" s="8">
        <f>MIN($B$7,ROUND(D1974/$B$6,0))</f>
        <v>1964</v>
      </c>
      <c r="F1974" s="8" t="str">
        <f>DEC2BIN(INT(E1974/64),5)&amp;DEC2BIN(MOD(E1974,64),6)</f>
        <v>11110101100</v>
      </c>
      <c r="G1974" s="8" t="str">
        <f>DEC2HEX(E1974,3)</f>
        <v>7AC</v>
      </c>
      <c r="H1974" s="8" t="str">
        <f>IF(ROUND(D1974/$B$6,0)&gt;$B$7,"YES","NO")</f>
        <v>NO</v>
      </c>
    </row>
    <row r="1975" spans="1:8">
      <c r="A1975" s="10">
        <v>1965</v>
      </c>
      <c r="B1975" s="11">
        <f>D1974</f>
        <v>2301.5625</v>
      </c>
      <c r="C1975" s="11">
        <f>$B$6</f>
        <v>1.171875</v>
      </c>
      <c r="D1975" s="11">
        <f>B1975+C1975</f>
        <v>2302.734375</v>
      </c>
      <c r="E1975" s="10">
        <f>MIN($B$7,ROUND(D1975/$B$6,0))</f>
        <v>1965</v>
      </c>
      <c r="F1975" s="10" t="str">
        <f>DEC2BIN(INT(E1975/64),5)&amp;DEC2BIN(MOD(E1975,64),6)</f>
        <v>11110101101</v>
      </c>
      <c r="G1975" s="10" t="str">
        <f>DEC2HEX(E1975,3)</f>
        <v>7AD</v>
      </c>
      <c r="H1975" s="10" t="str">
        <f>IF(ROUND(D1975/$B$6,0)&gt;$B$7,"YES","NO")</f>
        <v>NO</v>
      </c>
    </row>
    <row r="1976" spans="1:8">
      <c r="A1976" s="8">
        <v>1966</v>
      </c>
      <c r="B1976" s="9">
        <f>D1975</f>
        <v>2302.734375</v>
      </c>
      <c r="C1976" s="9">
        <f>$B$6</f>
        <v>1.171875</v>
      </c>
      <c r="D1976" s="9">
        <f>B1976+C1976</f>
        <v>2303.90625</v>
      </c>
      <c r="E1976" s="8">
        <f>MIN($B$7,ROUND(D1976/$B$6,0))</f>
        <v>1966</v>
      </c>
      <c r="F1976" s="8" t="str">
        <f>DEC2BIN(INT(E1976/64),5)&amp;DEC2BIN(MOD(E1976,64),6)</f>
        <v>11110101110</v>
      </c>
      <c r="G1976" s="8" t="str">
        <f>DEC2HEX(E1976,3)</f>
        <v>7AE</v>
      </c>
      <c r="H1976" s="8" t="str">
        <f>IF(ROUND(D1976/$B$6,0)&gt;$B$7,"YES","NO")</f>
        <v>NO</v>
      </c>
    </row>
    <row r="1977" spans="1:8">
      <c r="A1977" s="10">
        <v>1967</v>
      </c>
      <c r="B1977" s="11">
        <f>D1976</f>
        <v>2303.90625</v>
      </c>
      <c r="C1977" s="11">
        <f>$B$6</f>
        <v>1.171875</v>
      </c>
      <c r="D1977" s="11">
        <f>B1977+C1977</f>
        <v>2305.078125</v>
      </c>
      <c r="E1977" s="10">
        <f>MIN($B$7,ROUND(D1977/$B$6,0))</f>
        <v>1967</v>
      </c>
      <c r="F1977" s="10" t="str">
        <f>DEC2BIN(INT(E1977/64),5)&amp;DEC2BIN(MOD(E1977,64),6)</f>
        <v>11110101111</v>
      </c>
      <c r="G1977" s="10" t="str">
        <f>DEC2HEX(E1977,3)</f>
        <v>7AF</v>
      </c>
      <c r="H1977" s="10" t="str">
        <f>IF(ROUND(D1977/$B$6,0)&gt;$B$7,"YES","NO")</f>
        <v>NO</v>
      </c>
    </row>
    <row r="1978" spans="1:8">
      <c r="A1978" s="8">
        <v>1968</v>
      </c>
      <c r="B1978" s="9">
        <f>D1977</f>
        <v>2305.078125</v>
      </c>
      <c r="C1978" s="9">
        <f>$B$6</f>
        <v>1.171875</v>
      </c>
      <c r="D1978" s="9">
        <f>B1978+C1978</f>
        <v>2306.25</v>
      </c>
      <c r="E1978" s="8">
        <f>MIN($B$7,ROUND(D1978/$B$6,0))</f>
        <v>1968</v>
      </c>
      <c r="F1978" s="8" t="str">
        <f>DEC2BIN(INT(E1978/64),5)&amp;DEC2BIN(MOD(E1978,64),6)</f>
        <v>11110110000</v>
      </c>
      <c r="G1978" s="8" t="str">
        <f>DEC2HEX(E1978,3)</f>
        <v>7B0</v>
      </c>
      <c r="H1978" s="8" t="str">
        <f>IF(ROUND(D1978/$B$6,0)&gt;$B$7,"YES","NO")</f>
        <v>NO</v>
      </c>
    </row>
    <row r="1979" spans="1:8">
      <c r="A1979" s="10">
        <v>1969</v>
      </c>
      <c r="B1979" s="11">
        <f>D1978</f>
        <v>2306.25</v>
      </c>
      <c r="C1979" s="11">
        <f>$B$6</f>
        <v>1.171875</v>
      </c>
      <c r="D1979" s="11">
        <f>B1979+C1979</f>
        <v>2307.421875</v>
      </c>
      <c r="E1979" s="10">
        <f>MIN($B$7,ROUND(D1979/$B$6,0))</f>
        <v>1969</v>
      </c>
      <c r="F1979" s="10" t="str">
        <f>DEC2BIN(INT(E1979/64),5)&amp;DEC2BIN(MOD(E1979,64),6)</f>
        <v>11110110001</v>
      </c>
      <c r="G1979" s="10" t="str">
        <f>DEC2HEX(E1979,3)</f>
        <v>7B1</v>
      </c>
      <c r="H1979" s="10" t="str">
        <f>IF(ROUND(D1979/$B$6,0)&gt;$B$7,"YES","NO")</f>
        <v>NO</v>
      </c>
    </row>
    <row r="1980" spans="1:8">
      <c r="A1980" s="8">
        <v>1970</v>
      </c>
      <c r="B1980" s="9">
        <f>D1979</f>
        <v>2307.421875</v>
      </c>
      <c r="C1980" s="9">
        <f>$B$6</f>
        <v>1.171875</v>
      </c>
      <c r="D1980" s="9">
        <f>B1980+C1980</f>
        <v>2308.59375</v>
      </c>
      <c r="E1980" s="8">
        <f>MIN($B$7,ROUND(D1980/$B$6,0))</f>
        <v>1970</v>
      </c>
      <c r="F1980" s="8" t="str">
        <f>DEC2BIN(INT(E1980/64),5)&amp;DEC2BIN(MOD(E1980,64),6)</f>
        <v>11110110010</v>
      </c>
      <c r="G1980" s="8" t="str">
        <f>DEC2HEX(E1980,3)</f>
        <v>7B2</v>
      </c>
      <c r="H1980" s="8" t="str">
        <f>IF(ROUND(D1980/$B$6,0)&gt;$B$7,"YES","NO")</f>
        <v>NO</v>
      </c>
    </row>
    <row r="1981" spans="1:8">
      <c r="A1981" s="10">
        <v>1971</v>
      </c>
      <c r="B1981" s="11">
        <f>D1980</f>
        <v>2308.59375</v>
      </c>
      <c r="C1981" s="11">
        <f>$B$6</f>
        <v>1.171875</v>
      </c>
      <c r="D1981" s="11">
        <f>B1981+C1981</f>
        <v>2309.765625</v>
      </c>
      <c r="E1981" s="10">
        <f>MIN($B$7,ROUND(D1981/$B$6,0))</f>
        <v>1971</v>
      </c>
      <c r="F1981" s="10" t="str">
        <f>DEC2BIN(INT(E1981/64),5)&amp;DEC2BIN(MOD(E1981,64),6)</f>
        <v>11110110011</v>
      </c>
      <c r="G1981" s="10" t="str">
        <f>DEC2HEX(E1981,3)</f>
        <v>7B3</v>
      </c>
      <c r="H1981" s="10" t="str">
        <f>IF(ROUND(D1981/$B$6,0)&gt;$B$7,"YES","NO")</f>
        <v>NO</v>
      </c>
    </row>
    <row r="1982" spans="1:8">
      <c r="A1982" s="8">
        <v>1972</v>
      </c>
      <c r="B1982" s="9">
        <f>D1981</f>
        <v>2309.765625</v>
      </c>
      <c r="C1982" s="9">
        <f>$B$6</f>
        <v>1.171875</v>
      </c>
      <c r="D1982" s="9">
        <f>B1982+C1982</f>
        <v>2310.9375</v>
      </c>
      <c r="E1982" s="8">
        <f>MIN($B$7,ROUND(D1982/$B$6,0))</f>
        <v>1972</v>
      </c>
      <c r="F1982" s="8" t="str">
        <f>DEC2BIN(INT(E1982/64),5)&amp;DEC2BIN(MOD(E1982,64),6)</f>
        <v>11110110100</v>
      </c>
      <c r="G1982" s="8" t="str">
        <f>DEC2HEX(E1982,3)</f>
        <v>7B4</v>
      </c>
      <c r="H1982" s="8" t="str">
        <f>IF(ROUND(D1982/$B$6,0)&gt;$B$7,"YES","NO")</f>
        <v>NO</v>
      </c>
    </row>
    <row r="1983" spans="1:8">
      <c r="A1983" s="10">
        <v>1973</v>
      </c>
      <c r="B1983" s="11">
        <f>D1982</f>
        <v>2310.9375</v>
      </c>
      <c r="C1983" s="11">
        <f>$B$6</f>
        <v>1.171875</v>
      </c>
      <c r="D1983" s="11">
        <f>B1983+C1983</f>
        <v>2312.109375</v>
      </c>
      <c r="E1983" s="10">
        <f>MIN($B$7,ROUND(D1983/$B$6,0))</f>
        <v>1973</v>
      </c>
      <c r="F1983" s="10" t="str">
        <f>DEC2BIN(INT(E1983/64),5)&amp;DEC2BIN(MOD(E1983,64),6)</f>
        <v>11110110101</v>
      </c>
      <c r="G1983" s="10" t="str">
        <f>DEC2HEX(E1983,3)</f>
        <v>7B5</v>
      </c>
      <c r="H1983" s="10" t="str">
        <f>IF(ROUND(D1983/$B$6,0)&gt;$B$7,"YES","NO")</f>
        <v>NO</v>
      </c>
    </row>
    <row r="1984" spans="1:8">
      <c r="A1984" s="8">
        <v>1974</v>
      </c>
      <c r="B1984" s="9">
        <f>D1983</f>
        <v>2312.109375</v>
      </c>
      <c r="C1984" s="9">
        <f>$B$6</f>
        <v>1.171875</v>
      </c>
      <c r="D1984" s="9">
        <f>B1984+C1984</f>
        <v>2313.28125</v>
      </c>
      <c r="E1984" s="8">
        <f>MIN($B$7,ROUND(D1984/$B$6,0))</f>
        <v>1974</v>
      </c>
      <c r="F1984" s="8" t="str">
        <f>DEC2BIN(INT(E1984/64),5)&amp;DEC2BIN(MOD(E1984,64),6)</f>
        <v>11110110110</v>
      </c>
      <c r="G1984" s="8" t="str">
        <f>DEC2HEX(E1984,3)</f>
        <v>7B6</v>
      </c>
      <c r="H1984" s="8" t="str">
        <f>IF(ROUND(D1984/$B$6,0)&gt;$B$7,"YES","NO")</f>
        <v>NO</v>
      </c>
    </row>
    <row r="1985" spans="1:8">
      <c r="A1985" s="10">
        <v>1975</v>
      </c>
      <c r="B1985" s="11">
        <f>D1984</f>
        <v>2313.28125</v>
      </c>
      <c r="C1985" s="11">
        <f>$B$6</f>
        <v>1.171875</v>
      </c>
      <c r="D1985" s="11">
        <f>B1985+C1985</f>
        <v>2314.453125</v>
      </c>
      <c r="E1985" s="10">
        <f>MIN($B$7,ROUND(D1985/$B$6,0))</f>
        <v>1975</v>
      </c>
      <c r="F1985" s="10" t="str">
        <f>DEC2BIN(INT(E1985/64),5)&amp;DEC2BIN(MOD(E1985,64),6)</f>
        <v>11110110111</v>
      </c>
      <c r="G1985" s="10" t="str">
        <f>DEC2HEX(E1985,3)</f>
        <v>7B7</v>
      </c>
      <c r="H1985" s="10" t="str">
        <f>IF(ROUND(D1985/$B$6,0)&gt;$B$7,"YES","NO")</f>
        <v>NO</v>
      </c>
    </row>
    <row r="1986" spans="1:8">
      <c r="A1986" s="8">
        <v>1976</v>
      </c>
      <c r="B1986" s="9">
        <f>D1985</f>
        <v>2314.453125</v>
      </c>
      <c r="C1986" s="9">
        <f>$B$6</f>
        <v>1.171875</v>
      </c>
      <c r="D1986" s="9">
        <f>B1986+C1986</f>
        <v>2315.625</v>
      </c>
      <c r="E1986" s="8">
        <f>MIN($B$7,ROUND(D1986/$B$6,0))</f>
        <v>1976</v>
      </c>
      <c r="F1986" s="8" t="str">
        <f>DEC2BIN(INT(E1986/64),5)&amp;DEC2BIN(MOD(E1986,64),6)</f>
        <v>11110111000</v>
      </c>
      <c r="G1986" s="8" t="str">
        <f>DEC2HEX(E1986,3)</f>
        <v>7B8</v>
      </c>
      <c r="H1986" s="8" t="str">
        <f>IF(ROUND(D1986/$B$6,0)&gt;$B$7,"YES","NO")</f>
        <v>NO</v>
      </c>
    </row>
    <row r="1987" spans="1:8">
      <c r="A1987" s="10">
        <v>1977</v>
      </c>
      <c r="B1987" s="11">
        <f>D1986</f>
        <v>2315.625</v>
      </c>
      <c r="C1987" s="11">
        <f>$B$6</f>
        <v>1.171875</v>
      </c>
      <c r="D1987" s="11">
        <f>B1987+C1987</f>
        <v>2316.796875</v>
      </c>
      <c r="E1987" s="10">
        <f>MIN($B$7,ROUND(D1987/$B$6,0))</f>
        <v>1977</v>
      </c>
      <c r="F1987" s="10" t="str">
        <f>DEC2BIN(INT(E1987/64),5)&amp;DEC2BIN(MOD(E1987,64),6)</f>
        <v>11110111001</v>
      </c>
      <c r="G1987" s="10" t="str">
        <f>DEC2HEX(E1987,3)</f>
        <v>7B9</v>
      </c>
      <c r="H1987" s="10" t="str">
        <f>IF(ROUND(D1987/$B$6,0)&gt;$B$7,"YES","NO")</f>
        <v>NO</v>
      </c>
    </row>
    <row r="1988" spans="1:8">
      <c r="A1988" s="8">
        <v>1978</v>
      </c>
      <c r="B1988" s="9">
        <f>D1987</f>
        <v>2316.796875</v>
      </c>
      <c r="C1988" s="9">
        <f>$B$6</f>
        <v>1.171875</v>
      </c>
      <c r="D1988" s="9">
        <f>B1988+C1988</f>
        <v>2317.96875</v>
      </c>
      <c r="E1988" s="8">
        <f>MIN($B$7,ROUND(D1988/$B$6,0))</f>
        <v>1978</v>
      </c>
      <c r="F1988" s="8" t="str">
        <f>DEC2BIN(INT(E1988/64),5)&amp;DEC2BIN(MOD(E1988,64),6)</f>
        <v>11110111010</v>
      </c>
      <c r="G1988" s="8" t="str">
        <f>DEC2HEX(E1988,3)</f>
        <v>7BA</v>
      </c>
      <c r="H1988" s="8" t="str">
        <f>IF(ROUND(D1988/$B$6,0)&gt;$B$7,"YES","NO")</f>
        <v>NO</v>
      </c>
    </row>
    <row r="1989" spans="1:8">
      <c r="A1989" s="10">
        <v>1979</v>
      </c>
      <c r="B1989" s="11">
        <f>D1988</f>
        <v>2317.96875</v>
      </c>
      <c r="C1989" s="11">
        <f>$B$6</f>
        <v>1.171875</v>
      </c>
      <c r="D1989" s="11">
        <f>B1989+C1989</f>
        <v>2319.140625</v>
      </c>
      <c r="E1989" s="10">
        <f>MIN($B$7,ROUND(D1989/$B$6,0))</f>
        <v>1979</v>
      </c>
      <c r="F1989" s="10" t="str">
        <f>DEC2BIN(INT(E1989/64),5)&amp;DEC2BIN(MOD(E1989,64),6)</f>
        <v>11110111011</v>
      </c>
      <c r="G1989" s="10" t="str">
        <f>DEC2HEX(E1989,3)</f>
        <v>7BB</v>
      </c>
      <c r="H1989" s="10" t="str">
        <f>IF(ROUND(D1989/$B$6,0)&gt;$B$7,"YES","NO")</f>
        <v>NO</v>
      </c>
    </row>
    <row r="1990" spans="1:8">
      <c r="A1990" s="8">
        <v>1980</v>
      </c>
      <c r="B1990" s="9">
        <f>D1989</f>
        <v>2319.140625</v>
      </c>
      <c r="C1990" s="9">
        <f>$B$6</f>
        <v>1.171875</v>
      </c>
      <c r="D1990" s="9">
        <f>B1990+C1990</f>
        <v>2320.3125</v>
      </c>
      <c r="E1990" s="8">
        <f>MIN($B$7,ROUND(D1990/$B$6,0))</f>
        <v>1980</v>
      </c>
      <c r="F1990" s="8" t="str">
        <f>DEC2BIN(INT(E1990/64),5)&amp;DEC2BIN(MOD(E1990,64),6)</f>
        <v>11110111100</v>
      </c>
      <c r="G1990" s="8" t="str">
        <f>DEC2HEX(E1990,3)</f>
        <v>7BC</v>
      </c>
      <c r="H1990" s="8" t="str">
        <f>IF(ROUND(D1990/$B$6,0)&gt;$B$7,"YES","NO")</f>
        <v>NO</v>
      </c>
    </row>
    <row r="1991" spans="1:8">
      <c r="A1991" s="10">
        <v>1981</v>
      </c>
      <c r="B1991" s="11">
        <f>D1990</f>
        <v>2320.3125</v>
      </c>
      <c r="C1991" s="11">
        <f>$B$6</f>
        <v>1.171875</v>
      </c>
      <c r="D1991" s="11">
        <f>B1991+C1991</f>
        <v>2321.484375</v>
      </c>
      <c r="E1991" s="10">
        <f>MIN($B$7,ROUND(D1991/$B$6,0))</f>
        <v>1981</v>
      </c>
      <c r="F1991" s="10" t="str">
        <f>DEC2BIN(INT(E1991/64),5)&amp;DEC2BIN(MOD(E1991,64),6)</f>
        <v>11110111101</v>
      </c>
      <c r="G1991" s="10" t="str">
        <f>DEC2HEX(E1991,3)</f>
        <v>7BD</v>
      </c>
      <c r="H1991" s="10" t="str">
        <f>IF(ROUND(D1991/$B$6,0)&gt;$B$7,"YES","NO")</f>
        <v>NO</v>
      </c>
    </row>
    <row r="1992" spans="1:8">
      <c r="A1992" s="8">
        <v>1982</v>
      </c>
      <c r="B1992" s="9">
        <f>D1991</f>
        <v>2321.484375</v>
      </c>
      <c r="C1992" s="9">
        <f>$B$6</f>
        <v>1.171875</v>
      </c>
      <c r="D1992" s="9">
        <f>B1992+C1992</f>
        <v>2322.65625</v>
      </c>
      <c r="E1992" s="8">
        <f>MIN($B$7,ROUND(D1992/$B$6,0))</f>
        <v>1982</v>
      </c>
      <c r="F1992" s="8" t="str">
        <f>DEC2BIN(INT(E1992/64),5)&amp;DEC2BIN(MOD(E1992,64),6)</f>
        <v>11110111110</v>
      </c>
      <c r="G1992" s="8" t="str">
        <f>DEC2HEX(E1992,3)</f>
        <v>7BE</v>
      </c>
      <c r="H1992" s="8" t="str">
        <f>IF(ROUND(D1992/$B$6,0)&gt;$B$7,"YES","NO")</f>
        <v>NO</v>
      </c>
    </row>
    <row r="1993" spans="1:8">
      <c r="A1993" s="10">
        <v>1983</v>
      </c>
      <c r="B1993" s="11">
        <f>D1992</f>
        <v>2322.65625</v>
      </c>
      <c r="C1993" s="11">
        <f>$B$6</f>
        <v>1.171875</v>
      </c>
      <c r="D1993" s="11">
        <f>B1993+C1993</f>
        <v>2323.828125</v>
      </c>
      <c r="E1993" s="10">
        <f>MIN($B$7,ROUND(D1993/$B$6,0))</f>
        <v>1983</v>
      </c>
      <c r="F1993" s="10" t="str">
        <f>DEC2BIN(INT(E1993/64),5)&amp;DEC2BIN(MOD(E1993,64),6)</f>
        <v>11110111111</v>
      </c>
      <c r="G1993" s="10" t="str">
        <f>DEC2HEX(E1993,3)</f>
        <v>7BF</v>
      </c>
      <c r="H1993" s="10" t="str">
        <f>IF(ROUND(D1993/$B$6,0)&gt;$B$7,"YES","NO")</f>
        <v>NO</v>
      </c>
    </row>
    <row r="1994" spans="1:8">
      <c r="A1994" s="8">
        <v>1984</v>
      </c>
      <c r="B1994" s="9">
        <f>D1993</f>
        <v>2323.828125</v>
      </c>
      <c r="C1994" s="9">
        <f>$B$6</f>
        <v>1.171875</v>
      </c>
      <c r="D1994" s="9">
        <f>B1994+C1994</f>
        <v>2325</v>
      </c>
      <c r="E1994" s="8">
        <f>MIN($B$7,ROUND(D1994/$B$6,0))</f>
        <v>1984</v>
      </c>
      <c r="F1994" s="8" t="str">
        <f>DEC2BIN(INT(E1994/64),5)&amp;DEC2BIN(MOD(E1994,64),6)</f>
        <v>11111000000</v>
      </c>
      <c r="G1994" s="8" t="str">
        <f>DEC2HEX(E1994,3)</f>
        <v>7C0</v>
      </c>
      <c r="H1994" s="8" t="str">
        <f>IF(ROUND(D1994/$B$6,0)&gt;$B$7,"YES","NO")</f>
        <v>NO</v>
      </c>
    </row>
    <row r="1995" spans="1:8">
      <c r="A1995" s="10">
        <v>1985</v>
      </c>
      <c r="B1995" s="11">
        <f>D1994</f>
        <v>2325</v>
      </c>
      <c r="C1995" s="11">
        <f>$B$6</f>
        <v>1.171875</v>
      </c>
      <c r="D1995" s="11">
        <f>B1995+C1995</f>
        <v>2326.171875</v>
      </c>
      <c r="E1995" s="10">
        <f>MIN($B$7,ROUND(D1995/$B$6,0))</f>
        <v>1985</v>
      </c>
      <c r="F1995" s="10" t="str">
        <f>DEC2BIN(INT(E1995/64),5)&amp;DEC2BIN(MOD(E1995,64),6)</f>
        <v>11111000001</v>
      </c>
      <c r="G1995" s="10" t="str">
        <f>DEC2HEX(E1995,3)</f>
        <v>7C1</v>
      </c>
      <c r="H1995" s="10" t="str">
        <f>IF(ROUND(D1995/$B$6,0)&gt;$B$7,"YES","NO")</f>
        <v>NO</v>
      </c>
    </row>
    <row r="1996" spans="1:8">
      <c r="A1996" s="8">
        <v>1986</v>
      </c>
      <c r="B1996" s="9">
        <f>D1995</f>
        <v>2326.171875</v>
      </c>
      <c r="C1996" s="9">
        <f>$B$6</f>
        <v>1.171875</v>
      </c>
      <c r="D1996" s="9">
        <f>B1996+C1996</f>
        <v>2327.34375</v>
      </c>
      <c r="E1996" s="8">
        <f>MIN($B$7,ROUND(D1996/$B$6,0))</f>
        <v>1986</v>
      </c>
      <c r="F1996" s="8" t="str">
        <f>DEC2BIN(INT(E1996/64),5)&amp;DEC2BIN(MOD(E1996,64),6)</f>
        <v>11111000010</v>
      </c>
      <c r="G1996" s="8" t="str">
        <f>DEC2HEX(E1996,3)</f>
        <v>7C2</v>
      </c>
      <c r="H1996" s="8" t="str">
        <f>IF(ROUND(D1996/$B$6,0)&gt;$B$7,"YES","NO")</f>
        <v>NO</v>
      </c>
    </row>
    <row r="1997" spans="1:8">
      <c r="A1997" s="10">
        <v>1987</v>
      </c>
      <c r="B1997" s="11">
        <f>D1996</f>
        <v>2327.34375</v>
      </c>
      <c r="C1997" s="11">
        <f>$B$6</f>
        <v>1.171875</v>
      </c>
      <c r="D1997" s="11">
        <f>B1997+C1997</f>
        <v>2328.515625</v>
      </c>
      <c r="E1997" s="10">
        <f>MIN($B$7,ROUND(D1997/$B$6,0))</f>
        <v>1987</v>
      </c>
      <c r="F1997" s="10" t="str">
        <f>DEC2BIN(INT(E1997/64),5)&amp;DEC2BIN(MOD(E1997,64),6)</f>
        <v>11111000011</v>
      </c>
      <c r="G1997" s="10" t="str">
        <f>DEC2HEX(E1997,3)</f>
        <v>7C3</v>
      </c>
      <c r="H1997" s="10" t="str">
        <f>IF(ROUND(D1997/$B$6,0)&gt;$B$7,"YES","NO")</f>
        <v>NO</v>
      </c>
    </row>
    <row r="1998" spans="1:8">
      <c r="A1998" s="8">
        <v>1988</v>
      </c>
      <c r="B1998" s="9">
        <f>D1997</f>
        <v>2328.515625</v>
      </c>
      <c r="C1998" s="9">
        <f>$B$6</f>
        <v>1.171875</v>
      </c>
      <c r="D1998" s="9">
        <f>B1998+C1998</f>
        <v>2329.6875</v>
      </c>
      <c r="E1998" s="8">
        <f>MIN($B$7,ROUND(D1998/$B$6,0))</f>
        <v>1988</v>
      </c>
      <c r="F1998" s="8" t="str">
        <f>DEC2BIN(INT(E1998/64),5)&amp;DEC2BIN(MOD(E1998,64),6)</f>
        <v>11111000100</v>
      </c>
      <c r="G1998" s="8" t="str">
        <f>DEC2HEX(E1998,3)</f>
        <v>7C4</v>
      </c>
      <c r="H1998" s="8" t="str">
        <f>IF(ROUND(D1998/$B$6,0)&gt;$B$7,"YES","NO")</f>
        <v>NO</v>
      </c>
    </row>
    <row r="1999" spans="1:8">
      <c r="A1999" s="10">
        <v>1989</v>
      </c>
      <c r="B1999" s="11">
        <f>D1998</f>
        <v>2329.6875</v>
      </c>
      <c r="C1999" s="11">
        <f>$B$6</f>
        <v>1.171875</v>
      </c>
      <c r="D1999" s="11">
        <f>B1999+C1999</f>
        <v>2330.859375</v>
      </c>
      <c r="E1999" s="10">
        <f>MIN($B$7,ROUND(D1999/$B$6,0))</f>
        <v>1989</v>
      </c>
      <c r="F1999" s="10" t="str">
        <f>DEC2BIN(INT(E1999/64),5)&amp;DEC2BIN(MOD(E1999,64),6)</f>
        <v>11111000101</v>
      </c>
      <c r="G1999" s="10" t="str">
        <f>DEC2HEX(E1999,3)</f>
        <v>7C5</v>
      </c>
      <c r="H1999" s="10" t="str">
        <f>IF(ROUND(D1999/$B$6,0)&gt;$B$7,"YES","NO")</f>
        <v>NO</v>
      </c>
    </row>
    <row r="2000" spans="1:8">
      <c r="A2000" s="8">
        <v>1990</v>
      </c>
      <c r="B2000" s="9">
        <f>D1999</f>
        <v>2330.859375</v>
      </c>
      <c r="C2000" s="9">
        <f>$B$6</f>
        <v>1.171875</v>
      </c>
      <c r="D2000" s="9">
        <f>B2000+C2000</f>
        <v>2332.03125</v>
      </c>
      <c r="E2000" s="8">
        <f>MIN($B$7,ROUND(D2000/$B$6,0))</f>
        <v>1990</v>
      </c>
      <c r="F2000" s="8" t="str">
        <f>DEC2BIN(INT(E2000/64),5)&amp;DEC2BIN(MOD(E2000,64),6)</f>
        <v>11111000110</v>
      </c>
      <c r="G2000" s="8" t="str">
        <f>DEC2HEX(E2000,3)</f>
        <v>7C6</v>
      </c>
      <c r="H2000" s="8" t="str">
        <f>IF(ROUND(D2000/$B$6,0)&gt;$B$7,"YES","NO")</f>
        <v>NO</v>
      </c>
    </row>
    <row r="2001" spans="1:8">
      <c r="A2001" s="10">
        <v>1991</v>
      </c>
      <c r="B2001" s="11">
        <f>D2000</f>
        <v>2332.03125</v>
      </c>
      <c r="C2001" s="11">
        <f>$B$6</f>
        <v>1.171875</v>
      </c>
      <c r="D2001" s="11">
        <f>B2001+C2001</f>
        <v>2333.203125</v>
      </c>
      <c r="E2001" s="10">
        <f>MIN($B$7,ROUND(D2001/$B$6,0))</f>
        <v>1991</v>
      </c>
      <c r="F2001" s="10" t="str">
        <f>DEC2BIN(INT(E2001/64),5)&amp;DEC2BIN(MOD(E2001,64),6)</f>
        <v>11111000111</v>
      </c>
      <c r="G2001" s="10" t="str">
        <f>DEC2HEX(E2001,3)</f>
        <v>7C7</v>
      </c>
      <c r="H2001" s="10" t="str">
        <f>IF(ROUND(D2001/$B$6,0)&gt;$B$7,"YES","NO")</f>
        <v>NO</v>
      </c>
    </row>
    <row r="2002" spans="1:8">
      <c r="A2002" s="8">
        <v>1992</v>
      </c>
      <c r="B2002" s="9">
        <f>D2001</f>
        <v>2333.203125</v>
      </c>
      <c r="C2002" s="9">
        <f>$B$6</f>
        <v>1.171875</v>
      </c>
      <c r="D2002" s="9">
        <f>B2002+C2002</f>
        <v>2334.375</v>
      </c>
      <c r="E2002" s="8">
        <f>MIN($B$7,ROUND(D2002/$B$6,0))</f>
        <v>1992</v>
      </c>
      <c r="F2002" s="8" t="str">
        <f>DEC2BIN(INT(E2002/64),5)&amp;DEC2BIN(MOD(E2002,64),6)</f>
        <v>11111001000</v>
      </c>
      <c r="G2002" s="8" t="str">
        <f>DEC2HEX(E2002,3)</f>
        <v>7C8</v>
      </c>
      <c r="H2002" s="8" t="str">
        <f>IF(ROUND(D2002/$B$6,0)&gt;$B$7,"YES","NO")</f>
        <v>NO</v>
      </c>
    </row>
    <row r="2003" spans="1:8">
      <c r="A2003" s="10">
        <v>1993</v>
      </c>
      <c r="B2003" s="11">
        <f>D2002</f>
        <v>2334.375</v>
      </c>
      <c r="C2003" s="11">
        <f>$B$6</f>
        <v>1.171875</v>
      </c>
      <c r="D2003" s="11">
        <f>B2003+C2003</f>
        <v>2335.546875</v>
      </c>
      <c r="E2003" s="10">
        <f>MIN($B$7,ROUND(D2003/$B$6,0))</f>
        <v>1993</v>
      </c>
      <c r="F2003" s="10" t="str">
        <f>DEC2BIN(INT(E2003/64),5)&amp;DEC2BIN(MOD(E2003,64),6)</f>
        <v>11111001001</v>
      </c>
      <c r="G2003" s="10" t="str">
        <f>DEC2HEX(E2003,3)</f>
        <v>7C9</v>
      </c>
      <c r="H2003" s="10" t="str">
        <f>IF(ROUND(D2003/$B$6,0)&gt;$B$7,"YES","NO")</f>
        <v>NO</v>
      </c>
    </row>
    <row r="2004" spans="1:8">
      <c r="A2004" s="8">
        <v>1994</v>
      </c>
      <c r="B2004" s="9">
        <f>D2003</f>
        <v>2335.546875</v>
      </c>
      <c r="C2004" s="9">
        <f>$B$6</f>
        <v>1.171875</v>
      </c>
      <c r="D2004" s="9">
        <f>B2004+C2004</f>
        <v>2336.71875</v>
      </c>
      <c r="E2004" s="8">
        <f>MIN($B$7,ROUND(D2004/$B$6,0))</f>
        <v>1994</v>
      </c>
      <c r="F2004" s="8" t="str">
        <f>DEC2BIN(INT(E2004/64),5)&amp;DEC2BIN(MOD(E2004,64),6)</f>
        <v>11111001010</v>
      </c>
      <c r="G2004" s="8" t="str">
        <f>DEC2HEX(E2004,3)</f>
        <v>7CA</v>
      </c>
      <c r="H2004" s="8" t="str">
        <f>IF(ROUND(D2004/$B$6,0)&gt;$B$7,"YES","NO")</f>
        <v>NO</v>
      </c>
    </row>
    <row r="2005" spans="1:8">
      <c r="A2005" s="10">
        <v>1995</v>
      </c>
      <c r="B2005" s="11">
        <f>D2004</f>
        <v>2336.71875</v>
      </c>
      <c r="C2005" s="11">
        <f>$B$6</f>
        <v>1.171875</v>
      </c>
      <c r="D2005" s="11">
        <f>B2005+C2005</f>
        <v>2337.890625</v>
      </c>
      <c r="E2005" s="10">
        <f>MIN($B$7,ROUND(D2005/$B$6,0))</f>
        <v>1995</v>
      </c>
      <c r="F2005" s="10" t="str">
        <f>DEC2BIN(INT(E2005/64),5)&amp;DEC2BIN(MOD(E2005,64),6)</f>
        <v>11111001011</v>
      </c>
      <c r="G2005" s="10" t="str">
        <f>DEC2HEX(E2005,3)</f>
        <v>7CB</v>
      </c>
      <c r="H2005" s="10" t="str">
        <f>IF(ROUND(D2005/$B$6,0)&gt;$B$7,"YES","NO")</f>
        <v>NO</v>
      </c>
    </row>
    <row r="2006" spans="1:8">
      <c r="A2006" s="8">
        <v>1996</v>
      </c>
      <c r="B2006" s="9">
        <f>D2005</f>
        <v>2337.890625</v>
      </c>
      <c r="C2006" s="9">
        <f>$B$6</f>
        <v>1.171875</v>
      </c>
      <c r="D2006" s="9">
        <f>B2006+C2006</f>
        <v>2339.0625</v>
      </c>
      <c r="E2006" s="8">
        <f>MIN($B$7,ROUND(D2006/$B$6,0))</f>
        <v>1996</v>
      </c>
      <c r="F2006" s="8" t="str">
        <f>DEC2BIN(INT(E2006/64),5)&amp;DEC2BIN(MOD(E2006,64),6)</f>
        <v>11111001100</v>
      </c>
      <c r="G2006" s="8" t="str">
        <f>DEC2HEX(E2006,3)</f>
        <v>7CC</v>
      </c>
      <c r="H2006" s="8" t="str">
        <f>IF(ROUND(D2006/$B$6,0)&gt;$B$7,"YES","NO")</f>
        <v>NO</v>
      </c>
    </row>
    <row r="2007" spans="1:8">
      <c r="A2007" s="10">
        <v>1997</v>
      </c>
      <c r="B2007" s="11">
        <f>D2006</f>
        <v>2339.0625</v>
      </c>
      <c r="C2007" s="11">
        <f>$B$6</f>
        <v>1.171875</v>
      </c>
      <c r="D2007" s="11">
        <f>B2007+C2007</f>
        <v>2340.234375</v>
      </c>
      <c r="E2007" s="10">
        <f>MIN($B$7,ROUND(D2007/$B$6,0))</f>
        <v>1997</v>
      </c>
      <c r="F2007" s="10" t="str">
        <f>DEC2BIN(INT(E2007/64),5)&amp;DEC2BIN(MOD(E2007,64),6)</f>
        <v>11111001101</v>
      </c>
      <c r="G2007" s="10" t="str">
        <f>DEC2HEX(E2007,3)</f>
        <v>7CD</v>
      </c>
      <c r="H2007" s="10" t="str">
        <f>IF(ROUND(D2007/$B$6,0)&gt;$B$7,"YES","NO")</f>
        <v>NO</v>
      </c>
    </row>
    <row r="2008" spans="1:8">
      <c r="A2008" s="8">
        <v>1998</v>
      </c>
      <c r="B2008" s="9">
        <f>D2007</f>
        <v>2340.234375</v>
      </c>
      <c r="C2008" s="9">
        <f>$B$6</f>
        <v>1.171875</v>
      </c>
      <c r="D2008" s="9">
        <f>B2008+C2008</f>
        <v>2341.40625</v>
      </c>
      <c r="E2008" s="8">
        <f>MIN($B$7,ROUND(D2008/$B$6,0))</f>
        <v>1998</v>
      </c>
      <c r="F2008" s="8" t="str">
        <f>DEC2BIN(INT(E2008/64),5)&amp;DEC2BIN(MOD(E2008,64),6)</f>
        <v>11111001110</v>
      </c>
      <c r="G2008" s="8" t="str">
        <f>DEC2HEX(E2008,3)</f>
        <v>7CE</v>
      </c>
      <c r="H2008" s="8" t="str">
        <f>IF(ROUND(D2008/$B$6,0)&gt;$B$7,"YES","NO")</f>
        <v>NO</v>
      </c>
    </row>
    <row r="2009" spans="1:8">
      <c r="A2009" s="10">
        <v>1999</v>
      </c>
      <c r="B2009" s="11">
        <f>D2008</f>
        <v>2341.40625</v>
      </c>
      <c r="C2009" s="11">
        <f>$B$6</f>
        <v>1.171875</v>
      </c>
      <c r="D2009" s="11">
        <f>B2009+C2009</f>
        <v>2342.578125</v>
      </c>
      <c r="E2009" s="10">
        <f>MIN($B$7,ROUND(D2009/$B$6,0))</f>
        <v>1999</v>
      </c>
      <c r="F2009" s="10" t="str">
        <f>DEC2BIN(INT(E2009/64),5)&amp;DEC2BIN(MOD(E2009,64),6)</f>
        <v>11111001111</v>
      </c>
      <c r="G2009" s="10" t="str">
        <f>DEC2HEX(E2009,3)</f>
        <v>7CF</v>
      </c>
      <c r="H2009" s="10" t="str">
        <f>IF(ROUND(D2009/$B$6,0)&gt;$B$7,"YES","NO")</f>
        <v>NO</v>
      </c>
    </row>
    <row r="2010" spans="1:8">
      <c r="A2010" s="8">
        <v>2000</v>
      </c>
      <c r="B2010" s="9">
        <f>D2009</f>
        <v>2342.578125</v>
      </c>
      <c r="C2010" s="9">
        <f>$B$6</f>
        <v>1.171875</v>
      </c>
      <c r="D2010" s="9">
        <f>B2010+C2010</f>
        <v>2343.75</v>
      </c>
      <c r="E2010" s="8">
        <f>MIN($B$7,ROUND(D2010/$B$6,0))</f>
        <v>2000</v>
      </c>
      <c r="F2010" s="8" t="str">
        <f>DEC2BIN(INT(E2010/64),5)&amp;DEC2BIN(MOD(E2010,64),6)</f>
        <v>11111010000</v>
      </c>
      <c r="G2010" s="8" t="str">
        <f>DEC2HEX(E2010,3)</f>
        <v>7D0</v>
      </c>
      <c r="H2010" s="8" t="str">
        <f>IF(ROUND(D2010/$B$6,0)&gt;$B$7,"YES","NO")</f>
        <v>NO</v>
      </c>
    </row>
    <row r="2011" spans="1:8">
      <c r="A2011" s="10">
        <v>2001</v>
      </c>
      <c r="B2011" s="11">
        <f>D2010</f>
        <v>2343.75</v>
      </c>
      <c r="C2011" s="11">
        <f>$B$6</f>
        <v>1.171875</v>
      </c>
      <c r="D2011" s="11">
        <f>B2011+C2011</f>
        <v>2344.921875</v>
      </c>
      <c r="E2011" s="10">
        <f>MIN($B$7,ROUND(D2011/$B$6,0))</f>
        <v>2001</v>
      </c>
      <c r="F2011" s="10" t="str">
        <f>DEC2BIN(INT(E2011/64),5)&amp;DEC2BIN(MOD(E2011,64),6)</f>
        <v>11111010001</v>
      </c>
      <c r="G2011" s="10" t="str">
        <f>DEC2HEX(E2011,3)</f>
        <v>7D1</v>
      </c>
      <c r="H2011" s="10" t="str">
        <f>IF(ROUND(D2011/$B$6,0)&gt;$B$7,"YES","NO")</f>
        <v>NO</v>
      </c>
    </row>
    <row r="2012" spans="1:8">
      <c r="A2012" s="8">
        <v>2002</v>
      </c>
      <c r="B2012" s="9">
        <f>D2011</f>
        <v>2344.921875</v>
      </c>
      <c r="C2012" s="9">
        <f>$B$6</f>
        <v>1.171875</v>
      </c>
      <c r="D2012" s="9">
        <f>B2012+C2012</f>
        <v>2346.09375</v>
      </c>
      <c r="E2012" s="8">
        <f>MIN($B$7,ROUND(D2012/$B$6,0))</f>
        <v>2002</v>
      </c>
      <c r="F2012" s="8" t="str">
        <f>DEC2BIN(INT(E2012/64),5)&amp;DEC2BIN(MOD(E2012,64),6)</f>
        <v>11111010010</v>
      </c>
      <c r="G2012" s="8" t="str">
        <f>DEC2HEX(E2012,3)</f>
        <v>7D2</v>
      </c>
      <c r="H2012" s="8" t="str">
        <f>IF(ROUND(D2012/$B$6,0)&gt;$B$7,"YES","NO")</f>
        <v>NO</v>
      </c>
    </row>
    <row r="2013" spans="1:8">
      <c r="A2013" s="10">
        <v>2003</v>
      </c>
      <c r="B2013" s="11">
        <f>D2012</f>
        <v>2346.09375</v>
      </c>
      <c r="C2013" s="11">
        <f>$B$6</f>
        <v>1.171875</v>
      </c>
      <c r="D2013" s="11">
        <f>B2013+C2013</f>
        <v>2347.265625</v>
      </c>
      <c r="E2013" s="10">
        <f>MIN($B$7,ROUND(D2013/$B$6,0))</f>
        <v>2003</v>
      </c>
      <c r="F2013" s="10" t="str">
        <f>DEC2BIN(INT(E2013/64),5)&amp;DEC2BIN(MOD(E2013,64),6)</f>
        <v>11111010011</v>
      </c>
      <c r="G2013" s="10" t="str">
        <f>DEC2HEX(E2013,3)</f>
        <v>7D3</v>
      </c>
      <c r="H2013" s="10" t="str">
        <f>IF(ROUND(D2013/$B$6,0)&gt;$B$7,"YES","NO")</f>
        <v>NO</v>
      </c>
    </row>
    <row r="2014" spans="1:8">
      <c r="A2014" s="8">
        <v>2004</v>
      </c>
      <c r="B2014" s="9">
        <f>D2013</f>
        <v>2347.265625</v>
      </c>
      <c r="C2014" s="9">
        <f>$B$6</f>
        <v>1.171875</v>
      </c>
      <c r="D2014" s="9">
        <f>B2014+C2014</f>
        <v>2348.4375</v>
      </c>
      <c r="E2014" s="8">
        <f>MIN($B$7,ROUND(D2014/$B$6,0))</f>
        <v>2004</v>
      </c>
      <c r="F2014" s="8" t="str">
        <f>DEC2BIN(INT(E2014/64),5)&amp;DEC2BIN(MOD(E2014,64),6)</f>
        <v>11111010100</v>
      </c>
      <c r="G2014" s="8" t="str">
        <f>DEC2HEX(E2014,3)</f>
        <v>7D4</v>
      </c>
      <c r="H2014" s="8" t="str">
        <f>IF(ROUND(D2014/$B$6,0)&gt;$B$7,"YES","NO")</f>
        <v>NO</v>
      </c>
    </row>
    <row r="2015" spans="1:8">
      <c r="A2015" s="10">
        <v>2005</v>
      </c>
      <c r="B2015" s="11">
        <f>D2014</f>
        <v>2348.4375</v>
      </c>
      <c r="C2015" s="11">
        <f>$B$6</f>
        <v>1.171875</v>
      </c>
      <c r="D2015" s="11">
        <f>B2015+C2015</f>
        <v>2349.609375</v>
      </c>
      <c r="E2015" s="10">
        <f>MIN($B$7,ROUND(D2015/$B$6,0))</f>
        <v>2005</v>
      </c>
      <c r="F2015" s="10" t="str">
        <f>DEC2BIN(INT(E2015/64),5)&amp;DEC2BIN(MOD(E2015,64),6)</f>
        <v>11111010101</v>
      </c>
      <c r="G2015" s="10" t="str">
        <f>DEC2HEX(E2015,3)</f>
        <v>7D5</v>
      </c>
      <c r="H2015" s="10" t="str">
        <f>IF(ROUND(D2015/$B$6,0)&gt;$B$7,"YES","NO")</f>
        <v>NO</v>
      </c>
    </row>
    <row r="2016" spans="1:8">
      <c r="A2016" s="8">
        <v>2006</v>
      </c>
      <c r="B2016" s="9">
        <f>D2015</f>
        <v>2349.609375</v>
      </c>
      <c r="C2016" s="9">
        <f>$B$6</f>
        <v>1.171875</v>
      </c>
      <c r="D2016" s="9">
        <f>B2016+C2016</f>
        <v>2350.78125</v>
      </c>
      <c r="E2016" s="8">
        <f>MIN($B$7,ROUND(D2016/$B$6,0))</f>
        <v>2006</v>
      </c>
      <c r="F2016" s="8" t="str">
        <f>DEC2BIN(INT(E2016/64),5)&amp;DEC2BIN(MOD(E2016,64),6)</f>
        <v>11111010110</v>
      </c>
      <c r="G2016" s="8" t="str">
        <f>DEC2HEX(E2016,3)</f>
        <v>7D6</v>
      </c>
      <c r="H2016" s="8" t="str">
        <f>IF(ROUND(D2016/$B$6,0)&gt;$B$7,"YES","NO")</f>
        <v>NO</v>
      </c>
    </row>
    <row r="2017" spans="1:8">
      <c r="A2017" s="10">
        <v>2007</v>
      </c>
      <c r="B2017" s="11">
        <f>D2016</f>
        <v>2350.78125</v>
      </c>
      <c r="C2017" s="11">
        <f>$B$6</f>
        <v>1.171875</v>
      </c>
      <c r="D2017" s="11">
        <f>B2017+C2017</f>
        <v>2351.953125</v>
      </c>
      <c r="E2017" s="10">
        <f>MIN($B$7,ROUND(D2017/$B$6,0))</f>
        <v>2007</v>
      </c>
      <c r="F2017" s="10" t="str">
        <f>DEC2BIN(INT(E2017/64),5)&amp;DEC2BIN(MOD(E2017,64),6)</f>
        <v>11111010111</v>
      </c>
      <c r="G2017" s="10" t="str">
        <f>DEC2HEX(E2017,3)</f>
        <v>7D7</v>
      </c>
      <c r="H2017" s="10" t="str">
        <f>IF(ROUND(D2017/$B$6,0)&gt;$B$7,"YES","NO")</f>
        <v>NO</v>
      </c>
    </row>
    <row r="2018" spans="1:8">
      <c r="A2018" s="8">
        <v>2008</v>
      </c>
      <c r="B2018" s="9">
        <f>D2017</f>
        <v>2351.953125</v>
      </c>
      <c r="C2018" s="9">
        <f>$B$6</f>
        <v>1.171875</v>
      </c>
      <c r="D2018" s="9">
        <f>B2018+C2018</f>
        <v>2353.125</v>
      </c>
      <c r="E2018" s="8">
        <f>MIN($B$7,ROUND(D2018/$B$6,0))</f>
        <v>2008</v>
      </c>
      <c r="F2018" s="8" t="str">
        <f>DEC2BIN(INT(E2018/64),5)&amp;DEC2BIN(MOD(E2018,64),6)</f>
        <v>11111011000</v>
      </c>
      <c r="G2018" s="8" t="str">
        <f>DEC2HEX(E2018,3)</f>
        <v>7D8</v>
      </c>
      <c r="H2018" s="8" t="str">
        <f>IF(ROUND(D2018/$B$6,0)&gt;$B$7,"YES","NO")</f>
        <v>NO</v>
      </c>
    </row>
    <row r="2019" spans="1:8">
      <c r="A2019" s="10">
        <v>2009</v>
      </c>
      <c r="B2019" s="11">
        <f>D2018</f>
        <v>2353.125</v>
      </c>
      <c r="C2019" s="11">
        <f>$B$6</f>
        <v>1.171875</v>
      </c>
      <c r="D2019" s="11">
        <f>B2019+C2019</f>
        <v>2354.296875</v>
      </c>
      <c r="E2019" s="10">
        <f>MIN($B$7,ROUND(D2019/$B$6,0))</f>
        <v>2009</v>
      </c>
      <c r="F2019" s="10" t="str">
        <f>DEC2BIN(INT(E2019/64),5)&amp;DEC2BIN(MOD(E2019,64),6)</f>
        <v>11111011001</v>
      </c>
      <c r="G2019" s="10" t="str">
        <f>DEC2HEX(E2019,3)</f>
        <v>7D9</v>
      </c>
      <c r="H2019" s="10" t="str">
        <f>IF(ROUND(D2019/$B$6,0)&gt;$B$7,"YES","NO")</f>
        <v>NO</v>
      </c>
    </row>
    <row r="2020" spans="1:8">
      <c r="A2020" s="8">
        <v>2010</v>
      </c>
      <c r="B2020" s="9">
        <f>D2019</f>
        <v>2354.296875</v>
      </c>
      <c r="C2020" s="9">
        <f>$B$6</f>
        <v>1.171875</v>
      </c>
      <c r="D2020" s="9">
        <f>B2020+C2020</f>
        <v>2355.46875</v>
      </c>
      <c r="E2020" s="8">
        <f>MIN($B$7,ROUND(D2020/$B$6,0))</f>
        <v>2010</v>
      </c>
      <c r="F2020" s="8" t="str">
        <f>DEC2BIN(INT(E2020/64),5)&amp;DEC2BIN(MOD(E2020,64),6)</f>
        <v>11111011010</v>
      </c>
      <c r="G2020" s="8" t="str">
        <f>DEC2HEX(E2020,3)</f>
        <v>7DA</v>
      </c>
      <c r="H2020" s="8" t="str">
        <f>IF(ROUND(D2020/$B$6,0)&gt;$B$7,"YES","NO")</f>
        <v>NO</v>
      </c>
    </row>
    <row r="2021" spans="1:8">
      <c r="A2021" s="10">
        <v>2011</v>
      </c>
      <c r="B2021" s="11">
        <f>D2020</f>
        <v>2355.46875</v>
      </c>
      <c r="C2021" s="11">
        <f>$B$6</f>
        <v>1.171875</v>
      </c>
      <c r="D2021" s="11">
        <f>B2021+C2021</f>
        <v>2356.640625</v>
      </c>
      <c r="E2021" s="10">
        <f>MIN($B$7,ROUND(D2021/$B$6,0))</f>
        <v>2011</v>
      </c>
      <c r="F2021" s="10" t="str">
        <f>DEC2BIN(INT(E2021/64),5)&amp;DEC2BIN(MOD(E2021,64),6)</f>
        <v>11111011011</v>
      </c>
      <c r="G2021" s="10" t="str">
        <f>DEC2HEX(E2021,3)</f>
        <v>7DB</v>
      </c>
      <c r="H2021" s="10" t="str">
        <f>IF(ROUND(D2021/$B$6,0)&gt;$B$7,"YES","NO")</f>
        <v>NO</v>
      </c>
    </row>
    <row r="2022" spans="1:8">
      <c r="A2022" s="8">
        <v>2012</v>
      </c>
      <c r="B2022" s="9">
        <f>D2021</f>
        <v>2356.640625</v>
      </c>
      <c r="C2022" s="9">
        <f>$B$6</f>
        <v>1.171875</v>
      </c>
      <c r="D2022" s="9">
        <f>B2022+C2022</f>
        <v>2357.8125</v>
      </c>
      <c r="E2022" s="8">
        <f>MIN($B$7,ROUND(D2022/$B$6,0))</f>
        <v>2012</v>
      </c>
      <c r="F2022" s="8" t="str">
        <f>DEC2BIN(INT(E2022/64),5)&amp;DEC2BIN(MOD(E2022,64),6)</f>
        <v>11111011100</v>
      </c>
      <c r="G2022" s="8" t="str">
        <f>DEC2HEX(E2022,3)</f>
        <v>7DC</v>
      </c>
      <c r="H2022" s="8" t="str">
        <f>IF(ROUND(D2022/$B$6,0)&gt;$B$7,"YES","NO")</f>
        <v>NO</v>
      </c>
    </row>
    <row r="2023" spans="1:8">
      <c r="A2023" s="10">
        <v>2013</v>
      </c>
      <c r="B2023" s="11">
        <f>D2022</f>
        <v>2357.8125</v>
      </c>
      <c r="C2023" s="11">
        <f>$B$6</f>
        <v>1.171875</v>
      </c>
      <c r="D2023" s="11">
        <f>B2023+C2023</f>
        <v>2358.984375</v>
      </c>
      <c r="E2023" s="10">
        <f>MIN($B$7,ROUND(D2023/$B$6,0))</f>
        <v>2013</v>
      </c>
      <c r="F2023" s="10" t="str">
        <f>DEC2BIN(INT(E2023/64),5)&amp;DEC2BIN(MOD(E2023,64),6)</f>
        <v>11111011101</v>
      </c>
      <c r="G2023" s="10" t="str">
        <f>DEC2HEX(E2023,3)</f>
        <v>7DD</v>
      </c>
      <c r="H2023" s="10" t="str">
        <f>IF(ROUND(D2023/$B$6,0)&gt;$B$7,"YES","NO")</f>
        <v>NO</v>
      </c>
    </row>
    <row r="2024" spans="1:8">
      <c r="A2024" s="8">
        <v>2014</v>
      </c>
      <c r="B2024" s="9">
        <f>D2023</f>
        <v>2358.984375</v>
      </c>
      <c r="C2024" s="9">
        <f>$B$6</f>
        <v>1.171875</v>
      </c>
      <c r="D2024" s="9">
        <f>B2024+C2024</f>
        <v>2360.15625</v>
      </c>
      <c r="E2024" s="8">
        <f>MIN($B$7,ROUND(D2024/$B$6,0))</f>
        <v>2014</v>
      </c>
      <c r="F2024" s="8" t="str">
        <f>DEC2BIN(INT(E2024/64),5)&amp;DEC2BIN(MOD(E2024,64),6)</f>
        <v>11111011110</v>
      </c>
      <c r="G2024" s="8" t="str">
        <f>DEC2HEX(E2024,3)</f>
        <v>7DE</v>
      </c>
      <c r="H2024" s="8" t="str">
        <f>IF(ROUND(D2024/$B$6,0)&gt;$B$7,"YES","NO")</f>
        <v>NO</v>
      </c>
    </row>
    <row r="2025" spans="1:8">
      <c r="A2025" s="10">
        <v>2015</v>
      </c>
      <c r="B2025" s="11">
        <f>D2024</f>
        <v>2360.15625</v>
      </c>
      <c r="C2025" s="11">
        <f>$B$6</f>
        <v>1.171875</v>
      </c>
      <c r="D2025" s="11">
        <f>B2025+C2025</f>
        <v>2361.328125</v>
      </c>
      <c r="E2025" s="10">
        <f>MIN($B$7,ROUND(D2025/$B$6,0))</f>
        <v>2015</v>
      </c>
      <c r="F2025" s="10" t="str">
        <f>DEC2BIN(INT(E2025/64),5)&amp;DEC2BIN(MOD(E2025,64),6)</f>
        <v>11111011111</v>
      </c>
      <c r="G2025" s="10" t="str">
        <f>DEC2HEX(E2025,3)</f>
        <v>7DF</v>
      </c>
      <c r="H2025" s="10" t="str">
        <f>IF(ROUND(D2025/$B$6,0)&gt;$B$7,"YES","NO")</f>
        <v>NO</v>
      </c>
    </row>
    <row r="2026" spans="1:8">
      <c r="A2026" s="8">
        <v>2016</v>
      </c>
      <c r="B2026" s="9">
        <f>D2025</f>
        <v>2361.328125</v>
      </c>
      <c r="C2026" s="9">
        <f>$B$6</f>
        <v>1.171875</v>
      </c>
      <c r="D2026" s="9">
        <f>B2026+C2026</f>
        <v>2362.5</v>
      </c>
      <c r="E2026" s="8">
        <f>MIN($B$7,ROUND(D2026/$B$6,0))</f>
        <v>2016</v>
      </c>
      <c r="F2026" s="8" t="str">
        <f>DEC2BIN(INT(E2026/64),5)&amp;DEC2BIN(MOD(E2026,64),6)</f>
        <v>11111100000</v>
      </c>
      <c r="G2026" s="8" t="str">
        <f>DEC2HEX(E2026,3)</f>
        <v>7E0</v>
      </c>
      <c r="H2026" s="8" t="str">
        <f>IF(ROUND(D2026/$B$6,0)&gt;$B$7,"YES","NO")</f>
        <v>NO</v>
      </c>
    </row>
    <row r="2027" spans="1:8">
      <c r="A2027" s="10">
        <v>2017</v>
      </c>
      <c r="B2027" s="11">
        <f>D2026</f>
        <v>2362.5</v>
      </c>
      <c r="C2027" s="11">
        <f>$B$6</f>
        <v>1.171875</v>
      </c>
      <c r="D2027" s="11">
        <f>B2027+C2027</f>
        <v>2363.671875</v>
      </c>
      <c r="E2027" s="10">
        <f>MIN($B$7,ROUND(D2027/$B$6,0))</f>
        <v>2017</v>
      </c>
      <c r="F2027" s="10" t="str">
        <f>DEC2BIN(INT(E2027/64),5)&amp;DEC2BIN(MOD(E2027,64),6)</f>
        <v>11111100001</v>
      </c>
      <c r="G2027" s="10" t="str">
        <f>DEC2HEX(E2027,3)</f>
        <v>7E1</v>
      </c>
      <c r="H2027" s="10" t="str">
        <f>IF(ROUND(D2027/$B$6,0)&gt;$B$7,"YES","NO")</f>
        <v>NO</v>
      </c>
    </row>
    <row r="2028" spans="1:8">
      <c r="A2028" s="8">
        <v>2018</v>
      </c>
      <c r="B2028" s="9">
        <f>D2027</f>
        <v>2363.671875</v>
      </c>
      <c r="C2028" s="9">
        <f>$B$6</f>
        <v>1.171875</v>
      </c>
      <c r="D2028" s="9">
        <f>B2028+C2028</f>
        <v>2364.84375</v>
      </c>
      <c r="E2028" s="8">
        <f>MIN($B$7,ROUND(D2028/$B$6,0))</f>
        <v>2018</v>
      </c>
      <c r="F2028" s="8" t="str">
        <f>DEC2BIN(INT(E2028/64),5)&amp;DEC2BIN(MOD(E2028,64),6)</f>
        <v>11111100010</v>
      </c>
      <c r="G2028" s="8" t="str">
        <f>DEC2HEX(E2028,3)</f>
        <v>7E2</v>
      </c>
      <c r="H2028" s="8" t="str">
        <f>IF(ROUND(D2028/$B$6,0)&gt;$B$7,"YES","NO")</f>
        <v>NO</v>
      </c>
    </row>
    <row r="2029" spans="1:8">
      <c r="A2029" s="10">
        <v>2019</v>
      </c>
      <c r="B2029" s="11">
        <f>D2028</f>
        <v>2364.84375</v>
      </c>
      <c r="C2029" s="11">
        <f>$B$6</f>
        <v>1.171875</v>
      </c>
      <c r="D2029" s="11">
        <f>B2029+C2029</f>
        <v>2366.015625</v>
      </c>
      <c r="E2029" s="10">
        <f>MIN($B$7,ROUND(D2029/$B$6,0))</f>
        <v>2019</v>
      </c>
      <c r="F2029" s="10" t="str">
        <f>DEC2BIN(INT(E2029/64),5)&amp;DEC2BIN(MOD(E2029,64),6)</f>
        <v>11111100011</v>
      </c>
      <c r="G2029" s="10" t="str">
        <f>DEC2HEX(E2029,3)</f>
        <v>7E3</v>
      </c>
      <c r="H2029" s="10" t="str">
        <f>IF(ROUND(D2029/$B$6,0)&gt;$B$7,"YES","NO")</f>
        <v>NO</v>
      </c>
    </row>
    <row r="2030" spans="1:8">
      <c r="A2030" s="8">
        <v>2020</v>
      </c>
      <c r="B2030" s="9">
        <f>D2029</f>
        <v>2366.015625</v>
      </c>
      <c r="C2030" s="9">
        <f>$B$6</f>
        <v>1.171875</v>
      </c>
      <c r="D2030" s="9">
        <f>B2030+C2030</f>
        <v>2367.1875</v>
      </c>
      <c r="E2030" s="8">
        <f>MIN($B$7,ROUND(D2030/$B$6,0))</f>
        <v>2020</v>
      </c>
      <c r="F2030" s="8" t="str">
        <f>DEC2BIN(INT(E2030/64),5)&amp;DEC2BIN(MOD(E2030,64),6)</f>
        <v>11111100100</v>
      </c>
      <c r="G2030" s="8" t="str">
        <f>DEC2HEX(E2030,3)</f>
        <v>7E4</v>
      </c>
      <c r="H2030" s="8" t="str">
        <f>IF(ROUND(D2030/$B$6,0)&gt;$B$7,"YES","NO")</f>
        <v>NO</v>
      </c>
    </row>
    <row r="2031" spans="1:8">
      <c r="A2031" s="10">
        <v>2021</v>
      </c>
      <c r="B2031" s="11">
        <f>D2030</f>
        <v>2367.1875</v>
      </c>
      <c r="C2031" s="11">
        <f>$B$6</f>
        <v>1.171875</v>
      </c>
      <c r="D2031" s="11">
        <f>B2031+C2031</f>
        <v>2368.359375</v>
      </c>
      <c r="E2031" s="10">
        <f>MIN($B$7,ROUND(D2031/$B$6,0))</f>
        <v>2021</v>
      </c>
      <c r="F2031" s="10" t="str">
        <f>DEC2BIN(INT(E2031/64),5)&amp;DEC2BIN(MOD(E2031,64),6)</f>
        <v>11111100101</v>
      </c>
      <c r="G2031" s="10" t="str">
        <f>DEC2HEX(E2031,3)</f>
        <v>7E5</v>
      </c>
      <c r="H2031" s="10" t="str">
        <f>IF(ROUND(D2031/$B$6,0)&gt;$B$7,"YES","NO")</f>
        <v>NO</v>
      </c>
    </row>
    <row r="2032" spans="1:8">
      <c r="A2032" s="8">
        <v>2022</v>
      </c>
      <c r="B2032" s="9">
        <f>D2031</f>
        <v>2368.359375</v>
      </c>
      <c r="C2032" s="9">
        <f>$B$6</f>
        <v>1.171875</v>
      </c>
      <c r="D2032" s="9">
        <f>B2032+C2032</f>
        <v>2369.53125</v>
      </c>
      <c r="E2032" s="8">
        <f>MIN($B$7,ROUND(D2032/$B$6,0))</f>
        <v>2022</v>
      </c>
      <c r="F2032" s="8" t="str">
        <f>DEC2BIN(INT(E2032/64),5)&amp;DEC2BIN(MOD(E2032,64),6)</f>
        <v>11111100110</v>
      </c>
      <c r="G2032" s="8" t="str">
        <f>DEC2HEX(E2032,3)</f>
        <v>7E6</v>
      </c>
      <c r="H2032" s="8" t="str">
        <f>IF(ROUND(D2032/$B$6,0)&gt;$B$7,"YES","NO")</f>
        <v>NO</v>
      </c>
    </row>
    <row r="2033" spans="1:8">
      <c r="A2033" s="10">
        <v>2023</v>
      </c>
      <c r="B2033" s="11">
        <f>D2032</f>
        <v>2369.53125</v>
      </c>
      <c r="C2033" s="11">
        <f>$B$6</f>
        <v>1.171875</v>
      </c>
      <c r="D2033" s="11">
        <f>B2033+C2033</f>
        <v>2370.703125</v>
      </c>
      <c r="E2033" s="10">
        <f>MIN($B$7,ROUND(D2033/$B$6,0))</f>
        <v>2023</v>
      </c>
      <c r="F2033" s="10" t="str">
        <f>DEC2BIN(INT(E2033/64),5)&amp;DEC2BIN(MOD(E2033,64),6)</f>
        <v>11111100111</v>
      </c>
      <c r="G2033" s="10" t="str">
        <f>DEC2HEX(E2033,3)</f>
        <v>7E7</v>
      </c>
      <c r="H2033" s="10" t="str">
        <f>IF(ROUND(D2033/$B$6,0)&gt;$B$7,"YES","NO")</f>
        <v>NO</v>
      </c>
    </row>
    <row r="2034" spans="1:8">
      <c r="A2034" s="8">
        <v>2024</v>
      </c>
      <c r="B2034" s="9">
        <f>D2033</f>
        <v>2370.703125</v>
      </c>
      <c r="C2034" s="9">
        <f>$B$6</f>
        <v>1.171875</v>
      </c>
      <c r="D2034" s="9">
        <f>B2034+C2034</f>
        <v>2371.875</v>
      </c>
      <c r="E2034" s="8">
        <f>MIN($B$7,ROUND(D2034/$B$6,0))</f>
        <v>2024</v>
      </c>
      <c r="F2034" s="8" t="str">
        <f>DEC2BIN(INT(E2034/64),5)&amp;DEC2BIN(MOD(E2034,64),6)</f>
        <v>11111101000</v>
      </c>
      <c r="G2034" s="8" t="str">
        <f>DEC2HEX(E2034,3)</f>
        <v>7E8</v>
      </c>
      <c r="H2034" s="8" t="str">
        <f>IF(ROUND(D2034/$B$6,0)&gt;$B$7,"YES","NO")</f>
        <v>NO</v>
      </c>
    </row>
    <row r="2035" spans="1:8">
      <c r="A2035" s="10">
        <v>2025</v>
      </c>
      <c r="B2035" s="11">
        <f>D2034</f>
        <v>2371.875</v>
      </c>
      <c r="C2035" s="11">
        <f>$B$6</f>
        <v>1.171875</v>
      </c>
      <c r="D2035" s="11">
        <f>B2035+C2035</f>
        <v>2373.046875</v>
      </c>
      <c r="E2035" s="10">
        <f>MIN($B$7,ROUND(D2035/$B$6,0))</f>
        <v>2025</v>
      </c>
      <c r="F2035" s="10" t="str">
        <f>DEC2BIN(INT(E2035/64),5)&amp;DEC2BIN(MOD(E2035,64),6)</f>
        <v>11111101001</v>
      </c>
      <c r="G2035" s="10" t="str">
        <f>DEC2HEX(E2035,3)</f>
        <v>7E9</v>
      </c>
      <c r="H2035" s="10" t="str">
        <f>IF(ROUND(D2035/$B$6,0)&gt;$B$7,"YES","NO")</f>
        <v>NO</v>
      </c>
    </row>
    <row r="2036" spans="1:8">
      <c r="A2036" s="8">
        <v>2026</v>
      </c>
      <c r="B2036" s="9">
        <f>D2035</f>
        <v>2373.046875</v>
      </c>
      <c r="C2036" s="9">
        <f>$B$6</f>
        <v>1.171875</v>
      </c>
      <c r="D2036" s="9">
        <f>B2036+C2036</f>
        <v>2374.21875</v>
      </c>
      <c r="E2036" s="8">
        <f>MIN($B$7,ROUND(D2036/$B$6,0))</f>
        <v>2026</v>
      </c>
      <c r="F2036" s="8" t="str">
        <f>DEC2BIN(INT(E2036/64),5)&amp;DEC2BIN(MOD(E2036,64),6)</f>
        <v>11111101010</v>
      </c>
      <c r="G2036" s="8" t="str">
        <f>DEC2HEX(E2036,3)</f>
        <v>7EA</v>
      </c>
      <c r="H2036" s="8" t="str">
        <f>IF(ROUND(D2036/$B$6,0)&gt;$B$7,"YES","NO")</f>
        <v>NO</v>
      </c>
    </row>
    <row r="2037" spans="1:8">
      <c r="A2037" s="10">
        <v>2027</v>
      </c>
      <c r="B2037" s="11">
        <f>D2036</f>
        <v>2374.21875</v>
      </c>
      <c r="C2037" s="11">
        <f>$B$6</f>
        <v>1.171875</v>
      </c>
      <c r="D2037" s="11">
        <f>B2037+C2037</f>
        <v>2375.390625</v>
      </c>
      <c r="E2037" s="10">
        <f>MIN($B$7,ROUND(D2037/$B$6,0))</f>
        <v>2027</v>
      </c>
      <c r="F2037" s="10" t="str">
        <f>DEC2BIN(INT(E2037/64),5)&amp;DEC2BIN(MOD(E2037,64),6)</f>
        <v>11111101011</v>
      </c>
      <c r="G2037" s="10" t="str">
        <f>DEC2HEX(E2037,3)</f>
        <v>7EB</v>
      </c>
      <c r="H2037" s="10" t="str">
        <f>IF(ROUND(D2037/$B$6,0)&gt;$B$7,"YES","NO")</f>
        <v>NO</v>
      </c>
    </row>
    <row r="2038" spans="1:8">
      <c r="A2038" s="8">
        <v>2028</v>
      </c>
      <c r="B2038" s="9">
        <f>D2037</f>
        <v>2375.390625</v>
      </c>
      <c r="C2038" s="9">
        <f>$B$6</f>
        <v>1.171875</v>
      </c>
      <c r="D2038" s="9">
        <f>B2038+C2038</f>
        <v>2376.5625</v>
      </c>
      <c r="E2038" s="8">
        <f>MIN($B$7,ROUND(D2038/$B$6,0))</f>
        <v>2028</v>
      </c>
      <c r="F2038" s="8" t="str">
        <f>DEC2BIN(INT(E2038/64),5)&amp;DEC2BIN(MOD(E2038,64),6)</f>
        <v>11111101100</v>
      </c>
      <c r="G2038" s="8" t="str">
        <f>DEC2HEX(E2038,3)</f>
        <v>7EC</v>
      </c>
      <c r="H2038" s="8" t="str">
        <f>IF(ROUND(D2038/$B$6,0)&gt;$B$7,"YES","NO")</f>
        <v>NO</v>
      </c>
    </row>
    <row r="2039" spans="1:8">
      <c r="A2039" s="10">
        <v>2029</v>
      </c>
      <c r="B2039" s="11">
        <f>D2038</f>
        <v>2376.5625</v>
      </c>
      <c r="C2039" s="11">
        <f>$B$6</f>
        <v>1.171875</v>
      </c>
      <c r="D2039" s="11">
        <f>B2039+C2039</f>
        <v>2377.734375</v>
      </c>
      <c r="E2039" s="10">
        <f>MIN($B$7,ROUND(D2039/$B$6,0))</f>
        <v>2029</v>
      </c>
      <c r="F2039" s="10" t="str">
        <f>DEC2BIN(INT(E2039/64),5)&amp;DEC2BIN(MOD(E2039,64),6)</f>
        <v>11111101101</v>
      </c>
      <c r="G2039" s="10" t="str">
        <f>DEC2HEX(E2039,3)</f>
        <v>7ED</v>
      </c>
      <c r="H2039" s="10" t="str">
        <f>IF(ROUND(D2039/$B$6,0)&gt;$B$7,"YES","NO")</f>
        <v>NO</v>
      </c>
    </row>
    <row r="2040" spans="1:8">
      <c r="A2040" s="8">
        <v>2030</v>
      </c>
      <c r="B2040" s="9">
        <f>D2039</f>
        <v>2377.734375</v>
      </c>
      <c r="C2040" s="9">
        <f>$B$6</f>
        <v>1.171875</v>
      </c>
      <c r="D2040" s="9">
        <f>B2040+C2040</f>
        <v>2378.90625</v>
      </c>
      <c r="E2040" s="8">
        <f>MIN($B$7,ROUND(D2040/$B$6,0))</f>
        <v>2030</v>
      </c>
      <c r="F2040" s="8" t="str">
        <f>DEC2BIN(INT(E2040/64),5)&amp;DEC2BIN(MOD(E2040,64),6)</f>
        <v>11111101110</v>
      </c>
      <c r="G2040" s="8" t="str">
        <f>DEC2HEX(E2040,3)</f>
        <v>7EE</v>
      </c>
      <c r="H2040" s="8" t="str">
        <f>IF(ROUND(D2040/$B$6,0)&gt;$B$7,"YES","NO")</f>
        <v>NO</v>
      </c>
    </row>
    <row r="2041" spans="1:8">
      <c r="A2041" s="10">
        <v>2031</v>
      </c>
      <c r="B2041" s="11">
        <f>D2040</f>
        <v>2378.90625</v>
      </c>
      <c r="C2041" s="11">
        <f>$B$6</f>
        <v>1.171875</v>
      </c>
      <c r="D2041" s="11">
        <f>B2041+C2041</f>
        <v>2380.078125</v>
      </c>
      <c r="E2041" s="10">
        <f>MIN($B$7,ROUND(D2041/$B$6,0))</f>
        <v>2031</v>
      </c>
      <c r="F2041" s="10" t="str">
        <f>DEC2BIN(INT(E2041/64),5)&amp;DEC2BIN(MOD(E2041,64),6)</f>
        <v>11111101111</v>
      </c>
      <c r="G2041" s="10" t="str">
        <f>DEC2HEX(E2041,3)</f>
        <v>7EF</v>
      </c>
      <c r="H2041" s="10" t="str">
        <f>IF(ROUND(D2041/$B$6,0)&gt;$B$7,"YES","NO")</f>
        <v>NO</v>
      </c>
    </row>
    <row r="2042" spans="1:8">
      <c r="A2042" s="8">
        <v>2032</v>
      </c>
      <c r="B2042" s="9">
        <f>D2041</f>
        <v>2380.078125</v>
      </c>
      <c r="C2042" s="9">
        <f>$B$6</f>
        <v>1.171875</v>
      </c>
      <c r="D2042" s="9">
        <f>B2042+C2042</f>
        <v>2381.25</v>
      </c>
      <c r="E2042" s="8">
        <f>MIN($B$7,ROUND(D2042/$B$6,0))</f>
        <v>2032</v>
      </c>
      <c r="F2042" s="8" t="str">
        <f>DEC2BIN(INT(E2042/64),5)&amp;DEC2BIN(MOD(E2042,64),6)</f>
        <v>11111110000</v>
      </c>
      <c r="G2042" s="8" t="str">
        <f>DEC2HEX(E2042,3)</f>
        <v>7F0</v>
      </c>
      <c r="H2042" s="8" t="str">
        <f>IF(ROUND(D2042/$B$6,0)&gt;$B$7,"YES","NO")</f>
        <v>NO</v>
      </c>
    </row>
    <row r="2043" spans="1:8">
      <c r="A2043" s="10">
        <v>2033</v>
      </c>
      <c r="B2043" s="11">
        <f>D2042</f>
        <v>2381.25</v>
      </c>
      <c r="C2043" s="11">
        <f>$B$6</f>
        <v>1.171875</v>
      </c>
      <c r="D2043" s="11">
        <f>B2043+C2043</f>
        <v>2382.421875</v>
      </c>
      <c r="E2043" s="10">
        <f>MIN($B$7,ROUND(D2043/$B$6,0))</f>
        <v>2033</v>
      </c>
      <c r="F2043" s="10" t="str">
        <f>DEC2BIN(INT(E2043/64),5)&amp;DEC2BIN(MOD(E2043,64),6)</f>
        <v>11111110001</v>
      </c>
      <c r="G2043" s="10" t="str">
        <f>DEC2HEX(E2043,3)</f>
        <v>7F1</v>
      </c>
      <c r="H2043" s="10" t="str">
        <f>IF(ROUND(D2043/$B$6,0)&gt;$B$7,"YES","NO")</f>
        <v>NO</v>
      </c>
    </row>
    <row r="2044" spans="1:8">
      <c r="A2044" s="8">
        <v>2034</v>
      </c>
      <c r="B2044" s="9">
        <f>D2043</f>
        <v>2382.421875</v>
      </c>
      <c r="C2044" s="9">
        <f>$B$6</f>
        <v>1.171875</v>
      </c>
      <c r="D2044" s="9">
        <f>B2044+C2044</f>
        <v>2383.59375</v>
      </c>
      <c r="E2044" s="8">
        <f>MIN($B$7,ROUND(D2044/$B$6,0))</f>
        <v>2034</v>
      </c>
      <c r="F2044" s="8" t="str">
        <f>DEC2BIN(INT(E2044/64),5)&amp;DEC2BIN(MOD(E2044,64),6)</f>
        <v>11111110010</v>
      </c>
      <c r="G2044" s="8" t="str">
        <f>DEC2HEX(E2044,3)</f>
        <v>7F2</v>
      </c>
      <c r="H2044" s="8" t="str">
        <f>IF(ROUND(D2044/$B$6,0)&gt;$B$7,"YES","NO")</f>
        <v>NO</v>
      </c>
    </row>
    <row r="2045" spans="1:8">
      <c r="A2045" s="10">
        <v>2035</v>
      </c>
      <c r="B2045" s="11">
        <f>D2044</f>
        <v>2383.59375</v>
      </c>
      <c r="C2045" s="11">
        <f>$B$6</f>
        <v>1.171875</v>
      </c>
      <c r="D2045" s="11">
        <f>B2045+C2045</f>
        <v>2384.765625</v>
      </c>
      <c r="E2045" s="10">
        <f>MIN($B$7,ROUND(D2045/$B$6,0))</f>
        <v>2035</v>
      </c>
      <c r="F2045" s="10" t="str">
        <f>DEC2BIN(INT(E2045/64),5)&amp;DEC2BIN(MOD(E2045,64),6)</f>
        <v>11111110011</v>
      </c>
      <c r="G2045" s="10" t="str">
        <f>DEC2HEX(E2045,3)</f>
        <v>7F3</v>
      </c>
      <c r="H2045" s="10" t="str">
        <f>IF(ROUND(D2045/$B$6,0)&gt;$B$7,"YES","NO")</f>
        <v>NO</v>
      </c>
    </row>
    <row r="2046" spans="1:8">
      <c r="A2046" s="8">
        <v>2036</v>
      </c>
      <c r="B2046" s="9">
        <f>D2045</f>
        <v>2384.765625</v>
      </c>
      <c r="C2046" s="9">
        <f>$B$6</f>
        <v>1.171875</v>
      </c>
      <c r="D2046" s="9">
        <f>B2046+C2046</f>
        <v>2385.9375</v>
      </c>
      <c r="E2046" s="8">
        <f>MIN($B$7,ROUND(D2046/$B$6,0))</f>
        <v>2036</v>
      </c>
      <c r="F2046" s="8" t="str">
        <f>DEC2BIN(INT(E2046/64),5)&amp;DEC2BIN(MOD(E2046,64),6)</f>
        <v>11111110100</v>
      </c>
      <c r="G2046" s="8" t="str">
        <f>DEC2HEX(E2046,3)</f>
        <v>7F4</v>
      </c>
      <c r="H2046" s="8" t="str">
        <f>IF(ROUND(D2046/$B$6,0)&gt;$B$7,"YES","NO")</f>
        <v>NO</v>
      </c>
    </row>
    <row r="2047" spans="1:8">
      <c r="A2047" s="10">
        <v>2037</v>
      </c>
      <c r="B2047" s="11">
        <f>D2046</f>
        <v>2385.9375</v>
      </c>
      <c r="C2047" s="11">
        <f>$B$6</f>
        <v>1.171875</v>
      </c>
      <c r="D2047" s="11">
        <f>B2047+C2047</f>
        <v>2387.109375</v>
      </c>
      <c r="E2047" s="10">
        <f>MIN($B$7,ROUND(D2047/$B$6,0))</f>
        <v>2037</v>
      </c>
      <c r="F2047" s="10" t="str">
        <f>DEC2BIN(INT(E2047/64),5)&amp;DEC2BIN(MOD(E2047,64),6)</f>
        <v>11111110101</v>
      </c>
      <c r="G2047" s="10" t="str">
        <f>DEC2HEX(E2047,3)</f>
        <v>7F5</v>
      </c>
      <c r="H2047" s="10" t="str">
        <f>IF(ROUND(D2047/$B$6,0)&gt;$B$7,"YES","NO")</f>
        <v>NO</v>
      </c>
    </row>
    <row r="2048" spans="1:8">
      <c r="A2048" s="8">
        <v>2038</v>
      </c>
      <c r="B2048" s="9">
        <f>D2047</f>
        <v>2387.109375</v>
      </c>
      <c r="C2048" s="9">
        <f>$B$6</f>
        <v>1.171875</v>
      </c>
      <c r="D2048" s="9">
        <f>B2048+C2048</f>
        <v>2388.28125</v>
      </c>
      <c r="E2048" s="8">
        <f>MIN($B$7,ROUND(D2048/$B$6,0))</f>
        <v>2038</v>
      </c>
      <c r="F2048" s="8" t="str">
        <f>DEC2BIN(INT(E2048/64),5)&amp;DEC2BIN(MOD(E2048,64),6)</f>
        <v>11111110110</v>
      </c>
      <c r="G2048" s="8" t="str">
        <f>DEC2HEX(E2048,3)</f>
        <v>7F6</v>
      </c>
      <c r="H2048" s="8" t="str">
        <f>IF(ROUND(D2048/$B$6,0)&gt;$B$7,"YES","NO")</f>
        <v>NO</v>
      </c>
    </row>
    <row r="2049" spans="1:8">
      <c r="A2049" s="10">
        <v>2039</v>
      </c>
      <c r="B2049" s="11">
        <f>D2048</f>
        <v>2388.28125</v>
      </c>
      <c r="C2049" s="11">
        <f>$B$6</f>
        <v>1.171875</v>
      </c>
      <c r="D2049" s="11">
        <f>B2049+C2049</f>
        <v>2389.453125</v>
      </c>
      <c r="E2049" s="10">
        <f>MIN($B$7,ROUND(D2049/$B$6,0))</f>
        <v>2039</v>
      </c>
      <c r="F2049" s="10" t="str">
        <f>DEC2BIN(INT(E2049/64),5)&amp;DEC2BIN(MOD(E2049,64),6)</f>
        <v>11111110111</v>
      </c>
      <c r="G2049" s="10" t="str">
        <f>DEC2HEX(E2049,3)</f>
        <v>7F7</v>
      </c>
      <c r="H2049" s="10" t="str">
        <f>IF(ROUND(D2049/$B$6,0)&gt;$B$7,"YES","NO")</f>
        <v>NO</v>
      </c>
    </row>
    <row r="2050" spans="1:8">
      <c r="A2050" s="8">
        <v>2040</v>
      </c>
      <c r="B2050" s="9">
        <f>D2049</f>
        <v>2389.453125</v>
      </c>
      <c r="C2050" s="9">
        <f>$B$6</f>
        <v>1.171875</v>
      </c>
      <c r="D2050" s="9">
        <f>B2050+C2050</f>
        <v>2390.625</v>
      </c>
      <c r="E2050" s="8">
        <f>MIN($B$7,ROUND(D2050/$B$6,0))</f>
        <v>2040</v>
      </c>
      <c r="F2050" s="8" t="str">
        <f>DEC2BIN(INT(E2050/64),5)&amp;DEC2BIN(MOD(E2050,64),6)</f>
        <v>11111111000</v>
      </c>
      <c r="G2050" s="8" t="str">
        <f>DEC2HEX(E2050,3)</f>
        <v>7F8</v>
      </c>
      <c r="H2050" s="8" t="str">
        <f>IF(ROUND(D2050/$B$6,0)&gt;$B$7,"YES","NO")</f>
        <v>NO</v>
      </c>
    </row>
    <row r="2051" spans="1:8">
      <c r="A2051" s="10">
        <v>2041</v>
      </c>
      <c r="B2051" s="11">
        <f>D2050</f>
        <v>2390.625</v>
      </c>
      <c r="C2051" s="11">
        <f>$B$6</f>
        <v>1.171875</v>
      </c>
      <c r="D2051" s="11">
        <f>B2051+C2051</f>
        <v>2391.796875</v>
      </c>
      <c r="E2051" s="10">
        <f>MIN($B$7,ROUND(D2051/$B$6,0))</f>
        <v>2041</v>
      </c>
      <c r="F2051" s="10" t="str">
        <f>DEC2BIN(INT(E2051/64),5)&amp;DEC2BIN(MOD(E2051,64),6)</f>
        <v>11111111001</v>
      </c>
      <c r="G2051" s="10" t="str">
        <f>DEC2HEX(E2051,3)</f>
        <v>7F9</v>
      </c>
      <c r="H2051" s="10" t="str">
        <f>IF(ROUND(D2051/$B$6,0)&gt;$B$7,"YES","NO")</f>
        <v>NO</v>
      </c>
    </row>
    <row r="2052" spans="1:8">
      <c r="A2052" s="8">
        <v>2042</v>
      </c>
      <c r="B2052" s="9">
        <f>D2051</f>
        <v>2391.796875</v>
      </c>
      <c r="C2052" s="9">
        <f>$B$6</f>
        <v>1.171875</v>
      </c>
      <c r="D2052" s="9">
        <f>B2052+C2052</f>
        <v>2392.96875</v>
      </c>
      <c r="E2052" s="8">
        <f>MIN($B$7,ROUND(D2052/$B$6,0))</f>
        <v>2042</v>
      </c>
      <c r="F2052" s="8" t="str">
        <f>DEC2BIN(INT(E2052/64),5)&amp;DEC2BIN(MOD(E2052,64),6)</f>
        <v>11111111010</v>
      </c>
      <c r="G2052" s="8" t="str">
        <f>DEC2HEX(E2052,3)</f>
        <v>7FA</v>
      </c>
      <c r="H2052" s="8" t="str">
        <f>IF(ROUND(D2052/$B$6,0)&gt;$B$7,"YES","NO")</f>
        <v>NO</v>
      </c>
    </row>
    <row r="2053" spans="1:8">
      <c r="A2053" s="10">
        <v>2043</v>
      </c>
      <c r="B2053" s="11">
        <f>D2052</f>
        <v>2392.96875</v>
      </c>
      <c r="C2053" s="11">
        <f>$B$6</f>
        <v>1.171875</v>
      </c>
      <c r="D2053" s="11">
        <f>B2053+C2053</f>
        <v>2394.140625</v>
      </c>
      <c r="E2053" s="10">
        <f>MIN($B$7,ROUND(D2053/$B$6,0))</f>
        <v>2043</v>
      </c>
      <c r="F2053" s="10" t="str">
        <f>DEC2BIN(INT(E2053/64),5)&amp;DEC2BIN(MOD(E2053,64),6)</f>
        <v>11111111011</v>
      </c>
      <c r="G2053" s="10" t="str">
        <f>DEC2HEX(E2053,3)</f>
        <v>7FB</v>
      </c>
      <c r="H2053" s="10" t="str">
        <f>IF(ROUND(D2053/$B$6,0)&gt;$B$7,"YES","NO")</f>
        <v>NO</v>
      </c>
    </row>
    <row r="2054" spans="1:8">
      <c r="A2054" s="8">
        <v>2044</v>
      </c>
      <c r="B2054" s="9">
        <f>D2053</f>
        <v>2394.140625</v>
      </c>
      <c r="C2054" s="9">
        <f>$B$6</f>
        <v>1.171875</v>
      </c>
      <c r="D2054" s="9">
        <f>B2054+C2054</f>
        <v>2395.3125</v>
      </c>
      <c r="E2054" s="8">
        <f>MIN($B$7,ROUND(D2054/$B$6,0))</f>
        <v>2044</v>
      </c>
      <c r="F2054" s="8" t="str">
        <f>DEC2BIN(INT(E2054/64),5)&amp;DEC2BIN(MOD(E2054,64),6)</f>
        <v>11111111100</v>
      </c>
      <c r="G2054" s="8" t="str">
        <f>DEC2HEX(E2054,3)</f>
        <v>7FC</v>
      </c>
      <c r="H2054" s="8" t="str">
        <f>IF(ROUND(D2054/$B$6,0)&gt;$B$7,"YES","NO")</f>
        <v>NO</v>
      </c>
    </row>
    <row r="2055" spans="1:8">
      <c r="A2055" s="10">
        <v>2045</v>
      </c>
      <c r="B2055" s="11">
        <f>D2054</f>
        <v>2395.3125</v>
      </c>
      <c r="C2055" s="11">
        <f>$B$6</f>
        <v>1.171875</v>
      </c>
      <c r="D2055" s="11">
        <f>B2055+C2055</f>
        <v>2396.484375</v>
      </c>
      <c r="E2055" s="10">
        <f>MIN($B$7,ROUND(D2055/$B$6,0))</f>
        <v>2045</v>
      </c>
      <c r="F2055" s="10" t="str">
        <f>DEC2BIN(INT(E2055/64),5)&amp;DEC2BIN(MOD(E2055,64),6)</f>
        <v>11111111101</v>
      </c>
      <c r="G2055" s="10" t="str">
        <f>DEC2HEX(E2055,3)</f>
        <v>7FD</v>
      </c>
      <c r="H2055" s="10" t="str">
        <f>IF(ROUND(D2055/$B$6,0)&gt;$B$7,"YES","NO")</f>
        <v>NO</v>
      </c>
    </row>
    <row r="2056" spans="1:8">
      <c r="A2056" s="8">
        <v>2046</v>
      </c>
      <c r="B2056" s="9">
        <f>D2055</f>
        <v>2396.484375</v>
      </c>
      <c r="C2056" s="9">
        <f>$B$6</f>
        <v>1.171875</v>
      </c>
      <c r="D2056" s="9">
        <f>B2056+C2056</f>
        <v>2397.65625</v>
      </c>
      <c r="E2056" s="8">
        <f>MIN($B$7,ROUND(D2056/$B$6,0))</f>
        <v>2046</v>
      </c>
      <c r="F2056" s="8" t="str">
        <f>DEC2BIN(INT(E2056/64),5)&amp;DEC2BIN(MOD(E2056,64),6)</f>
        <v>11111111110</v>
      </c>
      <c r="G2056" s="8" t="str">
        <f>DEC2HEX(E2056,3)</f>
        <v>7FE</v>
      </c>
      <c r="H2056" s="8" t="str">
        <f>IF(ROUND(D2056/$B$6,0)&gt;$B$7,"YES","NO")</f>
        <v>NO</v>
      </c>
    </row>
    <row r="2057" spans="1:8">
      <c r="A2057" s="10">
        <v>2047</v>
      </c>
      <c r="B2057" s="11">
        <f>D2056</f>
        <v>2397.65625</v>
      </c>
      <c r="C2057" s="11">
        <f>$B$6</f>
        <v>1.171875</v>
      </c>
      <c r="D2057" s="11">
        <f>B2057+C2057</f>
        <v>2398.828125</v>
      </c>
      <c r="E2057" s="10">
        <f>MIN($B$7,ROUND(D2057/$B$6,0))</f>
        <v>2047</v>
      </c>
      <c r="F2057" s="10" t="str">
        <f>DEC2BIN(INT(E2057/64),5)&amp;DEC2BIN(MOD(E2057,64),6)</f>
        <v>11111111111</v>
      </c>
      <c r="G2057" s="10" t="str">
        <f>DEC2HEX(E2057,3)</f>
        <v>7FF</v>
      </c>
      <c r="H2057" s="10" t="str">
        <f>IF(ROUND(D2057/$B$6,0)&gt;$B$7,"YES","NO")</f>
        <v>NO</v>
      </c>
    </row>
    <row r="2058" spans="1:8">
      <c r="A2058" s="8">
        <v>2048</v>
      </c>
      <c r="B2058" s="9">
        <f>D2057</f>
        <v>2398.828125</v>
      </c>
      <c r="C2058" s="9">
        <f>$B$6</f>
        <v>1.171875</v>
      </c>
      <c r="D2058" s="9">
        <f>B2058+C2058</f>
        <v>2400</v>
      </c>
      <c r="E2058" s="8">
        <f>MIN($B$7,ROUND(D2058/$B$6,0))</f>
        <v>2047</v>
      </c>
      <c r="F2058" s="8" t="str">
        <f>DEC2BIN(INT(E2058/64),5)&amp;DEC2BIN(MOD(E2058,64),6)</f>
        <v>11111111111</v>
      </c>
      <c r="G2058" s="8" t="str">
        <f>DEC2HEX(E2058,3)</f>
        <v>7FF</v>
      </c>
      <c r="H2058" s="8" t="str">
        <f>IF(ROUND(D2058/$B$6,0)&gt;$B$7,"YES","NO")</f>
        <v>YES</v>
      </c>
    </row>
    <row r="2059" spans="1:8">
      <c r="A2059" s="10">
        <v>2049</v>
      </c>
      <c r="B2059" s="11">
        <f>D2058</f>
        <v>2400</v>
      </c>
      <c r="C2059" s="11">
        <f>$B$6</f>
        <v>1.171875</v>
      </c>
      <c r="D2059" s="11">
        <f>B2059+C2059</f>
        <v>2401.171875</v>
      </c>
      <c r="E2059" s="10">
        <f>MIN($B$7,ROUND(D2059/$B$6,0))</f>
        <v>2047</v>
      </c>
      <c r="F2059" s="10" t="str">
        <f>DEC2BIN(INT(E2059/64),5)&amp;DEC2BIN(MOD(E2059,64),6)</f>
        <v>11111111111</v>
      </c>
      <c r="G2059" s="10" t="str">
        <f>DEC2HEX(E2059,3)</f>
        <v>7FF</v>
      </c>
      <c r="H2059" s="10" t="str">
        <f>IF(ROUND(D2059/$B$6,0)&gt;$B$7,"YES","NO")</f>
        <v>YES</v>
      </c>
    </row>
    <row r="2060" spans="1:8">
      <c r="A2060" s="8">
        <v>2050</v>
      </c>
      <c r="B2060" s="9">
        <f>D2059</f>
        <v>2401.171875</v>
      </c>
      <c r="C2060" s="9">
        <f>$B$6</f>
        <v>1.171875</v>
      </c>
      <c r="D2060" s="9">
        <f>B2060+C2060</f>
        <v>2402.34375</v>
      </c>
      <c r="E2060" s="8">
        <f>MIN($B$7,ROUND(D2060/$B$6,0))</f>
        <v>2047</v>
      </c>
      <c r="F2060" s="8" t="str">
        <f>DEC2BIN(INT(E2060/64),5)&amp;DEC2BIN(MOD(E2060,64),6)</f>
        <v>11111111111</v>
      </c>
      <c r="G2060" s="8" t="str">
        <f>DEC2HEX(E2060,3)</f>
        <v>7FF</v>
      </c>
      <c r="H2060" s="8" t="str">
        <f>IF(ROUND(D2060/$B$6,0)&gt;$B$7,"YES","NO")</f>
        <v>YES</v>
      </c>
    </row>
    <row r="2061" spans="1:8">
      <c r="A2061" s="10">
        <v>2051</v>
      </c>
      <c r="B2061" s="11">
        <f>D2060</f>
        <v>2402.34375</v>
      </c>
      <c r="C2061" s="11">
        <f>$B$6</f>
        <v>1.171875</v>
      </c>
      <c r="D2061" s="11">
        <f>B2061+C2061</f>
        <v>2403.515625</v>
      </c>
      <c r="E2061" s="10">
        <f>MIN($B$7,ROUND(D2061/$B$6,0))</f>
        <v>2047</v>
      </c>
      <c r="F2061" s="10" t="str">
        <f>DEC2BIN(INT(E2061/64),5)&amp;DEC2BIN(MOD(E2061,64),6)</f>
        <v>11111111111</v>
      </c>
      <c r="G2061" s="10" t="str">
        <f>DEC2HEX(E2061,3)</f>
        <v>7FF</v>
      </c>
      <c r="H2061" s="10" t="str">
        <f>IF(ROUND(D2061/$B$6,0)&gt;$B$7,"YES","NO")</f>
        <v>YES</v>
      </c>
    </row>
    <row r="2062" spans="1:8">
      <c r="A2062" s="8">
        <v>2052</v>
      </c>
      <c r="B2062" s="9">
        <f>D2061</f>
        <v>2403.515625</v>
      </c>
      <c r="C2062" s="9">
        <f>$B$6</f>
        <v>1.171875</v>
      </c>
      <c r="D2062" s="9">
        <f>B2062+C2062</f>
        <v>2404.6875</v>
      </c>
      <c r="E2062" s="8">
        <f>MIN($B$7,ROUND(D2062/$B$6,0))</f>
        <v>2047</v>
      </c>
      <c r="F2062" s="8" t="str">
        <f>DEC2BIN(INT(E2062/64),5)&amp;DEC2BIN(MOD(E2062,64),6)</f>
        <v>11111111111</v>
      </c>
      <c r="G2062" s="8" t="str">
        <f>DEC2HEX(E2062,3)</f>
        <v>7FF</v>
      </c>
      <c r="H2062" s="8" t="str">
        <f>IF(ROUND(D2062/$B$6,0)&gt;$B$7,"YES","NO")</f>
        <v>YES</v>
      </c>
    </row>
    <row r="2063" spans="1:8">
      <c r="A2063" s="10">
        <v>2053</v>
      </c>
      <c r="B2063" s="11">
        <f>D2062</f>
        <v>2404.6875</v>
      </c>
      <c r="C2063" s="11">
        <f>$B$6</f>
        <v>1.171875</v>
      </c>
      <c r="D2063" s="11">
        <f>B2063+C2063</f>
        <v>2405.859375</v>
      </c>
      <c r="E2063" s="10">
        <f>MIN($B$7,ROUND(D2063/$B$6,0))</f>
        <v>2047</v>
      </c>
      <c r="F2063" s="10" t="str">
        <f>DEC2BIN(INT(E2063/64),5)&amp;DEC2BIN(MOD(E2063,64),6)</f>
        <v>11111111111</v>
      </c>
      <c r="G2063" s="10" t="str">
        <f>DEC2HEX(E2063,3)</f>
        <v>7FF</v>
      </c>
      <c r="H2063" s="10" t="str">
        <f>IF(ROUND(D2063/$B$6,0)&gt;$B$7,"YES","NO")</f>
        <v>YES</v>
      </c>
    </row>
    <row r="2064" spans="1:8">
      <c r="A2064" s="8">
        <v>2054</v>
      </c>
      <c r="B2064" s="9">
        <f>D2063</f>
        <v>2405.859375</v>
      </c>
      <c r="C2064" s="9">
        <f>$B$6</f>
        <v>1.171875</v>
      </c>
      <c r="D2064" s="9">
        <f>B2064+C2064</f>
        <v>2407.03125</v>
      </c>
      <c r="E2064" s="8">
        <f>MIN($B$7,ROUND(D2064/$B$6,0))</f>
        <v>2047</v>
      </c>
      <c r="F2064" s="8" t="str">
        <f>DEC2BIN(INT(E2064/64),5)&amp;DEC2BIN(MOD(E2064,64),6)</f>
        <v>11111111111</v>
      </c>
      <c r="G2064" s="8" t="str">
        <f>DEC2HEX(E2064,3)</f>
        <v>7FF</v>
      </c>
      <c r="H2064" s="8" t="str">
        <f>IF(ROUND(D2064/$B$6,0)&gt;$B$7,"YES","NO")</f>
        <v>YES</v>
      </c>
    </row>
    <row r="2065" spans="1:8">
      <c r="A2065" s="10">
        <v>2055</v>
      </c>
      <c r="B2065" s="11">
        <f>D2064</f>
        <v>2407.03125</v>
      </c>
      <c r="C2065" s="11">
        <f>$B$6</f>
        <v>1.171875</v>
      </c>
      <c r="D2065" s="11">
        <f>B2065+C2065</f>
        <v>2408.203125</v>
      </c>
      <c r="E2065" s="10">
        <f>MIN($B$7,ROUND(D2065/$B$6,0))</f>
        <v>2047</v>
      </c>
      <c r="F2065" s="10" t="str">
        <f>DEC2BIN(INT(E2065/64),5)&amp;DEC2BIN(MOD(E2065,64),6)</f>
        <v>11111111111</v>
      </c>
      <c r="G2065" s="10" t="str">
        <f>DEC2HEX(E2065,3)</f>
        <v>7FF</v>
      </c>
      <c r="H2065" s="10" t="str">
        <f>IF(ROUND(D2065/$B$6,0)&gt;$B$7,"YES","NO")</f>
        <v>YES</v>
      </c>
    </row>
    <row r="2066" spans="1:8">
      <c r="A2066" s="8">
        <v>2056</v>
      </c>
      <c r="B2066" s="9">
        <f>D2065</f>
        <v>2408.203125</v>
      </c>
      <c r="C2066" s="9">
        <f>$B$6</f>
        <v>1.171875</v>
      </c>
      <c r="D2066" s="9">
        <f>B2066+C2066</f>
        <v>2409.375</v>
      </c>
      <c r="E2066" s="8">
        <f>MIN($B$7,ROUND(D2066/$B$6,0))</f>
        <v>2047</v>
      </c>
      <c r="F2066" s="8" t="str">
        <f>DEC2BIN(INT(E2066/64),5)&amp;DEC2BIN(MOD(E2066,64),6)</f>
        <v>11111111111</v>
      </c>
      <c r="G2066" s="8" t="str">
        <f>DEC2HEX(E2066,3)</f>
        <v>7FF</v>
      </c>
      <c r="H2066" s="8" t="str">
        <f>IF(ROUND(D2066/$B$6,0)&gt;$B$7,"YES","NO")</f>
        <v>YES</v>
      </c>
    </row>
    <row r="2067" spans="1:8">
      <c r="A2067" s="10">
        <v>2057</v>
      </c>
      <c r="B2067" s="11">
        <f>D2066</f>
        <v>2409.375</v>
      </c>
      <c r="C2067" s="11">
        <f>$B$6</f>
        <v>1.171875</v>
      </c>
      <c r="D2067" s="11">
        <f>B2067+C2067</f>
        <v>2410.546875</v>
      </c>
      <c r="E2067" s="10">
        <f>MIN($B$7,ROUND(D2067/$B$6,0))</f>
        <v>2047</v>
      </c>
      <c r="F2067" s="10" t="str">
        <f>DEC2BIN(INT(E2067/64),5)&amp;DEC2BIN(MOD(E2067,64),6)</f>
        <v>11111111111</v>
      </c>
      <c r="G2067" s="10" t="str">
        <f>DEC2HEX(E2067,3)</f>
        <v>7FF</v>
      </c>
      <c r="H2067" s="10" t="str">
        <f>IF(ROUND(D2067/$B$6,0)&gt;$B$7,"YES","NO")</f>
        <v>YES</v>
      </c>
    </row>
    <row r="2068" spans="1:8">
      <c r="A2068" s="8">
        <v>2058</v>
      </c>
      <c r="B2068" s="9">
        <f>D2067</f>
        <v>2410.546875</v>
      </c>
      <c r="C2068" s="9">
        <f>$B$6</f>
        <v>1.171875</v>
      </c>
      <c r="D2068" s="9">
        <f>B2068+C2068</f>
        <v>2411.71875</v>
      </c>
      <c r="E2068" s="8">
        <f>MIN($B$7,ROUND(D2068/$B$6,0))</f>
        <v>2047</v>
      </c>
      <c r="F2068" s="8" t="str">
        <f>DEC2BIN(INT(E2068/64),5)&amp;DEC2BIN(MOD(E2068,64),6)</f>
        <v>11111111111</v>
      </c>
      <c r="G2068" s="8" t="str">
        <f>DEC2HEX(E2068,3)</f>
        <v>7FF</v>
      </c>
      <c r="H2068" s="8" t="str">
        <f>IF(ROUND(D2068/$B$6,0)&gt;$B$7,"YES","NO")</f>
        <v>YES</v>
      </c>
    </row>
    <row r="2069" spans="1:8">
      <c r="A2069" s="10">
        <v>2059</v>
      </c>
      <c r="B2069" s="11">
        <f>D2068</f>
        <v>2411.71875</v>
      </c>
      <c r="C2069" s="11">
        <f>$B$6</f>
        <v>1.171875</v>
      </c>
      <c r="D2069" s="11">
        <f>B2069+C2069</f>
        <v>2412.890625</v>
      </c>
      <c r="E2069" s="10">
        <f>MIN($B$7,ROUND(D2069/$B$6,0))</f>
        <v>2047</v>
      </c>
      <c r="F2069" s="10" t="str">
        <f>DEC2BIN(INT(E2069/64),5)&amp;DEC2BIN(MOD(E2069,64),6)</f>
        <v>11111111111</v>
      </c>
      <c r="G2069" s="10" t="str">
        <f>DEC2HEX(E2069,3)</f>
        <v>7FF</v>
      </c>
      <c r="H2069" s="10" t="str">
        <f>IF(ROUND(D2069/$B$6,0)&gt;$B$7,"YES","NO")</f>
        <v>YES</v>
      </c>
    </row>
    <row r="2070" spans="1:8">
      <c r="A2070" s="8">
        <v>2060</v>
      </c>
      <c r="B2070" s="9">
        <f>D2069</f>
        <v>2412.890625</v>
      </c>
      <c r="C2070" s="9">
        <f>$B$6</f>
        <v>1.171875</v>
      </c>
      <c r="D2070" s="9">
        <f>B2070+C2070</f>
        <v>2414.0625</v>
      </c>
      <c r="E2070" s="8">
        <f>MIN($B$7,ROUND(D2070/$B$6,0))</f>
        <v>2047</v>
      </c>
      <c r="F2070" s="8" t="str">
        <f>DEC2BIN(INT(E2070/64),5)&amp;DEC2BIN(MOD(E2070,64),6)</f>
        <v>11111111111</v>
      </c>
      <c r="G2070" s="8" t="str">
        <f>DEC2HEX(E2070,3)</f>
        <v>7FF</v>
      </c>
      <c r="H2070" s="8" t="str">
        <f>IF(ROUND(D2070/$B$6,0)&gt;$B$7,"YES","NO")</f>
        <v>YES</v>
      </c>
    </row>
    <row r="2071" spans="1:8">
      <c r="A2071" s="10">
        <v>2061</v>
      </c>
      <c r="B2071" s="11">
        <f>D2070</f>
        <v>2414.0625</v>
      </c>
      <c r="C2071" s="11">
        <f>$B$6</f>
        <v>1.171875</v>
      </c>
      <c r="D2071" s="11">
        <f>B2071+C2071</f>
        <v>2415.234375</v>
      </c>
      <c r="E2071" s="10">
        <f>MIN($B$7,ROUND(D2071/$B$6,0))</f>
        <v>2047</v>
      </c>
      <c r="F2071" s="10" t="str">
        <f>DEC2BIN(INT(E2071/64),5)&amp;DEC2BIN(MOD(E2071,64),6)</f>
        <v>11111111111</v>
      </c>
      <c r="G2071" s="10" t="str">
        <f>DEC2HEX(E2071,3)</f>
        <v>7FF</v>
      </c>
      <c r="H2071" s="10" t="str">
        <f>IF(ROUND(D2071/$B$6,0)&gt;$B$7,"YES","NO")</f>
        <v>YES</v>
      </c>
    </row>
    <row r="2072" spans="1:8">
      <c r="A2072" s="8">
        <v>2062</v>
      </c>
      <c r="B2072" s="9">
        <f>D2071</f>
        <v>2415.234375</v>
      </c>
      <c r="C2072" s="9">
        <f>$B$6</f>
        <v>1.171875</v>
      </c>
      <c r="D2072" s="9">
        <f>B2072+C2072</f>
        <v>2416.40625</v>
      </c>
      <c r="E2072" s="8">
        <f>MIN($B$7,ROUND(D2072/$B$6,0))</f>
        <v>2047</v>
      </c>
      <c r="F2072" s="8" t="str">
        <f>DEC2BIN(INT(E2072/64),5)&amp;DEC2BIN(MOD(E2072,64),6)</f>
        <v>11111111111</v>
      </c>
      <c r="G2072" s="8" t="str">
        <f>DEC2HEX(E2072,3)</f>
        <v>7FF</v>
      </c>
      <c r="H2072" s="8" t="str">
        <f>IF(ROUND(D2072/$B$6,0)&gt;$B$7,"YES","NO")</f>
        <v>YES</v>
      </c>
    </row>
    <row r="2073" spans="1:8">
      <c r="A2073" s="10">
        <v>2063</v>
      </c>
      <c r="B2073" s="11">
        <f>D2072</f>
        <v>2416.40625</v>
      </c>
      <c r="C2073" s="11">
        <f>$B$6</f>
        <v>1.171875</v>
      </c>
      <c r="D2073" s="11">
        <f>B2073+C2073</f>
        <v>2417.578125</v>
      </c>
      <c r="E2073" s="10">
        <f>MIN($B$7,ROUND(D2073/$B$6,0))</f>
        <v>2047</v>
      </c>
      <c r="F2073" s="10" t="str">
        <f>DEC2BIN(INT(E2073/64),5)&amp;DEC2BIN(MOD(E2073,64),6)</f>
        <v>11111111111</v>
      </c>
      <c r="G2073" s="10" t="str">
        <f>DEC2HEX(E2073,3)</f>
        <v>7FF</v>
      </c>
      <c r="H2073" s="10" t="str">
        <f>IF(ROUND(D2073/$B$6,0)&gt;$B$7,"YES","NO")</f>
        <v>YES</v>
      </c>
    </row>
    <row r="2074" spans="1:8">
      <c r="A2074" s="8">
        <v>2064</v>
      </c>
      <c r="B2074" s="9">
        <f>D2073</f>
        <v>2417.578125</v>
      </c>
      <c r="C2074" s="9">
        <f>$B$6</f>
        <v>1.171875</v>
      </c>
      <c r="D2074" s="9">
        <f>B2074+C2074</f>
        <v>2418.75</v>
      </c>
      <c r="E2074" s="8">
        <f>MIN($B$7,ROUND(D2074/$B$6,0))</f>
        <v>2047</v>
      </c>
      <c r="F2074" s="8" t="str">
        <f>DEC2BIN(INT(E2074/64),5)&amp;DEC2BIN(MOD(E2074,64),6)</f>
        <v>11111111111</v>
      </c>
      <c r="G2074" s="8" t="str">
        <f>DEC2HEX(E2074,3)</f>
        <v>7FF</v>
      </c>
      <c r="H2074" s="8" t="str">
        <f>IF(ROUND(D2074/$B$6,0)&gt;$B$7,"YES","NO")</f>
        <v>YES</v>
      </c>
    </row>
    <row r="2075" spans="1:8">
      <c r="A2075" s="10">
        <v>2065</v>
      </c>
      <c r="B2075" s="11">
        <f>D2074</f>
        <v>2418.75</v>
      </c>
      <c r="C2075" s="11">
        <f>$B$6</f>
        <v>1.171875</v>
      </c>
      <c r="D2075" s="11">
        <f>B2075+C2075</f>
        <v>2419.921875</v>
      </c>
      <c r="E2075" s="10">
        <f>MIN($B$7,ROUND(D2075/$B$6,0))</f>
        <v>2047</v>
      </c>
      <c r="F2075" s="10" t="str">
        <f>DEC2BIN(INT(E2075/64),5)&amp;DEC2BIN(MOD(E2075,64),6)</f>
        <v>11111111111</v>
      </c>
      <c r="G2075" s="10" t="str">
        <f>DEC2HEX(E2075,3)</f>
        <v>7FF</v>
      </c>
      <c r="H2075" s="10" t="str">
        <f>IF(ROUND(D2075/$B$6,0)&gt;$B$7,"YES","NO")</f>
        <v>YES</v>
      </c>
    </row>
    <row r="2076" spans="1:8">
      <c r="A2076" s="8">
        <v>2066</v>
      </c>
      <c r="B2076" s="9">
        <f>D2075</f>
        <v>2419.921875</v>
      </c>
      <c r="C2076" s="9">
        <f>$B$6</f>
        <v>1.171875</v>
      </c>
      <c r="D2076" s="9">
        <f>B2076+C2076</f>
        <v>2421.09375</v>
      </c>
      <c r="E2076" s="8">
        <f>MIN($B$7,ROUND(D2076/$B$6,0))</f>
        <v>2047</v>
      </c>
      <c r="F2076" s="8" t="str">
        <f>DEC2BIN(INT(E2076/64),5)&amp;DEC2BIN(MOD(E2076,64),6)</f>
        <v>11111111111</v>
      </c>
      <c r="G2076" s="8" t="str">
        <f>DEC2HEX(E2076,3)</f>
        <v>7FF</v>
      </c>
      <c r="H2076" s="8" t="str">
        <f>IF(ROUND(D2076/$B$6,0)&gt;$B$7,"YES","NO")</f>
        <v>YES</v>
      </c>
    </row>
    <row r="2077" spans="1:8">
      <c r="A2077" s="10">
        <v>2067</v>
      </c>
      <c r="B2077" s="11">
        <f>D2076</f>
        <v>2421.09375</v>
      </c>
      <c r="C2077" s="11">
        <f>$B$6</f>
        <v>1.171875</v>
      </c>
      <c r="D2077" s="11">
        <f>B2077+C2077</f>
        <v>2422.265625</v>
      </c>
      <c r="E2077" s="10">
        <f>MIN($B$7,ROUND(D2077/$B$6,0))</f>
        <v>2047</v>
      </c>
      <c r="F2077" s="10" t="str">
        <f>DEC2BIN(INT(E2077/64),5)&amp;DEC2BIN(MOD(E2077,64),6)</f>
        <v>11111111111</v>
      </c>
      <c r="G2077" s="10" t="str">
        <f>DEC2HEX(E2077,3)</f>
        <v>7FF</v>
      </c>
      <c r="H2077" s="10" t="str">
        <f>IF(ROUND(D2077/$B$6,0)&gt;$B$7,"YES","NO")</f>
        <v>YES</v>
      </c>
    </row>
    <row r="2078" spans="1:8">
      <c r="A2078" s="8">
        <v>2068</v>
      </c>
      <c r="B2078" s="9">
        <f>D2077</f>
        <v>2422.265625</v>
      </c>
      <c r="C2078" s="9">
        <f>$B$6</f>
        <v>1.171875</v>
      </c>
      <c r="D2078" s="9">
        <f>B2078+C2078</f>
        <v>2423.4375</v>
      </c>
      <c r="E2078" s="8">
        <f>MIN($B$7,ROUND(D2078/$B$6,0))</f>
        <v>2047</v>
      </c>
      <c r="F2078" s="8" t="str">
        <f>DEC2BIN(INT(E2078/64),5)&amp;DEC2BIN(MOD(E2078,64),6)</f>
        <v>11111111111</v>
      </c>
      <c r="G2078" s="8" t="str">
        <f>DEC2HEX(E2078,3)</f>
        <v>7FF</v>
      </c>
      <c r="H2078" s="8" t="str">
        <f>IF(ROUND(D2078/$B$6,0)&gt;$B$7,"YES","NO")</f>
        <v>YES</v>
      </c>
    </row>
    <row r="2079" spans="1:8">
      <c r="A2079" s="10">
        <v>2069</v>
      </c>
      <c r="B2079" s="11">
        <f>D2078</f>
        <v>2423.4375</v>
      </c>
      <c r="C2079" s="11">
        <f>$B$6</f>
        <v>1.171875</v>
      </c>
      <c r="D2079" s="11">
        <f>B2079+C2079</f>
        <v>2424.609375</v>
      </c>
      <c r="E2079" s="10">
        <f>MIN($B$7,ROUND(D2079/$B$6,0))</f>
        <v>2047</v>
      </c>
      <c r="F2079" s="10" t="str">
        <f>DEC2BIN(INT(E2079/64),5)&amp;DEC2BIN(MOD(E2079,64),6)</f>
        <v>11111111111</v>
      </c>
      <c r="G2079" s="10" t="str">
        <f>DEC2HEX(E2079,3)</f>
        <v>7FF</v>
      </c>
      <c r="H2079" s="10" t="str">
        <f>IF(ROUND(D2079/$B$6,0)&gt;$B$7,"YES","NO")</f>
        <v>YES</v>
      </c>
    </row>
    <row r="2080" spans="1:8">
      <c r="A2080" s="8">
        <v>2070</v>
      </c>
      <c r="B2080" s="9">
        <f>D2079</f>
        <v>2424.609375</v>
      </c>
      <c r="C2080" s="9">
        <f>$B$6</f>
        <v>1.171875</v>
      </c>
      <c r="D2080" s="9">
        <f>B2080+C2080</f>
        <v>2425.78125</v>
      </c>
      <c r="E2080" s="8">
        <f>MIN($B$7,ROUND(D2080/$B$6,0))</f>
        <v>2047</v>
      </c>
      <c r="F2080" s="8" t="str">
        <f>DEC2BIN(INT(E2080/64),5)&amp;DEC2BIN(MOD(E2080,64),6)</f>
        <v>11111111111</v>
      </c>
      <c r="G2080" s="8" t="str">
        <f>DEC2HEX(E2080,3)</f>
        <v>7FF</v>
      </c>
      <c r="H2080" s="8" t="str">
        <f>IF(ROUND(D2080/$B$6,0)&gt;$B$7,"YES","NO")</f>
        <v>YES</v>
      </c>
    </row>
    <row r="2081" spans="1:8">
      <c r="A2081" s="10">
        <v>2071</v>
      </c>
      <c r="B2081" s="11">
        <f>D2080</f>
        <v>2425.78125</v>
      </c>
      <c r="C2081" s="11">
        <f>$B$6</f>
        <v>1.171875</v>
      </c>
      <c r="D2081" s="11">
        <f>B2081+C2081</f>
        <v>2426.953125</v>
      </c>
      <c r="E2081" s="10">
        <f>MIN($B$7,ROUND(D2081/$B$6,0))</f>
        <v>2047</v>
      </c>
      <c r="F2081" s="10" t="str">
        <f>DEC2BIN(INT(E2081/64),5)&amp;DEC2BIN(MOD(E2081,64),6)</f>
        <v>11111111111</v>
      </c>
      <c r="G2081" s="10" t="str">
        <f>DEC2HEX(E2081,3)</f>
        <v>7FF</v>
      </c>
      <c r="H2081" s="10" t="str">
        <f>IF(ROUND(D2081/$B$6,0)&gt;$B$7,"YES","NO")</f>
        <v>YES</v>
      </c>
    </row>
    <row r="2082" spans="1:8">
      <c r="A2082" s="8">
        <v>2072</v>
      </c>
      <c r="B2082" s="9">
        <f>D2081</f>
        <v>2426.953125</v>
      </c>
      <c r="C2082" s="9">
        <f>$B$6</f>
        <v>1.171875</v>
      </c>
      <c r="D2082" s="9">
        <f>B2082+C2082</f>
        <v>2428.125</v>
      </c>
      <c r="E2082" s="8">
        <f>MIN($B$7,ROUND(D2082/$B$6,0))</f>
        <v>2047</v>
      </c>
      <c r="F2082" s="8" t="str">
        <f>DEC2BIN(INT(E2082/64),5)&amp;DEC2BIN(MOD(E2082,64),6)</f>
        <v>11111111111</v>
      </c>
      <c r="G2082" s="8" t="str">
        <f>DEC2HEX(E2082,3)</f>
        <v>7FF</v>
      </c>
      <c r="H2082" s="8" t="str">
        <f>IF(ROUND(D2082/$B$6,0)&gt;$B$7,"YES","NO")</f>
        <v>YES</v>
      </c>
    </row>
    <row r="2083" spans="1:8">
      <c r="A2083" s="10">
        <v>2073</v>
      </c>
      <c r="B2083" s="11">
        <f>D2082</f>
        <v>2428.125</v>
      </c>
      <c r="C2083" s="11">
        <f>$B$6</f>
        <v>1.171875</v>
      </c>
      <c r="D2083" s="11">
        <f>B2083+C2083</f>
        <v>2429.296875</v>
      </c>
      <c r="E2083" s="10">
        <f>MIN($B$7,ROUND(D2083/$B$6,0))</f>
        <v>2047</v>
      </c>
      <c r="F2083" s="10" t="str">
        <f>DEC2BIN(INT(E2083/64),5)&amp;DEC2BIN(MOD(E2083,64),6)</f>
        <v>11111111111</v>
      </c>
      <c r="G2083" s="10" t="str">
        <f>DEC2HEX(E2083,3)</f>
        <v>7FF</v>
      </c>
      <c r="H2083" s="10" t="str">
        <f>IF(ROUND(D2083/$B$6,0)&gt;$B$7,"YES","NO")</f>
        <v>YES</v>
      </c>
    </row>
    <row r="2084" spans="1:8">
      <c r="A2084" s="8">
        <v>2074</v>
      </c>
      <c r="B2084" s="9">
        <f>D2083</f>
        <v>2429.296875</v>
      </c>
      <c r="C2084" s="9">
        <f>$B$6</f>
        <v>1.171875</v>
      </c>
      <c r="D2084" s="9">
        <f>B2084+C2084</f>
        <v>2430.46875</v>
      </c>
      <c r="E2084" s="8">
        <f>MIN($B$7,ROUND(D2084/$B$6,0))</f>
        <v>2047</v>
      </c>
      <c r="F2084" s="8" t="str">
        <f>DEC2BIN(INT(E2084/64),5)&amp;DEC2BIN(MOD(E2084,64),6)</f>
        <v>11111111111</v>
      </c>
      <c r="G2084" s="8" t="str">
        <f>DEC2HEX(E2084,3)</f>
        <v>7FF</v>
      </c>
      <c r="H2084" s="8" t="str">
        <f>IF(ROUND(D2084/$B$6,0)&gt;$B$7,"YES","NO")</f>
        <v>YES</v>
      </c>
    </row>
    <row r="2085" spans="1:8">
      <c r="A2085" s="10">
        <v>2075</v>
      </c>
      <c r="B2085" s="11">
        <f>D2084</f>
        <v>2430.46875</v>
      </c>
      <c r="C2085" s="11">
        <f>$B$6</f>
        <v>1.171875</v>
      </c>
      <c r="D2085" s="11">
        <f>B2085+C2085</f>
        <v>2431.640625</v>
      </c>
      <c r="E2085" s="10">
        <f>MIN($B$7,ROUND(D2085/$B$6,0))</f>
        <v>2047</v>
      </c>
      <c r="F2085" s="10" t="str">
        <f>DEC2BIN(INT(E2085/64),5)&amp;DEC2BIN(MOD(E2085,64),6)</f>
        <v>11111111111</v>
      </c>
      <c r="G2085" s="10" t="str">
        <f>DEC2HEX(E2085,3)</f>
        <v>7FF</v>
      </c>
      <c r="H2085" s="10" t="str">
        <f>IF(ROUND(D2085/$B$6,0)&gt;$B$7,"YES","NO")</f>
        <v>YES</v>
      </c>
    </row>
    <row r="2086" spans="1:8">
      <c r="A2086" s="8">
        <v>2076</v>
      </c>
      <c r="B2086" s="9">
        <f>D2085</f>
        <v>2431.640625</v>
      </c>
      <c r="C2086" s="9">
        <f>$B$6</f>
        <v>1.171875</v>
      </c>
      <c r="D2086" s="9">
        <f>B2086+C2086</f>
        <v>2432.8125</v>
      </c>
      <c r="E2086" s="8">
        <f>MIN($B$7,ROUND(D2086/$B$6,0))</f>
        <v>2047</v>
      </c>
      <c r="F2086" s="8" t="str">
        <f>DEC2BIN(INT(E2086/64),5)&amp;DEC2BIN(MOD(E2086,64),6)</f>
        <v>11111111111</v>
      </c>
      <c r="G2086" s="8" t="str">
        <f>DEC2HEX(E2086,3)</f>
        <v>7FF</v>
      </c>
      <c r="H2086" s="8" t="str">
        <f>IF(ROUND(D2086/$B$6,0)&gt;$B$7,"YES","NO")</f>
        <v>YES</v>
      </c>
    </row>
    <row r="2087" spans="1:8">
      <c r="A2087" s="10">
        <v>2077</v>
      </c>
      <c r="B2087" s="11">
        <f>D2086</f>
        <v>2432.8125</v>
      </c>
      <c r="C2087" s="11">
        <f>$B$6</f>
        <v>1.171875</v>
      </c>
      <c r="D2087" s="11">
        <f>B2087+C2087</f>
        <v>2433.984375</v>
      </c>
      <c r="E2087" s="10">
        <f>MIN($B$7,ROUND(D2087/$B$6,0))</f>
        <v>2047</v>
      </c>
      <c r="F2087" s="10" t="str">
        <f>DEC2BIN(INT(E2087/64),5)&amp;DEC2BIN(MOD(E2087,64),6)</f>
        <v>11111111111</v>
      </c>
      <c r="G2087" s="10" t="str">
        <f>DEC2HEX(E2087,3)</f>
        <v>7FF</v>
      </c>
      <c r="H2087" s="10" t="str">
        <f>IF(ROUND(D2087/$B$6,0)&gt;$B$7,"YES","NO")</f>
        <v>YES</v>
      </c>
    </row>
    <row r="2088" spans="1:8">
      <c r="A2088" s="8">
        <v>2078</v>
      </c>
      <c r="B2088" s="9">
        <f>D2087</f>
        <v>2433.984375</v>
      </c>
      <c r="C2088" s="9">
        <f>$B$6</f>
        <v>1.171875</v>
      </c>
      <c r="D2088" s="9">
        <f>B2088+C2088</f>
        <v>2435.15625</v>
      </c>
      <c r="E2088" s="8">
        <f>MIN($B$7,ROUND(D2088/$B$6,0))</f>
        <v>2047</v>
      </c>
      <c r="F2088" s="8" t="str">
        <f>DEC2BIN(INT(E2088/64),5)&amp;DEC2BIN(MOD(E2088,64),6)</f>
        <v>11111111111</v>
      </c>
      <c r="G2088" s="8" t="str">
        <f>DEC2HEX(E2088,3)</f>
        <v>7FF</v>
      </c>
      <c r="H2088" s="8" t="str">
        <f>IF(ROUND(D2088/$B$6,0)&gt;$B$7,"YES","NO")</f>
        <v>YES</v>
      </c>
    </row>
    <row r="2089" spans="1:8">
      <c r="A2089" s="10">
        <v>2079</v>
      </c>
      <c r="B2089" s="11">
        <f>D2088</f>
        <v>2435.15625</v>
      </c>
      <c r="C2089" s="11">
        <f>$B$6</f>
        <v>1.171875</v>
      </c>
      <c r="D2089" s="11">
        <f>B2089+C2089</f>
        <v>2436.328125</v>
      </c>
      <c r="E2089" s="10">
        <f>MIN($B$7,ROUND(D2089/$B$6,0))</f>
        <v>2047</v>
      </c>
      <c r="F2089" s="10" t="str">
        <f>DEC2BIN(INT(E2089/64),5)&amp;DEC2BIN(MOD(E2089,64),6)</f>
        <v>11111111111</v>
      </c>
      <c r="G2089" s="10" t="str">
        <f>DEC2HEX(E2089,3)</f>
        <v>7FF</v>
      </c>
      <c r="H2089" s="10" t="str">
        <f>IF(ROUND(D2089/$B$6,0)&gt;$B$7,"YES","NO")</f>
        <v>YES</v>
      </c>
    </row>
    <row r="2090" spans="1:8">
      <c r="A2090" s="8">
        <v>2080</v>
      </c>
      <c r="B2090" s="9">
        <f>D2089</f>
        <v>2436.328125</v>
      </c>
      <c r="C2090" s="9">
        <f>$B$6</f>
        <v>1.171875</v>
      </c>
      <c r="D2090" s="9">
        <f>B2090+C2090</f>
        <v>2437.5</v>
      </c>
      <c r="E2090" s="8">
        <f>MIN($B$7,ROUND(D2090/$B$6,0))</f>
        <v>2047</v>
      </c>
      <c r="F2090" s="8" t="str">
        <f>DEC2BIN(INT(E2090/64),5)&amp;DEC2BIN(MOD(E2090,64),6)</f>
        <v>11111111111</v>
      </c>
      <c r="G2090" s="8" t="str">
        <f>DEC2HEX(E2090,3)</f>
        <v>7FF</v>
      </c>
      <c r="H2090" s="8" t="str">
        <f>IF(ROUND(D2090/$B$6,0)&gt;$B$7,"YES","NO")</f>
        <v>YES</v>
      </c>
    </row>
    <row r="2091" spans="1:8">
      <c r="A2091" s="10">
        <v>2081</v>
      </c>
      <c r="B2091" s="11">
        <f>D2090</f>
        <v>2437.5</v>
      </c>
      <c r="C2091" s="11">
        <f>$B$6</f>
        <v>1.171875</v>
      </c>
      <c r="D2091" s="11">
        <f>B2091+C2091</f>
        <v>2438.671875</v>
      </c>
      <c r="E2091" s="10">
        <f>MIN($B$7,ROUND(D2091/$B$6,0))</f>
        <v>2047</v>
      </c>
      <c r="F2091" s="10" t="str">
        <f>DEC2BIN(INT(E2091/64),5)&amp;DEC2BIN(MOD(E2091,64),6)</f>
        <v>11111111111</v>
      </c>
      <c r="G2091" s="10" t="str">
        <f>DEC2HEX(E2091,3)</f>
        <v>7FF</v>
      </c>
      <c r="H2091" s="10" t="str">
        <f>IF(ROUND(D2091/$B$6,0)&gt;$B$7,"YES","NO")</f>
        <v>YES</v>
      </c>
    </row>
    <row r="2092" spans="1:8">
      <c r="A2092" s="8">
        <v>2082</v>
      </c>
      <c r="B2092" s="9">
        <f>D2091</f>
        <v>2438.671875</v>
      </c>
      <c r="C2092" s="9">
        <f>$B$6</f>
        <v>1.171875</v>
      </c>
      <c r="D2092" s="9">
        <f>B2092+C2092</f>
        <v>2439.84375</v>
      </c>
      <c r="E2092" s="8">
        <f>MIN($B$7,ROUND(D2092/$B$6,0))</f>
        <v>2047</v>
      </c>
      <c r="F2092" s="8" t="str">
        <f>DEC2BIN(INT(E2092/64),5)&amp;DEC2BIN(MOD(E2092,64),6)</f>
        <v>11111111111</v>
      </c>
      <c r="G2092" s="8" t="str">
        <f>DEC2HEX(E2092,3)</f>
        <v>7FF</v>
      </c>
      <c r="H2092" s="8" t="str">
        <f>IF(ROUND(D2092/$B$6,0)&gt;$B$7,"YES","NO")</f>
        <v>YES</v>
      </c>
    </row>
    <row r="2093" spans="1:8">
      <c r="A2093" s="10">
        <v>2083</v>
      </c>
      <c r="B2093" s="11">
        <f>D2092</f>
        <v>2439.84375</v>
      </c>
      <c r="C2093" s="11">
        <f>$B$6</f>
        <v>1.171875</v>
      </c>
      <c r="D2093" s="11">
        <f>B2093+C2093</f>
        <v>2441.015625</v>
      </c>
      <c r="E2093" s="10">
        <f>MIN($B$7,ROUND(D2093/$B$6,0))</f>
        <v>2047</v>
      </c>
      <c r="F2093" s="10" t="str">
        <f>DEC2BIN(INT(E2093/64),5)&amp;DEC2BIN(MOD(E2093,64),6)</f>
        <v>11111111111</v>
      </c>
      <c r="G2093" s="10" t="str">
        <f>DEC2HEX(E2093,3)</f>
        <v>7FF</v>
      </c>
      <c r="H2093" s="10" t="str">
        <f>IF(ROUND(D2093/$B$6,0)&gt;$B$7,"YES","NO")</f>
        <v>YES</v>
      </c>
    </row>
    <row r="2094" spans="1:8">
      <c r="A2094" s="8">
        <v>2084</v>
      </c>
      <c r="B2094" s="9">
        <f>D2093</f>
        <v>2441.015625</v>
      </c>
      <c r="C2094" s="9">
        <f>$B$6</f>
        <v>1.171875</v>
      </c>
      <c r="D2094" s="9">
        <f>B2094+C2094</f>
        <v>2442.1875</v>
      </c>
      <c r="E2094" s="8">
        <f>MIN($B$7,ROUND(D2094/$B$6,0))</f>
        <v>2047</v>
      </c>
      <c r="F2094" s="8" t="str">
        <f>DEC2BIN(INT(E2094/64),5)&amp;DEC2BIN(MOD(E2094,64),6)</f>
        <v>11111111111</v>
      </c>
      <c r="G2094" s="8" t="str">
        <f>DEC2HEX(E2094,3)</f>
        <v>7FF</v>
      </c>
      <c r="H2094" s="8" t="str">
        <f>IF(ROUND(D2094/$B$6,0)&gt;$B$7,"YES","NO")</f>
        <v>YES</v>
      </c>
    </row>
    <row r="2095" spans="1:8">
      <c r="A2095" s="10">
        <v>2085</v>
      </c>
      <c r="B2095" s="11">
        <f>D2094</f>
        <v>2442.1875</v>
      </c>
      <c r="C2095" s="11">
        <f>$B$6</f>
        <v>1.171875</v>
      </c>
      <c r="D2095" s="11">
        <f>B2095+C2095</f>
        <v>2443.359375</v>
      </c>
      <c r="E2095" s="10">
        <f>MIN($B$7,ROUND(D2095/$B$6,0))</f>
        <v>2047</v>
      </c>
      <c r="F2095" s="10" t="str">
        <f>DEC2BIN(INT(E2095/64),5)&amp;DEC2BIN(MOD(E2095,64),6)</f>
        <v>11111111111</v>
      </c>
      <c r="G2095" s="10" t="str">
        <f>DEC2HEX(E2095,3)</f>
        <v>7FF</v>
      </c>
      <c r="H2095" s="10" t="str">
        <f>IF(ROUND(D2095/$B$6,0)&gt;$B$7,"YES","NO")</f>
        <v>YES</v>
      </c>
    </row>
    <row r="2096" spans="1:8">
      <c r="A2096" s="8">
        <v>2086</v>
      </c>
      <c r="B2096" s="9">
        <f>D2095</f>
        <v>2443.359375</v>
      </c>
      <c r="C2096" s="9">
        <f>$B$6</f>
        <v>1.171875</v>
      </c>
      <c r="D2096" s="9">
        <f>B2096+C2096</f>
        <v>2444.53125</v>
      </c>
      <c r="E2096" s="8">
        <f>MIN($B$7,ROUND(D2096/$B$6,0))</f>
        <v>2047</v>
      </c>
      <c r="F2096" s="8" t="str">
        <f>DEC2BIN(INT(E2096/64),5)&amp;DEC2BIN(MOD(E2096,64),6)</f>
        <v>11111111111</v>
      </c>
      <c r="G2096" s="8" t="str">
        <f>DEC2HEX(E2096,3)</f>
        <v>7FF</v>
      </c>
      <c r="H2096" s="8" t="str">
        <f>IF(ROUND(D2096/$B$6,0)&gt;$B$7,"YES","NO")</f>
        <v>YES</v>
      </c>
    </row>
    <row r="2097" spans="1:8">
      <c r="A2097" s="10">
        <v>2087</v>
      </c>
      <c r="B2097" s="11">
        <f>D2096</f>
        <v>2444.53125</v>
      </c>
      <c r="C2097" s="11">
        <f>$B$6</f>
        <v>1.171875</v>
      </c>
      <c r="D2097" s="11">
        <f>B2097+C2097</f>
        <v>2445.703125</v>
      </c>
      <c r="E2097" s="10">
        <f>MIN($B$7,ROUND(D2097/$B$6,0))</f>
        <v>2047</v>
      </c>
      <c r="F2097" s="10" t="str">
        <f>DEC2BIN(INT(E2097/64),5)&amp;DEC2BIN(MOD(E2097,64),6)</f>
        <v>11111111111</v>
      </c>
      <c r="G2097" s="10" t="str">
        <f>DEC2HEX(E2097,3)</f>
        <v>7FF</v>
      </c>
      <c r="H2097" s="10" t="str">
        <f>IF(ROUND(D2097/$B$6,0)&gt;$B$7,"YES","NO")</f>
        <v>YES</v>
      </c>
    </row>
    <row r="2098" spans="1:8">
      <c r="A2098" s="8">
        <v>2088</v>
      </c>
      <c r="B2098" s="9">
        <f>D2097</f>
        <v>2445.703125</v>
      </c>
      <c r="C2098" s="9">
        <f>$B$6</f>
        <v>1.171875</v>
      </c>
      <c r="D2098" s="9">
        <f>B2098+C2098</f>
        <v>2446.875</v>
      </c>
      <c r="E2098" s="8">
        <f>MIN($B$7,ROUND(D2098/$B$6,0))</f>
        <v>2047</v>
      </c>
      <c r="F2098" s="8" t="str">
        <f>DEC2BIN(INT(E2098/64),5)&amp;DEC2BIN(MOD(E2098,64),6)</f>
        <v>11111111111</v>
      </c>
      <c r="G2098" s="8" t="str">
        <f>DEC2HEX(E2098,3)</f>
        <v>7FF</v>
      </c>
      <c r="H2098" s="8" t="str">
        <f>IF(ROUND(D2098/$B$6,0)&gt;$B$7,"YES","NO")</f>
        <v>YES</v>
      </c>
    </row>
    <row r="2099" spans="1:8">
      <c r="A2099" s="10">
        <v>2089</v>
      </c>
      <c r="B2099" s="11">
        <f>D2098</f>
        <v>2446.875</v>
      </c>
      <c r="C2099" s="11">
        <f>$B$6</f>
        <v>1.171875</v>
      </c>
      <c r="D2099" s="11">
        <f>B2099+C2099</f>
        <v>2448.046875</v>
      </c>
      <c r="E2099" s="10">
        <f>MIN($B$7,ROUND(D2099/$B$6,0))</f>
        <v>2047</v>
      </c>
      <c r="F2099" s="10" t="str">
        <f>DEC2BIN(INT(E2099/64),5)&amp;DEC2BIN(MOD(E2099,64),6)</f>
        <v>11111111111</v>
      </c>
      <c r="G2099" s="10" t="str">
        <f>DEC2HEX(E2099,3)</f>
        <v>7FF</v>
      </c>
      <c r="H2099" s="10" t="str">
        <f>IF(ROUND(D2099/$B$6,0)&gt;$B$7,"YES","NO")</f>
        <v>YES</v>
      </c>
    </row>
    <row r="2100" spans="1:8">
      <c r="A2100" s="8">
        <v>2090</v>
      </c>
      <c r="B2100" s="9">
        <f>D2099</f>
        <v>2448.046875</v>
      </c>
      <c r="C2100" s="9">
        <f>$B$6</f>
        <v>1.171875</v>
      </c>
      <c r="D2100" s="9">
        <f>B2100+C2100</f>
        <v>2449.21875</v>
      </c>
      <c r="E2100" s="8">
        <f>MIN($B$7,ROUND(D2100/$B$6,0))</f>
        <v>2047</v>
      </c>
      <c r="F2100" s="8" t="str">
        <f>DEC2BIN(INT(E2100/64),5)&amp;DEC2BIN(MOD(E2100,64),6)</f>
        <v>11111111111</v>
      </c>
      <c r="G2100" s="8" t="str">
        <f>DEC2HEX(E2100,3)</f>
        <v>7FF</v>
      </c>
      <c r="H2100" s="8" t="str">
        <f>IF(ROUND(D2100/$B$6,0)&gt;$B$7,"YES","NO")</f>
        <v>YES</v>
      </c>
    </row>
    <row r="2101" spans="1:8">
      <c r="A2101" s="10">
        <v>2091</v>
      </c>
      <c r="B2101" s="11">
        <f>D2100</f>
        <v>2449.21875</v>
      </c>
      <c r="C2101" s="11">
        <f>$B$6</f>
        <v>1.171875</v>
      </c>
      <c r="D2101" s="11">
        <f>B2101+C2101</f>
        <v>2450.390625</v>
      </c>
      <c r="E2101" s="10">
        <f>MIN($B$7,ROUND(D2101/$B$6,0))</f>
        <v>2047</v>
      </c>
      <c r="F2101" s="10" t="str">
        <f>DEC2BIN(INT(E2101/64),5)&amp;DEC2BIN(MOD(E2101,64),6)</f>
        <v>11111111111</v>
      </c>
      <c r="G2101" s="10" t="str">
        <f>DEC2HEX(E2101,3)</f>
        <v>7FF</v>
      </c>
      <c r="H2101" s="10" t="str">
        <f>IF(ROUND(D2101/$B$6,0)&gt;$B$7,"YES","NO")</f>
        <v>YES</v>
      </c>
    </row>
    <row r="2102" spans="1:8">
      <c r="A2102" s="8">
        <v>2092</v>
      </c>
      <c r="B2102" s="9">
        <f>D2101</f>
        <v>2450.390625</v>
      </c>
      <c r="C2102" s="9">
        <f>$B$6</f>
        <v>1.171875</v>
      </c>
      <c r="D2102" s="9">
        <f>B2102+C2102</f>
        <v>2451.5625</v>
      </c>
      <c r="E2102" s="8">
        <f>MIN($B$7,ROUND(D2102/$B$6,0))</f>
        <v>2047</v>
      </c>
      <c r="F2102" s="8" t="str">
        <f>DEC2BIN(INT(E2102/64),5)&amp;DEC2BIN(MOD(E2102,64),6)</f>
        <v>11111111111</v>
      </c>
      <c r="G2102" s="8" t="str">
        <f>DEC2HEX(E2102,3)</f>
        <v>7FF</v>
      </c>
      <c r="H2102" s="8" t="str">
        <f>IF(ROUND(D2102/$B$6,0)&gt;$B$7,"YES","NO")</f>
        <v>YES</v>
      </c>
    </row>
    <row r="2103" spans="1:8">
      <c r="A2103" s="10">
        <v>2093</v>
      </c>
      <c r="B2103" s="11">
        <f>D2102</f>
        <v>2451.5625</v>
      </c>
      <c r="C2103" s="11">
        <f>$B$6</f>
        <v>1.171875</v>
      </c>
      <c r="D2103" s="11">
        <f>B2103+C2103</f>
        <v>2452.734375</v>
      </c>
      <c r="E2103" s="10">
        <f>MIN($B$7,ROUND(D2103/$B$6,0))</f>
        <v>2047</v>
      </c>
      <c r="F2103" s="10" t="str">
        <f>DEC2BIN(INT(E2103/64),5)&amp;DEC2BIN(MOD(E2103,64),6)</f>
        <v>11111111111</v>
      </c>
      <c r="G2103" s="10" t="str">
        <f>DEC2HEX(E2103,3)</f>
        <v>7FF</v>
      </c>
      <c r="H2103" s="10" t="str">
        <f>IF(ROUND(D2103/$B$6,0)&gt;$B$7,"YES","NO")</f>
        <v>YES</v>
      </c>
    </row>
    <row r="2104" spans="1:8">
      <c r="A2104" s="8">
        <v>2094</v>
      </c>
      <c r="B2104" s="9">
        <f>D2103</f>
        <v>2452.734375</v>
      </c>
      <c r="C2104" s="9">
        <f>$B$6</f>
        <v>1.171875</v>
      </c>
      <c r="D2104" s="9">
        <f>B2104+C2104</f>
        <v>2453.90625</v>
      </c>
      <c r="E2104" s="8">
        <f>MIN($B$7,ROUND(D2104/$B$6,0))</f>
        <v>2047</v>
      </c>
      <c r="F2104" s="8" t="str">
        <f>DEC2BIN(INT(E2104/64),5)&amp;DEC2BIN(MOD(E2104,64),6)</f>
        <v>11111111111</v>
      </c>
      <c r="G2104" s="8" t="str">
        <f>DEC2HEX(E2104,3)</f>
        <v>7FF</v>
      </c>
      <c r="H2104" s="8" t="str">
        <f>IF(ROUND(D2104/$B$6,0)&gt;$B$7,"YES","NO")</f>
        <v>YES</v>
      </c>
    </row>
    <row r="2105" spans="1:8">
      <c r="A2105" s="10">
        <v>2095</v>
      </c>
      <c r="B2105" s="11">
        <f>D2104</f>
        <v>2453.90625</v>
      </c>
      <c r="C2105" s="11">
        <f>$B$6</f>
        <v>1.171875</v>
      </c>
      <c r="D2105" s="11">
        <f>B2105+C2105</f>
        <v>2455.078125</v>
      </c>
      <c r="E2105" s="10">
        <f>MIN($B$7,ROUND(D2105/$B$6,0))</f>
        <v>2047</v>
      </c>
      <c r="F2105" s="10" t="str">
        <f>DEC2BIN(INT(E2105/64),5)&amp;DEC2BIN(MOD(E2105,64),6)</f>
        <v>11111111111</v>
      </c>
      <c r="G2105" s="10" t="str">
        <f>DEC2HEX(E2105,3)</f>
        <v>7FF</v>
      </c>
      <c r="H2105" s="10" t="str">
        <f>IF(ROUND(D2105/$B$6,0)&gt;$B$7,"YES","NO")</f>
        <v>YES</v>
      </c>
    </row>
    <row r="2106" spans="1:8">
      <c r="A2106" s="8">
        <v>2096</v>
      </c>
      <c r="B2106" s="9">
        <f>D2105</f>
        <v>2455.078125</v>
      </c>
      <c r="C2106" s="9">
        <f>$B$6</f>
        <v>1.171875</v>
      </c>
      <c r="D2106" s="9">
        <f>B2106+C2106</f>
        <v>2456.25</v>
      </c>
      <c r="E2106" s="8">
        <f>MIN($B$7,ROUND(D2106/$B$6,0))</f>
        <v>2047</v>
      </c>
      <c r="F2106" s="8" t="str">
        <f>DEC2BIN(INT(E2106/64),5)&amp;DEC2BIN(MOD(E2106,64),6)</f>
        <v>11111111111</v>
      </c>
      <c r="G2106" s="8" t="str">
        <f>DEC2HEX(E2106,3)</f>
        <v>7FF</v>
      </c>
      <c r="H2106" s="8" t="str">
        <f>IF(ROUND(D2106/$B$6,0)&gt;$B$7,"YES","NO")</f>
        <v>YES</v>
      </c>
    </row>
    <row r="2107" spans="1:8">
      <c r="A2107" s="10">
        <v>2097</v>
      </c>
      <c r="B2107" s="11">
        <f>D2106</f>
        <v>2456.25</v>
      </c>
      <c r="C2107" s="11">
        <f>$B$6</f>
        <v>1.171875</v>
      </c>
      <c r="D2107" s="11">
        <f>B2107+C2107</f>
        <v>2457.421875</v>
      </c>
      <c r="E2107" s="10">
        <f>MIN($B$7,ROUND(D2107/$B$6,0))</f>
        <v>2047</v>
      </c>
      <c r="F2107" s="10" t="str">
        <f>DEC2BIN(INT(E2107/64),5)&amp;DEC2BIN(MOD(E2107,64),6)</f>
        <v>11111111111</v>
      </c>
      <c r="G2107" s="10" t="str">
        <f>DEC2HEX(E2107,3)</f>
        <v>7FF</v>
      </c>
      <c r="H2107" s="10" t="str">
        <f>IF(ROUND(D2107/$B$6,0)&gt;$B$7,"YES","NO")</f>
        <v>YES</v>
      </c>
    </row>
    <row r="2108" spans="1:8">
      <c r="A2108" s="8">
        <v>2098</v>
      </c>
      <c r="B2108" s="9">
        <f>D2107</f>
        <v>2457.421875</v>
      </c>
      <c r="C2108" s="9">
        <f>$B$6</f>
        <v>1.171875</v>
      </c>
      <c r="D2108" s="9">
        <f>B2108+C2108</f>
        <v>2458.59375</v>
      </c>
      <c r="E2108" s="8">
        <f>MIN($B$7,ROUND(D2108/$B$6,0))</f>
        <v>2047</v>
      </c>
      <c r="F2108" s="8" t="str">
        <f>DEC2BIN(INT(E2108/64),5)&amp;DEC2BIN(MOD(E2108,64),6)</f>
        <v>11111111111</v>
      </c>
      <c r="G2108" s="8" t="str">
        <f>DEC2HEX(E2108,3)</f>
        <v>7FF</v>
      </c>
      <c r="H2108" s="8" t="str">
        <f>IF(ROUND(D2108/$B$6,0)&gt;$B$7,"YES","NO")</f>
        <v>YES</v>
      </c>
    </row>
    <row r="2109" spans="1:8">
      <c r="A2109" s="10">
        <v>2099</v>
      </c>
      <c r="B2109" s="11">
        <f>D2108</f>
        <v>2458.59375</v>
      </c>
      <c r="C2109" s="11">
        <f>$B$6</f>
        <v>1.171875</v>
      </c>
      <c r="D2109" s="11">
        <f>B2109+C2109</f>
        <v>2459.765625</v>
      </c>
      <c r="E2109" s="10">
        <f>MIN($B$7,ROUND(D2109/$B$6,0))</f>
        <v>2047</v>
      </c>
      <c r="F2109" s="10" t="str">
        <f>DEC2BIN(INT(E2109/64),5)&amp;DEC2BIN(MOD(E2109,64),6)</f>
        <v>11111111111</v>
      </c>
      <c r="G2109" s="10" t="str">
        <f>DEC2HEX(E2109,3)</f>
        <v>7FF</v>
      </c>
      <c r="H2109" s="10" t="str">
        <f>IF(ROUND(D2109/$B$6,0)&gt;$B$7,"YES","NO")</f>
        <v>YES</v>
      </c>
    </row>
    <row r="2110" spans="1:8">
      <c r="A2110" s="8">
        <v>2100</v>
      </c>
      <c r="B2110" s="9">
        <f>D2109</f>
        <v>2459.765625</v>
      </c>
      <c r="C2110" s="9">
        <f>$B$6</f>
        <v>1.171875</v>
      </c>
      <c r="D2110" s="9">
        <f>B2110+C2110</f>
        <v>2460.9375</v>
      </c>
      <c r="E2110" s="8">
        <f>MIN($B$7,ROUND(D2110/$B$6,0))</f>
        <v>2047</v>
      </c>
      <c r="F2110" s="8" t="str">
        <f>DEC2BIN(INT(E2110/64),5)&amp;DEC2BIN(MOD(E2110,64),6)</f>
        <v>11111111111</v>
      </c>
      <c r="G2110" s="8" t="str">
        <f>DEC2HEX(E2110,3)</f>
        <v>7FF</v>
      </c>
      <c r="H2110" s="8" t="str">
        <f>IF(ROUND(D2110/$B$6,0)&gt;$B$7,"YES","NO")</f>
        <v>YES</v>
      </c>
    </row>
    <row r="2111" spans="1:8">
      <c r="A2111" s="10">
        <v>2101</v>
      </c>
      <c r="B2111" s="11">
        <f>D2110</f>
        <v>2460.9375</v>
      </c>
      <c r="C2111" s="11">
        <f>$B$6</f>
        <v>1.171875</v>
      </c>
      <c r="D2111" s="11">
        <f>B2111+C2111</f>
        <v>2462.109375</v>
      </c>
      <c r="E2111" s="10">
        <f>MIN($B$7,ROUND(D2111/$B$6,0))</f>
        <v>2047</v>
      </c>
      <c r="F2111" s="10" t="str">
        <f>DEC2BIN(INT(E2111/64),5)&amp;DEC2BIN(MOD(E2111,64),6)</f>
        <v>11111111111</v>
      </c>
      <c r="G2111" s="10" t="str">
        <f>DEC2HEX(E2111,3)</f>
        <v>7FF</v>
      </c>
      <c r="H2111" s="10" t="str">
        <f>IF(ROUND(D2111/$B$6,0)&gt;$B$7,"YES","NO")</f>
        <v>YES</v>
      </c>
    </row>
    <row r="2112" spans="1:8">
      <c r="A2112" s="8">
        <v>2102</v>
      </c>
      <c r="B2112" s="9">
        <f>D2111</f>
        <v>2462.109375</v>
      </c>
      <c r="C2112" s="9">
        <f>$B$6</f>
        <v>1.171875</v>
      </c>
      <c r="D2112" s="9">
        <f>B2112+C2112</f>
        <v>2463.28125</v>
      </c>
      <c r="E2112" s="8">
        <f>MIN($B$7,ROUND(D2112/$B$6,0))</f>
        <v>2047</v>
      </c>
      <c r="F2112" s="8" t="str">
        <f>DEC2BIN(INT(E2112/64),5)&amp;DEC2BIN(MOD(E2112,64),6)</f>
        <v>11111111111</v>
      </c>
      <c r="G2112" s="8" t="str">
        <f>DEC2HEX(E2112,3)</f>
        <v>7FF</v>
      </c>
      <c r="H2112" s="8" t="str">
        <f>IF(ROUND(D2112/$B$6,0)&gt;$B$7,"YES","NO")</f>
        <v>YES</v>
      </c>
    </row>
    <row r="2113" spans="1:8">
      <c r="A2113" s="10">
        <v>2103</v>
      </c>
      <c r="B2113" s="11">
        <f>D2112</f>
        <v>2463.28125</v>
      </c>
      <c r="C2113" s="11">
        <f>$B$6</f>
        <v>1.171875</v>
      </c>
      <c r="D2113" s="11">
        <f>B2113+C2113</f>
        <v>2464.453125</v>
      </c>
      <c r="E2113" s="10">
        <f>MIN($B$7,ROUND(D2113/$B$6,0))</f>
        <v>2047</v>
      </c>
      <c r="F2113" s="10" t="str">
        <f>DEC2BIN(INT(E2113/64),5)&amp;DEC2BIN(MOD(E2113,64),6)</f>
        <v>11111111111</v>
      </c>
      <c r="G2113" s="10" t="str">
        <f>DEC2HEX(E2113,3)</f>
        <v>7FF</v>
      </c>
      <c r="H2113" s="10" t="str">
        <f>IF(ROUND(D2113/$B$6,0)&gt;$B$7,"YES","NO")</f>
        <v>YES</v>
      </c>
    </row>
    <row r="2114" spans="1:8">
      <c r="A2114" s="8">
        <v>2104</v>
      </c>
      <c r="B2114" s="9">
        <f>D2113</f>
        <v>2464.453125</v>
      </c>
      <c r="C2114" s="9">
        <f>$B$6</f>
        <v>1.171875</v>
      </c>
      <c r="D2114" s="9">
        <f>B2114+C2114</f>
        <v>2465.625</v>
      </c>
      <c r="E2114" s="8">
        <f>MIN($B$7,ROUND(D2114/$B$6,0))</f>
        <v>2047</v>
      </c>
      <c r="F2114" s="8" t="str">
        <f>DEC2BIN(INT(E2114/64),5)&amp;DEC2BIN(MOD(E2114,64),6)</f>
        <v>11111111111</v>
      </c>
      <c r="G2114" s="8" t="str">
        <f>DEC2HEX(E2114,3)</f>
        <v>7FF</v>
      </c>
      <c r="H2114" s="8" t="str">
        <f>IF(ROUND(D2114/$B$6,0)&gt;$B$7,"YES","NO")</f>
        <v>YES</v>
      </c>
    </row>
    <row r="2115" spans="1:8">
      <c r="A2115" s="10">
        <v>2105</v>
      </c>
      <c r="B2115" s="11">
        <f>D2114</f>
        <v>2465.625</v>
      </c>
      <c r="C2115" s="11">
        <f>$B$6</f>
        <v>1.171875</v>
      </c>
      <c r="D2115" s="11">
        <f>B2115+C2115</f>
        <v>2466.796875</v>
      </c>
      <c r="E2115" s="10">
        <f>MIN($B$7,ROUND(D2115/$B$6,0))</f>
        <v>2047</v>
      </c>
      <c r="F2115" s="10" t="str">
        <f>DEC2BIN(INT(E2115/64),5)&amp;DEC2BIN(MOD(E2115,64),6)</f>
        <v>11111111111</v>
      </c>
      <c r="G2115" s="10" t="str">
        <f>DEC2HEX(E2115,3)</f>
        <v>7FF</v>
      </c>
      <c r="H2115" s="10" t="str">
        <f>IF(ROUND(D2115/$B$6,0)&gt;$B$7,"YES","NO")</f>
        <v>YES</v>
      </c>
    </row>
    <row r="2116" spans="1:8">
      <c r="A2116" s="8">
        <v>2106</v>
      </c>
      <c r="B2116" s="9">
        <f>D2115</f>
        <v>2466.796875</v>
      </c>
      <c r="C2116" s="9">
        <f>$B$6</f>
        <v>1.171875</v>
      </c>
      <c r="D2116" s="9">
        <f>B2116+C2116</f>
        <v>2467.96875</v>
      </c>
      <c r="E2116" s="8">
        <f>MIN($B$7,ROUND(D2116/$B$6,0))</f>
        <v>2047</v>
      </c>
      <c r="F2116" s="8" t="str">
        <f>DEC2BIN(INT(E2116/64),5)&amp;DEC2BIN(MOD(E2116,64),6)</f>
        <v>11111111111</v>
      </c>
      <c r="G2116" s="8" t="str">
        <f>DEC2HEX(E2116,3)</f>
        <v>7FF</v>
      </c>
      <c r="H2116" s="8" t="str">
        <f>IF(ROUND(D2116/$B$6,0)&gt;$B$7,"YES","NO")</f>
        <v>YES</v>
      </c>
    </row>
    <row r="2117" spans="1:8">
      <c r="A2117" s="10">
        <v>2107</v>
      </c>
      <c r="B2117" s="11">
        <f>D2116</f>
        <v>2467.96875</v>
      </c>
      <c r="C2117" s="11">
        <f>$B$6</f>
        <v>1.171875</v>
      </c>
      <c r="D2117" s="11">
        <f>B2117+C2117</f>
        <v>2469.140625</v>
      </c>
      <c r="E2117" s="10">
        <f>MIN($B$7,ROUND(D2117/$B$6,0))</f>
        <v>2047</v>
      </c>
      <c r="F2117" s="10" t="str">
        <f>DEC2BIN(INT(E2117/64),5)&amp;DEC2BIN(MOD(E2117,64),6)</f>
        <v>11111111111</v>
      </c>
      <c r="G2117" s="10" t="str">
        <f>DEC2HEX(E2117,3)</f>
        <v>7FF</v>
      </c>
      <c r="H2117" s="10" t="str">
        <f>IF(ROUND(D2117/$B$6,0)&gt;$B$7,"YES","NO")</f>
        <v>YES</v>
      </c>
    </row>
    <row r="2118" spans="1:8">
      <c r="A2118" s="8">
        <v>2108</v>
      </c>
      <c r="B2118" s="9">
        <f>D2117</f>
        <v>2469.140625</v>
      </c>
      <c r="C2118" s="9">
        <f>$B$6</f>
        <v>1.171875</v>
      </c>
      <c r="D2118" s="9">
        <f>B2118+C2118</f>
        <v>2470.3125</v>
      </c>
      <c r="E2118" s="8">
        <f>MIN($B$7,ROUND(D2118/$B$6,0))</f>
        <v>2047</v>
      </c>
      <c r="F2118" s="8" t="str">
        <f>DEC2BIN(INT(E2118/64),5)&amp;DEC2BIN(MOD(E2118,64),6)</f>
        <v>11111111111</v>
      </c>
      <c r="G2118" s="8" t="str">
        <f>DEC2HEX(E2118,3)</f>
        <v>7FF</v>
      </c>
      <c r="H2118" s="8" t="str">
        <f>IF(ROUND(D2118/$B$6,0)&gt;$B$7,"YES","NO")</f>
        <v>YES</v>
      </c>
    </row>
    <row r="2119" spans="1:8">
      <c r="A2119" s="10">
        <v>2109</v>
      </c>
      <c r="B2119" s="11">
        <f>D2118</f>
        <v>2470.3125</v>
      </c>
      <c r="C2119" s="11">
        <f>$B$6</f>
        <v>1.171875</v>
      </c>
      <c r="D2119" s="11">
        <f>B2119+C2119</f>
        <v>2471.484375</v>
      </c>
      <c r="E2119" s="10">
        <f>MIN($B$7,ROUND(D2119/$B$6,0))</f>
        <v>2047</v>
      </c>
      <c r="F2119" s="10" t="str">
        <f>DEC2BIN(INT(E2119/64),5)&amp;DEC2BIN(MOD(E2119,64),6)</f>
        <v>11111111111</v>
      </c>
      <c r="G2119" s="10" t="str">
        <f>DEC2HEX(E2119,3)</f>
        <v>7FF</v>
      </c>
      <c r="H2119" s="10" t="str">
        <f>IF(ROUND(D2119/$B$6,0)&gt;$B$7,"YES","NO")</f>
        <v>YES</v>
      </c>
    </row>
    <row r="2120" spans="1:8">
      <c r="A2120" s="8">
        <v>2110</v>
      </c>
      <c r="B2120" s="9">
        <f>D2119</f>
        <v>2471.484375</v>
      </c>
      <c r="C2120" s="9">
        <f>$B$6</f>
        <v>1.171875</v>
      </c>
      <c r="D2120" s="9">
        <f>B2120+C2120</f>
        <v>2472.65625</v>
      </c>
      <c r="E2120" s="8">
        <f>MIN($B$7,ROUND(D2120/$B$6,0))</f>
        <v>2047</v>
      </c>
      <c r="F2120" s="8" t="str">
        <f>DEC2BIN(INT(E2120/64),5)&amp;DEC2BIN(MOD(E2120,64),6)</f>
        <v>11111111111</v>
      </c>
      <c r="G2120" s="8" t="str">
        <f>DEC2HEX(E2120,3)</f>
        <v>7FF</v>
      </c>
      <c r="H2120" s="8" t="str">
        <f>IF(ROUND(D2120/$B$6,0)&gt;$B$7,"YES","NO")</f>
        <v>YES</v>
      </c>
    </row>
    <row r="2121" spans="1:8">
      <c r="A2121" s="10">
        <v>2111</v>
      </c>
      <c r="B2121" s="11">
        <f>D2120</f>
        <v>2472.65625</v>
      </c>
      <c r="C2121" s="11">
        <f>$B$6</f>
        <v>1.171875</v>
      </c>
      <c r="D2121" s="11">
        <f>B2121+C2121</f>
        <v>2473.828125</v>
      </c>
      <c r="E2121" s="10">
        <f>MIN($B$7,ROUND(D2121/$B$6,0))</f>
        <v>2047</v>
      </c>
      <c r="F2121" s="10" t="str">
        <f>DEC2BIN(INT(E2121/64),5)&amp;DEC2BIN(MOD(E2121,64),6)</f>
        <v>11111111111</v>
      </c>
      <c r="G2121" s="10" t="str">
        <f>DEC2HEX(E2121,3)</f>
        <v>7FF</v>
      </c>
      <c r="H2121" s="10" t="str">
        <f>IF(ROUND(D2121/$B$6,0)&gt;$B$7,"YES","NO")</f>
        <v>YES</v>
      </c>
    </row>
    <row r="2122" spans="1:8">
      <c r="A2122" s="8">
        <v>2112</v>
      </c>
      <c r="B2122" s="9">
        <f>D2121</f>
        <v>2473.828125</v>
      </c>
      <c r="C2122" s="9">
        <f>$B$6</f>
        <v>1.171875</v>
      </c>
      <c r="D2122" s="9">
        <f>B2122+C2122</f>
        <v>2475</v>
      </c>
      <c r="E2122" s="8">
        <f>MIN($B$7,ROUND(D2122/$B$6,0))</f>
        <v>2047</v>
      </c>
      <c r="F2122" s="8" t="str">
        <f>DEC2BIN(INT(E2122/64),5)&amp;DEC2BIN(MOD(E2122,64),6)</f>
        <v>11111111111</v>
      </c>
      <c r="G2122" s="8" t="str">
        <f>DEC2HEX(E2122,3)</f>
        <v>7FF</v>
      </c>
      <c r="H2122" s="8" t="str">
        <f>IF(ROUND(D2122/$B$6,0)&gt;$B$7,"YES","NO")</f>
        <v>YES</v>
      </c>
    </row>
    <row r="2123" spans="1:8">
      <c r="A2123" s="10">
        <v>2113</v>
      </c>
      <c r="B2123" s="11">
        <f>D2122</f>
        <v>2475</v>
      </c>
      <c r="C2123" s="11">
        <f>$B$6</f>
        <v>1.171875</v>
      </c>
      <c r="D2123" s="11">
        <f>B2123+C2123</f>
        <v>2476.171875</v>
      </c>
      <c r="E2123" s="10">
        <f>MIN($B$7,ROUND(D2123/$B$6,0))</f>
        <v>2047</v>
      </c>
      <c r="F2123" s="10" t="str">
        <f>DEC2BIN(INT(E2123/64),5)&amp;DEC2BIN(MOD(E2123,64),6)</f>
        <v>11111111111</v>
      </c>
      <c r="G2123" s="10" t="str">
        <f>DEC2HEX(E2123,3)</f>
        <v>7FF</v>
      </c>
      <c r="H2123" s="10" t="str">
        <f>IF(ROUND(D2123/$B$6,0)&gt;$B$7,"YES","NO")</f>
        <v>YES</v>
      </c>
    </row>
    <row r="2124" spans="1:8">
      <c r="A2124" s="8">
        <v>2114</v>
      </c>
      <c r="B2124" s="9">
        <f>D2123</f>
        <v>2476.171875</v>
      </c>
      <c r="C2124" s="9">
        <f>$B$6</f>
        <v>1.171875</v>
      </c>
      <c r="D2124" s="9">
        <f>B2124+C2124</f>
        <v>2477.34375</v>
      </c>
      <c r="E2124" s="8">
        <f>MIN($B$7,ROUND(D2124/$B$6,0))</f>
        <v>2047</v>
      </c>
      <c r="F2124" s="8" t="str">
        <f>DEC2BIN(INT(E2124/64),5)&amp;DEC2BIN(MOD(E2124,64),6)</f>
        <v>11111111111</v>
      </c>
      <c r="G2124" s="8" t="str">
        <f>DEC2HEX(E2124,3)</f>
        <v>7FF</v>
      </c>
      <c r="H2124" s="8" t="str">
        <f>IF(ROUND(D2124/$B$6,0)&gt;$B$7,"YES","NO")</f>
        <v>YES</v>
      </c>
    </row>
    <row r="2125" spans="1:8">
      <c r="A2125" s="10">
        <v>2115</v>
      </c>
      <c r="B2125" s="11">
        <f>D2124</f>
        <v>2477.34375</v>
      </c>
      <c r="C2125" s="11">
        <f>$B$6</f>
        <v>1.171875</v>
      </c>
      <c r="D2125" s="11">
        <f>B2125+C2125</f>
        <v>2478.515625</v>
      </c>
      <c r="E2125" s="10">
        <f>MIN($B$7,ROUND(D2125/$B$6,0))</f>
        <v>2047</v>
      </c>
      <c r="F2125" s="10" t="str">
        <f>DEC2BIN(INT(E2125/64),5)&amp;DEC2BIN(MOD(E2125,64),6)</f>
        <v>11111111111</v>
      </c>
      <c r="G2125" s="10" t="str">
        <f>DEC2HEX(E2125,3)</f>
        <v>7FF</v>
      </c>
      <c r="H2125" s="10" t="str">
        <f>IF(ROUND(D2125/$B$6,0)&gt;$B$7,"YES","NO")</f>
        <v>YES</v>
      </c>
    </row>
    <row r="2126" spans="1:8">
      <c r="A2126" s="8">
        <v>2116</v>
      </c>
      <c r="B2126" s="9">
        <f>D2125</f>
        <v>2478.515625</v>
      </c>
      <c r="C2126" s="9">
        <f>$B$6</f>
        <v>1.171875</v>
      </c>
      <c r="D2126" s="9">
        <f>B2126+C2126</f>
        <v>2479.6875</v>
      </c>
      <c r="E2126" s="8">
        <f>MIN($B$7,ROUND(D2126/$B$6,0))</f>
        <v>2047</v>
      </c>
      <c r="F2126" s="8" t="str">
        <f>DEC2BIN(INT(E2126/64),5)&amp;DEC2BIN(MOD(E2126,64),6)</f>
        <v>11111111111</v>
      </c>
      <c r="G2126" s="8" t="str">
        <f>DEC2HEX(E2126,3)</f>
        <v>7FF</v>
      </c>
      <c r="H2126" s="8" t="str">
        <f>IF(ROUND(D2126/$B$6,0)&gt;$B$7,"YES","NO")</f>
        <v>YES</v>
      </c>
    </row>
    <row r="2127" spans="1:8">
      <c r="A2127" s="10">
        <v>2117</v>
      </c>
      <c r="B2127" s="11">
        <f>D2126</f>
        <v>2479.6875</v>
      </c>
      <c r="C2127" s="11">
        <f>$B$6</f>
        <v>1.171875</v>
      </c>
      <c r="D2127" s="11">
        <f>B2127+C2127</f>
        <v>2480.859375</v>
      </c>
      <c r="E2127" s="10">
        <f>MIN($B$7,ROUND(D2127/$B$6,0))</f>
        <v>2047</v>
      </c>
      <c r="F2127" s="10" t="str">
        <f>DEC2BIN(INT(E2127/64),5)&amp;DEC2BIN(MOD(E2127,64),6)</f>
        <v>11111111111</v>
      </c>
      <c r="G2127" s="10" t="str">
        <f>DEC2HEX(E2127,3)</f>
        <v>7FF</v>
      </c>
      <c r="H2127" s="10" t="str">
        <f>IF(ROUND(D2127/$B$6,0)&gt;$B$7,"YES","NO")</f>
        <v>YES</v>
      </c>
    </row>
    <row r="2128" spans="1:8">
      <c r="A2128" s="8">
        <v>2118</v>
      </c>
      <c r="B2128" s="9">
        <f>D2127</f>
        <v>2480.859375</v>
      </c>
      <c r="C2128" s="9">
        <f>$B$6</f>
        <v>1.171875</v>
      </c>
      <c r="D2128" s="9">
        <f>B2128+C2128</f>
        <v>2482.03125</v>
      </c>
      <c r="E2128" s="8">
        <f>MIN($B$7,ROUND(D2128/$B$6,0))</f>
        <v>2047</v>
      </c>
      <c r="F2128" s="8" t="str">
        <f>DEC2BIN(INT(E2128/64),5)&amp;DEC2BIN(MOD(E2128,64),6)</f>
        <v>11111111111</v>
      </c>
      <c r="G2128" s="8" t="str">
        <f>DEC2HEX(E2128,3)</f>
        <v>7FF</v>
      </c>
      <c r="H2128" s="8" t="str">
        <f>IF(ROUND(D2128/$B$6,0)&gt;$B$7,"YES","NO")</f>
        <v>YES</v>
      </c>
    </row>
    <row r="2129" spans="1:8">
      <c r="A2129" s="10">
        <v>2119</v>
      </c>
      <c r="B2129" s="11">
        <f>D2128</f>
        <v>2482.03125</v>
      </c>
      <c r="C2129" s="11">
        <f>$B$6</f>
        <v>1.171875</v>
      </c>
      <c r="D2129" s="11">
        <f>B2129+C2129</f>
        <v>2483.203125</v>
      </c>
      <c r="E2129" s="10">
        <f>MIN($B$7,ROUND(D2129/$B$6,0))</f>
        <v>2047</v>
      </c>
      <c r="F2129" s="10" t="str">
        <f>DEC2BIN(INT(E2129/64),5)&amp;DEC2BIN(MOD(E2129,64),6)</f>
        <v>11111111111</v>
      </c>
      <c r="G2129" s="10" t="str">
        <f>DEC2HEX(E2129,3)</f>
        <v>7FF</v>
      </c>
      <c r="H2129" s="10" t="str">
        <f>IF(ROUND(D2129/$B$6,0)&gt;$B$7,"YES","NO")</f>
        <v>YES</v>
      </c>
    </row>
    <row r="2130" spans="1:8">
      <c r="A2130" s="8">
        <v>2120</v>
      </c>
      <c r="B2130" s="9">
        <f>D2129</f>
        <v>2483.203125</v>
      </c>
      <c r="C2130" s="9">
        <f>$B$6</f>
        <v>1.171875</v>
      </c>
      <c r="D2130" s="9">
        <f>B2130+C2130</f>
        <v>2484.375</v>
      </c>
      <c r="E2130" s="8">
        <f>MIN($B$7,ROUND(D2130/$B$6,0))</f>
        <v>2047</v>
      </c>
      <c r="F2130" s="8" t="str">
        <f>DEC2BIN(INT(E2130/64),5)&amp;DEC2BIN(MOD(E2130,64),6)</f>
        <v>11111111111</v>
      </c>
      <c r="G2130" s="8" t="str">
        <f>DEC2HEX(E2130,3)</f>
        <v>7FF</v>
      </c>
      <c r="H2130" s="8" t="str">
        <f>IF(ROUND(D2130/$B$6,0)&gt;$B$7,"YES","NO")</f>
        <v>YES</v>
      </c>
    </row>
    <row r="2131" spans="1:8">
      <c r="A2131" s="10">
        <v>2121</v>
      </c>
      <c r="B2131" s="11">
        <f>D2130</f>
        <v>2484.375</v>
      </c>
      <c r="C2131" s="11">
        <f>$B$6</f>
        <v>1.171875</v>
      </c>
      <c r="D2131" s="11">
        <f>B2131+C2131</f>
        <v>2485.546875</v>
      </c>
      <c r="E2131" s="10">
        <f>MIN($B$7,ROUND(D2131/$B$6,0))</f>
        <v>2047</v>
      </c>
      <c r="F2131" s="10" t="str">
        <f>DEC2BIN(INT(E2131/64),5)&amp;DEC2BIN(MOD(E2131,64),6)</f>
        <v>11111111111</v>
      </c>
      <c r="G2131" s="10" t="str">
        <f>DEC2HEX(E2131,3)</f>
        <v>7FF</v>
      </c>
      <c r="H2131" s="10" t="str">
        <f>IF(ROUND(D2131/$B$6,0)&gt;$B$7,"YES","NO")</f>
        <v>YES</v>
      </c>
    </row>
    <row r="2132" spans="1:8">
      <c r="A2132" s="8">
        <v>2122</v>
      </c>
      <c r="B2132" s="9">
        <f>D2131</f>
        <v>2485.546875</v>
      </c>
      <c r="C2132" s="9">
        <f>$B$6</f>
        <v>1.171875</v>
      </c>
      <c r="D2132" s="9">
        <f>B2132+C2132</f>
        <v>2486.71875</v>
      </c>
      <c r="E2132" s="8">
        <f>MIN($B$7,ROUND(D2132/$B$6,0))</f>
        <v>2047</v>
      </c>
      <c r="F2132" s="8" t="str">
        <f>DEC2BIN(INT(E2132/64),5)&amp;DEC2BIN(MOD(E2132,64),6)</f>
        <v>11111111111</v>
      </c>
      <c r="G2132" s="8" t="str">
        <f>DEC2HEX(E2132,3)</f>
        <v>7FF</v>
      </c>
      <c r="H2132" s="8" t="str">
        <f>IF(ROUND(D2132/$B$6,0)&gt;$B$7,"YES","NO")</f>
        <v>YES</v>
      </c>
    </row>
    <row r="2133" spans="1:8">
      <c r="A2133" s="10">
        <v>2123</v>
      </c>
      <c r="B2133" s="11">
        <f>D2132</f>
        <v>2486.71875</v>
      </c>
      <c r="C2133" s="11">
        <f>$B$6</f>
        <v>1.171875</v>
      </c>
      <c r="D2133" s="11">
        <f>B2133+C2133</f>
        <v>2487.890625</v>
      </c>
      <c r="E2133" s="10">
        <f>MIN($B$7,ROUND(D2133/$B$6,0))</f>
        <v>2047</v>
      </c>
      <c r="F2133" s="10" t="str">
        <f>DEC2BIN(INT(E2133/64),5)&amp;DEC2BIN(MOD(E2133,64),6)</f>
        <v>11111111111</v>
      </c>
      <c r="G2133" s="10" t="str">
        <f>DEC2HEX(E2133,3)</f>
        <v>7FF</v>
      </c>
      <c r="H2133" s="10" t="str">
        <f>IF(ROUND(D2133/$B$6,0)&gt;$B$7,"YES","NO")</f>
        <v>YES</v>
      </c>
    </row>
    <row r="2134" spans="1:8">
      <c r="A2134" s="8">
        <v>2124</v>
      </c>
      <c r="B2134" s="9">
        <f>D2133</f>
        <v>2487.890625</v>
      </c>
      <c r="C2134" s="9">
        <f>$B$6</f>
        <v>1.171875</v>
      </c>
      <c r="D2134" s="9">
        <f>B2134+C2134</f>
        <v>2489.0625</v>
      </c>
      <c r="E2134" s="8">
        <f>MIN($B$7,ROUND(D2134/$B$6,0))</f>
        <v>2047</v>
      </c>
      <c r="F2134" s="8" t="str">
        <f>DEC2BIN(INT(E2134/64),5)&amp;DEC2BIN(MOD(E2134,64),6)</f>
        <v>11111111111</v>
      </c>
      <c r="G2134" s="8" t="str">
        <f>DEC2HEX(E2134,3)</f>
        <v>7FF</v>
      </c>
      <c r="H2134" s="8" t="str">
        <f>IF(ROUND(D2134/$B$6,0)&gt;$B$7,"YES","NO")</f>
        <v>YES</v>
      </c>
    </row>
    <row r="2135" spans="1:8">
      <c r="A2135" s="10">
        <v>2125</v>
      </c>
      <c r="B2135" s="11">
        <f>D2134</f>
        <v>2489.0625</v>
      </c>
      <c r="C2135" s="11">
        <f>$B$6</f>
        <v>1.171875</v>
      </c>
      <c r="D2135" s="11">
        <f>B2135+C2135</f>
        <v>2490.234375</v>
      </c>
      <c r="E2135" s="10">
        <f>MIN($B$7,ROUND(D2135/$B$6,0))</f>
        <v>2047</v>
      </c>
      <c r="F2135" s="10" t="str">
        <f>DEC2BIN(INT(E2135/64),5)&amp;DEC2BIN(MOD(E2135,64),6)</f>
        <v>11111111111</v>
      </c>
      <c r="G2135" s="10" t="str">
        <f>DEC2HEX(E2135,3)</f>
        <v>7FF</v>
      </c>
      <c r="H2135" s="10" t="str">
        <f>IF(ROUND(D2135/$B$6,0)&gt;$B$7,"YES","NO")</f>
        <v>YES</v>
      </c>
    </row>
    <row r="2136" spans="1:8">
      <c r="A2136" s="8">
        <v>2126</v>
      </c>
      <c r="B2136" s="9">
        <f>D2135</f>
        <v>2490.234375</v>
      </c>
      <c r="C2136" s="9">
        <f>$B$6</f>
        <v>1.171875</v>
      </c>
      <c r="D2136" s="9">
        <f>B2136+C2136</f>
        <v>2491.40625</v>
      </c>
      <c r="E2136" s="8">
        <f>MIN($B$7,ROUND(D2136/$B$6,0))</f>
        <v>2047</v>
      </c>
      <c r="F2136" s="8" t="str">
        <f>DEC2BIN(INT(E2136/64),5)&amp;DEC2BIN(MOD(E2136,64),6)</f>
        <v>11111111111</v>
      </c>
      <c r="G2136" s="8" t="str">
        <f>DEC2HEX(E2136,3)</f>
        <v>7FF</v>
      </c>
      <c r="H2136" s="8" t="str">
        <f>IF(ROUND(D2136/$B$6,0)&gt;$B$7,"YES","NO")</f>
        <v>YES</v>
      </c>
    </row>
    <row r="2137" spans="1:8">
      <c r="A2137" s="10">
        <v>2127</v>
      </c>
      <c r="B2137" s="11">
        <f>D2136</f>
        <v>2491.40625</v>
      </c>
      <c r="C2137" s="11">
        <f>$B$6</f>
        <v>1.171875</v>
      </c>
      <c r="D2137" s="11">
        <f>B2137+C2137</f>
        <v>2492.578125</v>
      </c>
      <c r="E2137" s="10">
        <f>MIN($B$7,ROUND(D2137/$B$6,0))</f>
        <v>2047</v>
      </c>
      <c r="F2137" s="10" t="str">
        <f>DEC2BIN(INT(E2137/64),5)&amp;DEC2BIN(MOD(E2137,64),6)</f>
        <v>11111111111</v>
      </c>
      <c r="G2137" s="10" t="str">
        <f>DEC2HEX(E2137,3)</f>
        <v>7FF</v>
      </c>
      <c r="H2137" s="10" t="str">
        <f>IF(ROUND(D2137/$B$6,0)&gt;$B$7,"YES","NO")</f>
        <v>YES</v>
      </c>
    </row>
    <row r="2138" spans="1:8">
      <c r="A2138" s="8">
        <v>2128</v>
      </c>
      <c r="B2138" s="9">
        <f>D2137</f>
        <v>2492.578125</v>
      </c>
      <c r="C2138" s="9">
        <f>$B$6</f>
        <v>1.171875</v>
      </c>
      <c r="D2138" s="9">
        <f>B2138+C2138</f>
        <v>2493.75</v>
      </c>
      <c r="E2138" s="8">
        <f>MIN($B$7,ROUND(D2138/$B$6,0))</f>
        <v>2047</v>
      </c>
      <c r="F2138" s="8" t="str">
        <f>DEC2BIN(INT(E2138/64),5)&amp;DEC2BIN(MOD(E2138,64),6)</f>
        <v>11111111111</v>
      </c>
      <c r="G2138" s="8" t="str">
        <f>DEC2HEX(E2138,3)</f>
        <v>7FF</v>
      </c>
      <c r="H2138" s="8" t="str">
        <f>IF(ROUND(D2138/$B$6,0)&gt;$B$7,"YES","NO")</f>
        <v>YES</v>
      </c>
    </row>
    <row r="2139" spans="1:8">
      <c r="A2139" s="10">
        <v>2129</v>
      </c>
      <c r="B2139" s="11">
        <f>D2138</f>
        <v>2493.75</v>
      </c>
      <c r="C2139" s="11">
        <f>$B$6</f>
        <v>1.171875</v>
      </c>
      <c r="D2139" s="11">
        <f>B2139+C2139</f>
        <v>2494.921875</v>
      </c>
      <c r="E2139" s="10">
        <f>MIN($B$7,ROUND(D2139/$B$6,0))</f>
        <v>2047</v>
      </c>
      <c r="F2139" s="10" t="str">
        <f>DEC2BIN(INT(E2139/64),5)&amp;DEC2BIN(MOD(E2139,64),6)</f>
        <v>11111111111</v>
      </c>
      <c r="G2139" s="10" t="str">
        <f>DEC2HEX(E2139,3)</f>
        <v>7FF</v>
      </c>
      <c r="H2139" s="10" t="str">
        <f>IF(ROUND(D2139/$B$6,0)&gt;$B$7,"YES","NO")</f>
        <v>YES</v>
      </c>
    </row>
    <row r="2140" spans="1:8">
      <c r="A2140" s="8">
        <v>2130</v>
      </c>
      <c r="B2140" s="9">
        <f>D2139</f>
        <v>2494.921875</v>
      </c>
      <c r="C2140" s="9">
        <f>$B$6</f>
        <v>1.171875</v>
      </c>
      <c r="D2140" s="9">
        <f>B2140+C2140</f>
        <v>2496.09375</v>
      </c>
      <c r="E2140" s="8">
        <f>MIN($B$7,ROUND(D2140/$B$6,0))</f>
        <v>2047</v>
      </c>
      <c r="F2140" s="8" t="str">
        <f>DEC2BIN(INT(E2140/64),5)&amp;DEC2BIN(MOD(E2140,64),6)</f>
        <v>11111111111</v>
      </c>
      <c r="G2140" s="8" t="str">
        <f>DEC2HEX(E2140,3)</f>
        <v>7FF</v>
      </c>
      <c r="H2140" s="8" t="str">
        <f>IF(ROUND(D2140/$B$6,0)&gt;$B$7,"YES","NO")</f>
        <v>YES</v>
      </c>
    </row>
    <row r="2141" spans="1:8">
      <c r="A2141" s="10">
        <v>2131</v>
      </c>
      <c r="B2141" s="11">
        <f>D2140</f>
        <v>2496.09375</v>
      </c>
      <c r="C2141" s="11">
        <f>$B$6</f>
        <v>1.171875</v>
      </c>
      <c r="D2141" s="11">
        <f>B2141+C2141</f>
        <v>2497.265625</v>
      </c>
      <c r="E2141" s="10">
        <f>MIN($B$7,ROUND(D2141/$B$6,0))</f>
        <v>2047</v>
      </c>
      <c r="F2141" s="10" t="str">
        <f>DEC2BIN(INT(E2141/64),5)&amp;DEC2BIN(MOD(E2141,64),6)</f>
        <v>11111111111</v>
      </c>
      <c r="G2141" s="10" t="str">
        <f>DEC2HEX(E2141,3)</f>
        <v>7FF</v>
      </c>
      <c r="H2141" s="10" t="str">
        <f>IF(ROUND(D2141/$B$6,0)&gt;$B$7,"YES","NO")</f>
        <v>YES</v>
      </c>
    </row>
    <row r="2142" spans="1:8">
      <c r="A2142" s="8">
        <v>2132</v>
      </c>
      <c r="B2142" s="9">
        <f>D2141</f>
        <v>2497.265625</v>
      </c>
      <c r="C2142" s="9">
        <f>$B$6</f>
        <v>1.171875</v>
      </c>
      <c r="D2142" s="9">
        <f>B2142+C2142</f>
        <v>2498.4375</v>
      </c>
      <c r="E2142" s="8">
        <f>MIN($B$7,ROUND(D2142/$B$6,0))</f>
        <v>2047</v>
      </c>
      <c r="F2142" s="8" t="str">
        <f>DEC2BIN(INT(E2142/64),5)&amp;DEC2BIN(MOD(E2142,64),6)</f>
        <v>11111111111</v>
      </c>
      <c r="G2142" s="8" t="str">
        <f>DEC2HEX(E2142,3)</f>
        <v>7FF</v>
      </c>
      <c r="H2142" s="8" t="str">
        <f>IF(ROUND(D2142/$B$6,0)&gt;$B$7,"YES","NO")</f>
        <v>YES</v>
      </c>
    </row>
    <row r="2143" spans="1:8">
      <c r="A2143" s="10">
        <v>2133</v>
      </c>
      <c r="B2143" s="11">
        <f>D2142</f>
        <v>2498.4375</v>
      </c>
      <c r="C2143" s="11">
        <f>$B$6</f>
        <v>1.171875</v>
      </c>
      <c r="D2143" s="11">
        <f>B2143+C2143</f>
        <v>2499.609375</v>
      </c>
      <c r="E2143" s="10">
        <f>MIN($B$7,ROUND(D2143/$B$6,0))</f>
        <v>2047</v>
      </c>
      <c r="F2143" s="10" t="str">
        <f>DEC2BIN(INT(E2143/64),5)&amp;DEC2BIN(MOD(E2143,64),6)</f>
        <v>11111111111</v>
      </c>
      <c r="G2143" s="10" t="str">
        <f>DEC2HEX(E2143,3)</f>
        <v>7FF</v>
      </c>
      <c r="H2143" s="10" t="str">
        <f>IF(ROUND(D2143/$B$6,0)&gt;$B$7,"YES","NO")</f>
        <v>YES</v>
      </c>
    </row>
    <row r="2144" spans="1:8">
      <c r="A2144" s="8">
        <v>2134</v>
      </c>
      <c r="B2144" s="9">
        <f>D2143</f>
        <v>2499.609375</v>
      </c>
      <c r="C2144" s="9">
        <f>$B$6</f>
        <v>1.171875</v>
      </c>
      <c r="D2144" s="9">
        <f>B2144+C2144</f>
        <v>2500.78125</v>
      </c>
      <c r="E2144" s="8">
        <f>MIN($B$7,ROUND(D2144/$B$6,0))</f>
        <v>2047</v>
      </c>
      <c r="F2144" s="8" t="str">
        <f>DEC2BIN(INT(E2144/64),5)&amp;DEC2BIN(MOD(E2144,64),6)</f>
        <v>11111111111</v>
      </c>
      <c r="G2144" s="8" t="str">
        <f>DEC2HEX(E2144,3)</f>
        <v>7FF</v>
      </c>
      <c r="H2144" s="8" t="str">
        <f>IF(ROUND(D2144/$B$6,0)&gt;$B$7,"YES","NO")</f>
        <v>YES</v>
      </c>
    </row>
    <row r="2145" spans="1:8">
      <c r="A2145" s="10">
        <v>2135</v>
      </c>
      <c r="B2145" s="11">
        <f>D2144</f>
        <v>2500.78125</v>
      </c>
      <c r="C2145" s="11">
        <f>$B$6</f>
        <v>1.171875</v>
      </c>
      <c r="D2145" s="11">
        <f>B2145+C2145</f>
        <v>2501.953125</v>
      </c>
      <c r="E2145" s="10">
        <f>MIN($B$7,ROUND(D2145/$B$6,0))</f>
        <v>2047</v>
      </c>
      <c r="F2145" s="10" t="str">
        <f>DEC2BIN(INT(E2145/64),5)&amp;DEC2BIN(MOD(E2145,64),6)</f>
        <v>11111111111</v>
      </c>
      <c r="G2145" s="10" t="str">
        <f>DEC2HEX(E2145,3)</f>
        <v>7FF</v>
      </c>
      <c r="H2145" s="10" t="str">
        <f>IF(ROUND(D2145/$B$6,0)&gt;$B$7,"YES","NO")</f>
        <v>YES</v>
      </c>
    </row>
    <row r="2146" spans="1:8">
      <c r="A2146" s="8">
        <v>2136</v>
      </c>
      <c r="B2146" s="9">
        <f>D2145</f>
        <v>2501.953125</v>
      </c>
      <c r="C2146" s="9">
        <f>$B$6</f>
        <v>1.171875</v>
      </c>
      <c r="D2146" s="9">
        <f>B2146+C2146</f>
        <v>2503.125</v>
      </c>
      <c r="E2146" s="8">
        <f>MIN($B$7,ROUND(D2146/$B$6,0))</f>
        <v>2047</v>
      </c>
      <c r="F2146" s="8" t="str">
        <f>DEC2BIN(INT(E2146/64),5)&amp;DEC2BIN(MOD(E2146,64),6)</f>
        <v>11111111111</v>
      </c>
      <c r="G2146" s="8" t="str">
        <f>DEC2HEX(E2146,3)</f>
        <v>7FF</v>
      </c>
      <c r="H2146" s="8" t="str">
        <f>IF(ROUND(D2146/$B$6,0)&gt;$B$7,"YES","NO")</f>
        <v>YES</v>
      </c>
    </row>
    <row r="2147" spans="1:8">
      <c r="A2147" s="10">
        <v>2137</v>
      </c>
      <c r="B2147" s="11">
        <f>D2146</f>
        <v>2503.125</v>
      </c>
      <c r="C2147" s="11">
        <f>$B$6</f>
        <v>1.171875</v>
      </c>
      <c r="D2147" s="11">
        <f>B2147+C2147</f>
        <v>2504.296875</v>
      </c>
      <c r="E2147" s="10">
        <f>MIN($B$7,ROUND(D2147/$B$6,0))</f>
        <v>2047</v>
      </c>
      <c r="F2147" s="10" t="str">
        <f>DEC2BIN(INT(E2147/64),5)&amp;DEC2BIN(MOD(E2147,64),6)</f>
        <v>11111111111</v>
      </c>
      <c r="G2147" s="10" t="str">
        <f>DEC2HEX(E2147,3)</f>
        <v>7FF</v>
      </c>
      <c r="H2147" s="10" t="str">
        <f>IF(ROUND(D2147/$B$6,0)&gt;$B$7,"YES","NO")</f>
        <v>YES</v>
      </c>
    </row>
    <row r="2148" spans="1:8">
      <c r="A2148" s="8">
        <v>2138</v>
      </c>
      <c r="B2148" s="9">
        <f>D2147</f>
        <v>2504.296875</v>
      </c>
      <c r="C2148" s="9">
        <f>$B$6</f>
        <v>1.171875</v>
      </c>
      <c r="D2148" s="9">
        <f>B2148+C2148</f>
        <v>2505.46875</v>
      </c>
      <c r="E2148" s="8">
        <f>MIN($B$7,ROUND(D2148/$B$6,0))</f>
        <v>2047</v>
      </c>
      <c r="F2148" s="8" t="str">
        <f>DEC2BIN(INT(E2148/64),5)&amp;DEC2BIN(MOD(E2148,64),6)</f>
        <v>11111111111</v>
      </c>
      <c r="G2148" s="8" t="str">
        <f>DEC2HEX(E2148,3)</f>
        <v>7FF</v>
      </c>
      <c r="H2148" s="8" t="str">
        <f>IF(ROUND(D2148/$B$6,0)&gt;$B$7,"YES","NO")</f>
        <v>YES</v>
      </c>
    </row>
    <row r="2149" spans="1:8">
      <c r="A2149" s="10">
        <v>2139</v>
      </c>
      <c r="B2149" s="11">
        <f>D2148</f>
        <v>2505.46875</v>
      </c>
      <c r="C2149" s="11">
        <f>$B$6</f>
        <v>1.171875</v>
      </c>
      <c r="D2149" s="11">
        <f>B2149+C2149</f>
        <v>2506.640625</v>
      </c>
      <c r="E2149" s="10">
        <f>MIN($B$7,ROUND(D2149/$B$6,0))</f>
        <v>2047</v>
      </c>
      <c r="F2149" s="10" t="str">
        <f>DEC2BIN(INT(E2149/64),5)&amp;DEC2BIN(MOD(E2149,64),6)</f>
        <v>11111111111</v>
      </c>
      <c r="G2149" s="10" t="str">
        <f>DEC2HEX(E2149,3)</f>
        <v>7FF</v>
      </c>
      <c r="H2149" s="10" t="str">
        <f>IF(ROUND(D2149/$B$6,0)&gt;$B$7,"YES","NO")</f>
        <v>YES</v>
      </c>
    </row>
    <row r="2150" spans="1:8">
      <c r="A2150" s="8">
        <v>2140</v>
      </c>
      <c r="B2150" s="9">
        <f>D2149</f>
        <v>2506.640625</v>
      </c>
      <c r="C2150" s="9">
        <f>$B$6</f>
        <v>1.171875</v>
      </c>
      <c r="D2150" s="9">
        <f>B2150+C2150</f>
        <v>2507.8125</v>
      </c>
      <c r="E2150" s="8">
        <f>MIN($B$7,ROUND(D2150/$B$6,0))</f>
        <v>2047</v>
      </c>
      <c r="F2150" s="8" t="str">
        <f>DEC2BIN(INT(E2150/64),5)&amp;DEC2BIN(MOD(E2150,64),6)</f>
        <v>11111111111</v>
      </c>
      <c r="G2150" s="8" t="str">
        <f>DEC2HEX(E2150,3)</f>
        <v>7FF</v>
      </c>
      <c r="H2150" s="8" t="str">
        <f>IF(ROUND(D2150/$B$6,0)&gt;$B$7,"YES","NO")</f>
        <v>YES</v>
      </c>
    </row>
    <row r="2151" spans="1:8">
      <c r="A2151" s="10">
        <v>2141</v>
      </c>
      <c r="B2151" s="11">
        <f>D2150</f>
        <v>2507.8125</v>
      </c>
      <c r="C2151" s="11">
        <f>$B$6</f>
        <v>1.171875</v>
      </c>
      <c r="D2151" s="11">
        <f>B2151+C2151</f>
        <v>2508.984375</v>
      </c>
      <c r="E2151" s="10">
        <f>MIN($B$7,ROUND(D2151/$B$6,0))</f>
        <v>2047</v>
      </c>
      <c r="F2151" s="10" t="str">
        <f>DEC2BIN(INT(E2151/64),5)&amp;DEC2BIN(MOD(E2151,64),6)</f>
        <v>11111111111</v>
      </c>
      <c r="G2151" s="10" t="str">
        <f>DEC2HEX(E2151,3)</f>
        <v>7FF</v>
      </c>
      <c r="H2151" s="10" t="str">
        <f>IF(ROUND(D2151/$B$6,0)&gt;$B$7,"YES","NO")</f>
        <v>YES</v>
      </c>
    </row>
    <row r="2152" spans="1:8">
      <c r="A2152" s="8">
        <v>2142</v>
      </c>
      <c r="B2152" s="9">
        <f>D2151</f>
        <v>2508.984375</v>
      </c>
      <c r="C2152" s="9">
        <f>$B$6</f>
        <v>1.171875</v>
      </c>
      <c r="D2152" s="9">
        <f>B2152+C2152</f>
        <v>2510.15625</v>
      </c>
      <c r="E2152" s="8">
        <f>MIN($B$7,ROUND(D2152/$B$6,0))</f>
        <v>2047</v>
      </c>
      <c r="F2152" s="8" t="str">
        <f>DEC2BIN(INT(E2152/64),5)&amp;DEC2BIN(MOD(E2152,64),6)</f>
        <v>11111111111</v>
      </c>
      <c r="G2152" s="8" t="str">
        <f>DEC2HEX(E2152,3)</f>
        <v>7FF</v>
      </c>
      <c r="H2152" s="8" t="str">
        <f>IF(ROUND(D2152/$B$6,0)&gt;$B$7,"YES","NO")</f>
        <v>YES</v>
      </c>
    </row>
    <row r="2153" spans="1:8">
      <c r="A2153" s="10">
        <v>2143</v>
      </c>
      <c r="B2153" s="11">
        <f>D2152</f>
        <v>2510.15625</v>
      </c>
      <c r="C2153" s="11">
        <f>$B$6</f>
        <v>1.171875</v>
      </c>
      <c r="D2153" s="11">
        <f>B2153+C2153</f>
        <v>2511.328125</v>
      </c>
      <c r="E2153" s="10">
        <f>MIN($B$7,ROUND(D2153/$B$6,0))</f>
        <v>2047</v>
      </c>
      <c r="F2153" s="10" t="str">
        <f>DEC2BIN(INT(E2153/64),5)&amp;DEC2BIN(MOD(E2153,64),6)</f>
        <v>11111111111</v>
      </c>
      <c r="G2153" s="10" t="str">
        <f>DEC2HEX(E2153,3)</f>
        <v>7FF</v>
      </c>
      <c r="H2153" s="10" t="str">
        <f>IF(ROUND(D2153/$B$6,0)&gt;$B$7,"YES","NO")</f>
        <v>YES</v>
      </c>
    </row>
    <row r="2154" spans="1:8">
      <c r="A2154" s="8">
        <v>2144</v>
      </c>
      <c r="B2154" s="9">
        <f>D2153</f>
        <v>2511.328125</v>
      </c>
      <c r="C2154" s="9">
        <f>$B$6</f>
        <v>1.171875</v>
      </c>
      <c r="D2154" s="9">
        <f>B2154+C2154</f>
        <v>2512.5</v>
      </c>
      <c r="E2154" s="8">
        <f>MIN($B$7,ROUND(D2154/$B$6,0))</f>
        <v>2047</v>
      </c>
      <c r="F2154" s="8" t="str">
        <f>DEC2BIN(INT(E2154/64),5)&amp;DEC2BIN(MOD(E2154,64),6)</f>
        <v>11111111111</v>
      </c>
      <c r="G2154" s="8" t="str">
        <f>DEC2HEX(E2154,3)</f>
        <v>7FF</v>
      </c>
      <c r="H2154" s="8" t="str">
        <f>IF(ROUND(D2154/$B$6,0)&gt;$B$7,"YES","NO")</f>
        <v>YES</v>
      </c>
    </row>
    <row r="2155" spans="1:8">
      <c r="A2155" s="10">
        <v>2145</v>
      </c>
      <c r="B2155" s="11">
        <f>D2154</f>
        <v>2512.5</v>
      </c>
      <c r="C2155" s="11">
        <f>$B$6</f>
        <v>1.171875</v>
      </c>
      <c r="D2155" s="11">
        <f>B2155+C2155</f>
        <v>2513.671875</v>
      </c>
      <c r="E2155" s="10">
        <f>MIN($B$7,ROUND(D2155/$B$6,0))</f>
        <v>2047</v>
      </c>
      <c r="F2155" s="10" t="str">
        <f>DEC2BIN(INT(E2155/64),5)&amp;DEC2BIN(MOD(E2155,64),6)</f>
        <v>11111111111</v>
      </c>
      <c r="G2155" s="10" t="str">
        <f>DEC2HEX(E2155,3)</f>
        <v>7FF</v>
      </c>
      <c r="H2155" s="10" t="str">
        <f>IF(ROUND(D2155/$B$6,0)&gt;$B$7,"YES","NO")</f>
        <v>YES</v>
      </c>
    </row>
    <row r="2156" spans="1:8">
      <c r="A2156" s="8">
        <v>2146</v>
      </c>
      <c r="B2156" s="9">
        <f>D2155</f>
        <v>2513.671875</v>
      </c>
      <c r="C2156" s="9">
        <f>$B$6</f>
        <v>1.171875</v>
      </c>
      <c r="D2156" s="9">
        <f>B2156+C2156</f>
        <v>2514.84375</v>
      </c>
      <c r="E2156" s="8">
        <f>MIN($B$7,ROUND(D2156/$B$6,0))</f>
        <v>2047</v>
      </c>
      <c r="F2156" s="8" t="str">
        <f>DEC2BIN(INT(E2156/64),5)&amp;DEC2BIN(MOD(E2156,64),6)</f>
        <v>11111111111</v>
      </c>
      <c r="G2156" s="8" t="str">
        <f>DEC2HEX(E2156,3)</f>
        <v>7FF</v>
      </c>
      <c r="H2156" s="8" t="str">
        <f>IF(ROUND(D2156/$B$6,0)&gt;$B$7,"YES","NO")</f>
        <v>YES</v>
      </c>
    </row>
    <row r="2157" spans="1:8">
      <c r="A2157" s="10">
        <v>2147</v>
      </c>
      <c r="B2157" s="11">
        <f>D2156</f>
        <v>2514.84375</v>
      </c>
      <c r="C2157" s="11">
        <f>$B$6</f>
        <v>1.171875</v>
      </c>
      <c r="D2157" s="11">
        <f>B2157+C2157</f>
        <v>2516.015625</v>
      </c>
      <c r="E2157" s="10">
        <f>MIN($B$7,ROUND(D2157/$B$6,0))</f>
        <v>2047</v>
      </c>
      <c r="F2157" s="10" t="str">
        <f>DEC2BIN(INT(E2157/64),5)&amp;DEC2BIN(MOD(E2157,64),6)</f>
        <v>11111111111</v>
      </c>
      <c r="G2157" s="10" t="str">
        <f>DEC2HEX(E2157,3)</f>
        <v>7FF</v>
      </c>
      <c r="H2157" s="10" t="str">
        <f>IF(ROUND(D2157/$B$6,0)&gt;$B$7,"YES","NO")</f>
        <v>YES</v>
      </c>
    </row>
    <row r="2158" spans="1:8">
      <c r="A2158" s="8">
        <v>2148</v>
      </c>
      <c r="B2158" s="9">
        <f>D2157</f>
        <v>2516.015625</v>
      </c>
      <c r="C2158" s="9">
        <f>$B$6</f>
        <v>1.171875</v>
      </c>
      <c r="D2158" s="9">
        <f>B2158+C2158</f>
        <v>2517.1875</v>
      </c>
      <c r="E2158" s="8">
        <f>MIN($B$7,ROUND(D2158/$B$6,0))</f>
        <v>2047</v>
      </c>
      <c r="F2158" s="8" t="str">
        <f>DEC2BIN(INT(E2158/64),5)&amp;DEC2BIN(MOD(E2158,64),6)</f>
        <v>11111111111</v>
      </c>
      <c r="G2158" s="8" t="str">
        <f>DEC2HEX(E2158,3)</f>
        <v>7FF</v>
      </c>
      <c r="H2158" s="8" t="str">
        <f>IF(ROUND(D2158/$B$6,0)&gt;$B$7,"YES","NO")</f>
        <v>YES</v>
      </c>
    </row>
    <row r="2159" spans="1:8">
      <c r="A2159" s="10">
        <v>2149</v>
      </c>
      <c r="B2159" s="11">
        <f>D2158</f>
        <v>2517.1875</v>
      </c>
      <c r="C2159" s="11">
        <f>$B$6</f>
        <v>1.171875</v>
      </c>
      <c r="D2159" s="11">
        <f>B2159+C2159</f>
        <v>2518.359375</v>
      </c>
      <c r="E2159" s="10">
        <f>MIN($B$7,ROUND(D2159/$B$6,0))</f>
        <v>2047</v>
      </c>
      <c r="F2159" s="10" t="str">
        <f>DEC2BIN(INT(E2159/64),5)&amp;DEC2BIN(MOD(E2159,64),6)</f>
        <v>11111111111</v>
      </c>
      <c r="G2159" s="10" t="str">
        <f>DEC2HEX(E2159,3)</f>
        <v>7FF</v>
      </c>
      <c r="H2159" s="10" t="str">
        <f>IF(ROUND(D2159/$B$6,0)&gt;$B$7,"YES","NO")</f>
        <v>YES</v>
      </c>
    </row>
    <row r="2160" spans="1:8">
      <c r="A2160" s="8">
        <v>2150</v>
      </c>
      <c r="B2160" s="9">
        <f>D2159</f>
        <v>2518.359375</v>
      </c>
      <c r="C2160" s="9">
        <f>$B$6</f>
        <v>1.171875</v>
      </c>
      <c r="D2160" s="9">
        <f>B2160+C2160</f>
        <v>2519.53125</v>
      </c>
      <c r="E2160" s="8">
        <f>MIN($B$7,ROUND(D2160/$B$6,0))</f>
        <v>2047</v>
      </c>
      <c r="F2160" s="8" t="str">
        <f>DEC2BIN(INT(E2160/64),5)&amp;DEC2BIN(MOD(E2160,64),6)</f>
        <v>11111111111</v>
      </c>
      <c r="G2160" s="8" t="str">
        <f>DEC2HEX(E2160,3)</f>
        <v>7FF</v>
      </c>
      <c r="H2160" s="8" t="str">
        <f>IF(ROUND(D2160/$B$6,0)&gt;$B$7,"YES","NO")</f>
        <v>YES</v>
      </c>
    </row>
    <row r="2161" spans="1:8">
      <c r="A2161" s="10">
        <v>2151</v>
      </c>
      <c r="B2161" s="11">
        <f>D2160</f>
        <v>2519.53125</v>
      </c>
      <c r="C2161" s="11">
        <f>$B$6</f>
        <v>1.171875</v>
      </c>
      <c r="D2161" s="11">
        <f>B2161+C2161</f>
        <v>2520.703125</v>
      </c>
      <c r="E2161" s="10">
        <f>MIN($B$7,ROUND(D2161/$B$6,0))</f>
        <v>2047</v>
      </c>
      <c r="F2161" s="10" t="str">
        <f>DEC2BIN(INT(E2161/64),5)&amp;DEC2BIN(MOD(E2161,64),6)</f>
        <v>11111111111</v>
      </c>
      <c r="G2161" s="10" t="str">
        <f>DEC2HEX(E2161,3)</f>
        <v>7FF</v>
      </c>
      <c r="H2161" s="10" t="str">
        <f>IF(ROUND(D2161/$B$6,0)&gt;$B$7,"YES","NO")</f>
        <v>YES</v>
      </c>
    </row>
    <row r="2162" spans="1:8">
      <c r="A2162" s="8">
        <v>2152</v>
      </c>
      <c r="B2162" s="9">
        <f>D2161</f>
        <v>2520.703125</v>
      </c>
      <c r="C2162" s="9">
        <f>$B$6</f>
        <v>1.171875</v>
      </c>
      <c r="D2162" s="9">
        <f>B2162+C2162</f>
        <v>2521.875</v>
      </c>
      <c r="E2162" s="8">
        <f>MIN($B$7,ROUND(D2162/$B$6,0))</f>
        <v>2047</v>
      </c>
      <c r="F2162" s="8" t="str">
        <f>DEC2BIN(INT(E2162/64),5)&amp;DEC2BIN(MOD(E2162,64),6)</f>
        <v>11111111111</v>
      </c>
      <c r="G2162" s="8" t="str">
        <f>DEC2HEX(E2162,3)</f>
        <v>7FF</v>
      </c>
      <c r="H2162" s="8" t="str">
        <f>IF(ROUND(D2162/$B$6,0)&gt;$B$7,"YES","NO")</f>
        <v>YES</v>
      </c>
    </row>
    <row r="2163" spans="1:8">
      <c r="A2163" s="10">
        <v>2153</v>
      </c>
      <c r="B2163" s="11">
        <f>D2162</f>
        <v>2521.875</v>
      </c>
      <c r="C2163" s="11">
        <f>$B$6</f>
        <v>1.171875</v>
      </c>
      <c r="D2163" s="11">
        <f>B2163+C2163</f>
        <v>2523.046875</v>
      </c>
      <c r="E2163" s="10">
        <f>MIN($B$7,ROUND(D2163/$B$6,0))</f>
        <v>2047</v>
      </c>
      <c r="F2163" s="10" t="str">
        <f>DEC2BIN(INT(E2163/64),5)&amp;DEC2BIN(MOD(E2163,64),6)</f>
        <v>11111111111</v>
      </c>
      <c r="G2163" s="10" t="str">
        <f>DEC2HEX(E2163,3)</f>
        <v>7FF</v>
      </c>
      <c r="H2163" s="10" t="str">
        <f>IF(ROUND(D2163/$B$6,0)&gt;$B$7,"YES","NO")</f>
        <v>YES</v>
      </c>
    </row>
    <row r="2164" spans="1:8">
      <c r="A2164" s="8">
        <v>2154</v>
      </c>
      <c r="B2164" s="9">
        <f>D2163</f>
        <v>2523.046875</v>
      </c>
      <c r="C2164" s="9">
        <f>$B$6</f>
        <v>1.171875</v>
      </c>
      <c r="D2164" s="9">
        <f>B2164+C2164</f>
        <v>2524.21875</v>
      </c>
      <c r="E2164" s="8">
        <f>MIN($B$7,ROUND(D2164/$B$6,0))</f>
        <v>2047</v>
      </c>
      <c r="F2164" s="8" t="str">
        <f>DEC2BIN(INT(E2164/64),5)&amp;DEC2BIN(MOD(E2164,64),6)</f>
        <v>11111111111</v>
      </c>
      <c r="G2164" s="8" t="str">
        <f>DEC2HEX(E2164,3)</f>
        <v>7FF</v>
      </c>
      <c r="H2164" s="8" t="str">
        <f>IF(ROUND(D2164/$B$6,0)&gt;$B$7,"YES","NO")</f>
        <v>YES</v>
      </c>
    </row>
    <row r="2165" spans="1:8">
      <c r="A2165" s="10">
        <v>2155</v>
      </c>
      <c r="B2165" s="11">
        <f>D2164</f>
        <v>2524.21875</v>
      </c>
      <c r="C2165" s="11">
        <f>$B$6</f>
        <v>1.171875</v>
      </c>
      <c r="D2165" s="11">
        <f>B2165+C2165</f>
        <v>2525.390625</v>
      </c>
      <c r="E2165" s="10">
        <f>MIN($B$7,ROUND(D2165/$B$6,0))</f>
        <v>2047</v>
      </c>
      <c r="F2165" s="10" t="str">
        <f>DEC2BIN(INT(E2165/64),5)&amp;DEC2BIN(MOD(E2165,64),6)</f>
        <v>11111111111</v>
      </c>
      <c r="G2165" s="10" t="str">
        <f>DEC2HEX(E2165,3)</f>
        <v>7FF</v>
      </c>
      <c r="H2165" s="10" t="str">
        <f>IF(ROUND(D2165/$B$6,0)&gt;$B$7,"YES","NO")</f>
        <v>YES</v>
      </c>
    </row>
    <row r="2166" spans="1:8">
      <c r="A2166" s="8">
        <v>2156</v>
      </c>
      <c r="B2166" s="9">
        <f>D2165</f>
        <v>2525.390625</v>
      </c>
      <c r="C2166" s="9">
        <f>$B$6</f>
        <v>1.171875</v>
      </c>
      <c r="D2166" s="9">
        <f>B2166+C2166</f>
        <v>2526.5625</v>
      </c>
      <c r="E2166" s="8">
        <f>MIN($B$7,ROUND(D2166/$B$6,0))</f>
        <v>2047</v>
      </c>
      <c r="F2166" s="8" t="str">
        <f>DEC2BIN(INT(E2166/64),5)&amp;DEC2BIN(MOD(E2166,64),6)</f>
        <v>11111111111</v>
      </c>
      <c r="G2166" s="8" t="str">
        <f>DEC2HEX(E2166,3)</f>
        <v>7FF</v>
      </c>
      <c r="H2166" s="8" t="str">
        <f>IF(ROUND(D2166/$B$6,0)&gt;$B$7,"YES","NO")</f>
        <v>YES</v>
      </c>
    </row>
    <row r="2167" spans="1:8">
      <c r="A2167" s="10">
        <v>2157</v>
      </c>
      <c r="B2167" s="11">
        <f>D2166</f>
        <v>2526.5625</v>
      </c>
      <c r="C2167" s="11">
        <f>$B$6</f>
        <v>1.171875</v>
      </c>
      <c r="D2167" s="11">
        <f>B2167+C2167</f>
        <v>2527.734375</v>
      </c>
      <c r="E2167" s="10">
        <f>MIN($B$7,ROUND(D2167/$B$6,0))</f>
        <v>2047</v>
      </c>
      <c r="F2167" s="10" t="str">
        <f>DEC2BIN(INT(E2167/64),5)&amp;DEC2BIN(MOD(E2167,64),6)</f>
        <v>11111111111</v>
      </c>
      <c r="G2167" s="10" t="str">
        <f>DEC2HEX(E2167,3)</f>
        <v>7FF</v>
      </c>
      <c r="H2167" s="10" t="str">
        <f>IF(ROUND(D2167/$B$6,0)&gt;$B$7,"YES","NO")</f>
        <v>YES</v>
      </c>
    </row>
    <row r="2168" spans="1:8">
      <c r="A2168" s="8">
        <v>2158</v>
      </c>
      <c r="B2168" s="9">
        <f>D2167</f>
        <v>2527.734375</v>
      </c>
      <c r="C2168" s="9">
        <f>$B$6</f>
        <v>1.171875</v>
      </c>
      <c r="D2168" s="9">
        <f>B2168+C2168</f>
        <v>2528.90625</v>
      </c>
      <c r="E2168" s="8">
        <f>MIN($B$7,ROUND(D2168/$B$6,0))</f>
        <v>2047</v>
      </c>
      <c r="F2168" s="8" t="str">
        <f>DEC2BIN(INT(E2168/64),5)&amp;DEC2BIN(MOD(E2168,64),6)</f>
        <v>11111111111</v>
      </c>
      <c r="G2168" s="8" t="str">
        <f>DEC2HEX(E2168,3)</f>
        <v>7FF</v>
      </c>
      <c r="H2168" s="8" t="str">
        <f>IF(ROUND(D2168/$B$6,0)&gt;$B$7,"YES","NO")</f>
        <v>YES</v>
      </c>
    </row>
    <row r="2169" spans="1:8">
      <c r="A2169" s="10">
        <v>2159</v>
      </c>
      <c r="B2169" s="11">
        <f>D2168</f>
        <v>2528.90625</v>
      </c>
      <c r="C2169" s="11">
        <f>$B$6</f>
        <v>1.171875</v>
      </c>
      <c r="D2169" s="11">
        <f>B2169+C2169</f>
        <v>2530.078125</v>
      </c>
      <c r="E2169" s="10">
        <f>MIN($B$7,ROUND(D2169/$B$6,0))</f>
        <v>2047</v>
      </c>
      <c r="F2169" s="10" t="str">
        <f>DEC2BIN(INT(E2169/64),5)&amp;DEC2BIN(MOD(E2169,64),6)</f>
        <v>11111111111</v>
      </c>
      <c r="G2169" s="10" t="str">
        <f>DEC2HEX(E2169,3)</f>
        <v>7FF</v>
      </c>
      <c r="H2169" s="10" t="str">
        <f>IF(ROUND(D2169/$B$6,0)&gt;$B$7,"YES","NO")</f>
        <v>YES</v>
      </c>
    </row>
    <row r="2170" spans="1:8">
      <c r="A2170" s="8">
        <v>2160</v>
      </c>
      <c r="B2170" s="9">
        <f>D2169</f>
        <v>2530.078125</v>
      </c>
      <c r="C2170" s="9">
        <f>$B$6</f>
        <v>1.171875</v>
      </c>
      <c r="D2170" s="9">
        <f>B2170+C2170</f>
        <v>2531.25</v>
      </c>
      <c r="E2170" s="8">
        <f>MIN($B$7,ROUND(D2170/$B$6,0))</f>
        <v>2047</v>
      </c>
      <c r="F2170" s="8" t="str">
        <f>DEC2BIN(INT(E2170/64),5)&amp;DEC2BIN(MOD(E2170,64),6)</f>
        <v>11111111111</v>
      </c>
      <c r="G2170" s="8" t="str">
        <f>DEC2HEX(E2170,3)</f>
        <v>7FF</v>
      </c>
      <c r="H2170" s="8" t="str">
        <f>IF(ROUND(D2170/$B$6,0)&gt;$B$7,"YES","NO")</f>
        <v>YES</v>
      </c>
    </row>
    <row r="2171" spans="1:8">
      <c r="A2171" s="10">
        <v>2161</v>
      </c>
      <c r="B2171" s="11">
        <f>D2170</f>
        <v>2531.25</v>
      </c>
      <c r="C2171" s="11">
        <f>$B$6</f>
        <v>1.171875</v>
      </c>
      <c r="D2171" s="11">
        <f>B2171+C2171</f>
        <v>2532.421875</v>
      </c>
      <c r="E2171" s="10">
        <f>MIN($B$7,ROUND(D2171/$B$6,0))</f>
        <v>2047</v>
      </c>
      <c r="F2171" s="10" t="str">
        <f>DEC2BIN(INT(E2171/64),5)&amp;DEC2BIN(MOD(E2171,64),6)</f>
        <v>11111111111</v>
      </c>
      <c r="G2171" s="10" t="str">
        <f>DEC2HEX(E2171,3)</f>
        <v>7FF</v>
      </c>
      <c r="H2171" s="10" t="str">
        <f>IF(ROUND(D2171/$B$6,0)&gt;$B$7,"YES","NO")</f>
        <v>YES</v>
      </c>
    </row>
    <row r="2172" spans="1:8">
      <c r="A2172" s="8">
        <v>2162</v>
      </c>
      <c r="B2172" s="9">
        <f>D2171</f>
        <v>2532.421875</v>
      </c>
      <c r="C2172" s="9">
        <f>$B$6</f>
        <v>1.171875</v>
      </c>
      <c r="D2172" s="9">
        <f>B2172+C2172</f>
        <v>2533.59375</v>
      </c>
      <c r="E2172" s="8">
        <f>MIN($B$7,ROUND(D2172/$B$6,0))</f>
        <v>2047</v>
      </c>
      <c r="F2172" s="8" t="str">
        <f>DEC2BIN(INT(E2172/64),5)&amp;DEC2BIN(MOD(E2172,64),6)</f>
        <v>11111111111</v>
      </c>
      <c r="G2172" s="8" t="str">
        <f>DEC2HEX(E2172,3)</f>
        <v>7FF</v>
      </c>
      <c r="H2172" s="8" t="str">
        <f>IF(ROUND(D2172/$B$6,0)&gt;$B$7,"YES","NO")</f>
        <v>YES</v>
      </c>
    </row>
    <row r="2173" spans="1:8">
      <c r="A2173" s="10">
        <v>2163</v>
      </c>
      <c r="B2173" s="11">
        <f>D2172</f>
        <v>2533.59375</v>
      </c>
      <c r="C2173" s="11">
        <f>$B$6</f>
        <v>1.171875</v>
      </c>
      <c r="D2173" s="11">
        <f>B2173+C2173</f>
        <v>2534.765625</v>
      </c>
      <c r="E2173" s="10">
        <f>MIN($B$7,ROUND(D2173/$B$6,0))</f>
        <v>2047</v>
      </c>
      <c r="F2173" s="10" t="str">
        <f>DEC2BIN(INT(E2173/64),5)&amp;DEC2BIN(MOD(E2173,64),6)</f>
        <v>11111111111</v>
      </c>
      <c r="G2173" s="10" t="str">
        <f>DEC2HEX(E2173,3)</f>
        <v>7FF</v>
      </c>
      <c r="H2173" s="10" t="str">
        <f>IF(ROUND(D2173/$B$6,0)&gt;$B$7,"YES","NO")</f>
        <v>YES</v>
      </c>
    </row>
    <row r="2174" spans="1:8">
      <c r="A2174" s="8">
        <v>2164</v>
      </c>
      <c r="B2174" s="9">
        <f>D2173</f>
        <v>2534.765625</v>
      </c>
      <c r="C2174" s="9">
        <f>$B$6</f>
        <v>1.171875</v>
      </c>
      <c r="D2174" s="9">
        <f>B2174+C2174</f>
        <v>2535.9375</v>
      </c>
      <c r="E2174" s="8">
        <f>MIN($B$7,ROUND(D2174/$B$6,0))</f>
        <v>2047</v>
      </c>
      <c r="F2174" s="8" t="str">
        <f>DEC2BIN(INT(E2174/64),5)&amp;DEC2BIN(MOD(E2174,64),6)</f>
        <v>11111111111</v>
      </c>
      <c r="G2174" s="8" t="str">
        <f>DEC2HEX(E2174,3)</f>
        <v>7FF</v>
      </c>
      <c r="H2174" s="8" t="str">
        <f>IF(ROUND(D2174/$B$6,0)&gt;$B$7,"YES","NO")</f>
        <v>YES</v>
      </c>
    </row>
    <row r="2175" spans="1:8">
      <c r="A2175" s="10">
        <v>2165</v>
      </c>
      <c r="B2175" s="11">
        <f>D2174</f>
        <v>2535.9375</v>
      </c>
      <c r="C2175" s="11">
        <f>$B$6</f>
        <v>1.171875</v>
      </c>
      <c r="D2175" s="11">
        <f>B2175+C2175</f>
        <v>2537.109375</v>
      </c>
      <c r="E2175" s="10">
        <f>MIN($B$7,ROUND(D2175/$B$6,0))</f>
        <v>2047</v>
      </c>
      <c r="F2175" s="10" t="str">
        <f>DEC2BIN(INT(E2175/64),5)&amp;DEC2BIN(MOD(E2175,64),6)</f>
        <v>11111111111</v>
      </c>
      <c r="G2175" s="10" t="str">
        <f>DEC2HEX(E2175,3)</f>
        <v>7FF</v>
      </c>
      <c r="H2175" s="10" t="str">
        <f>IF(ROUND(D2175/$B$6,0)&gt;$B$7,"YES","NO")</f>
        <v>YES</v>
      </c>
    </row>
    <row r="2176" spans="1:8">
      <c r="A2176" s="8">
        <v>2166</v>
      </c>
      <c r="B2176" s="9">
        <f>D2175</f>
        <v>2537.109375</v>
      </c>
      <c r="C2176" s="9">
        <f>$B$6</f>
        <v>1.171875</v>
      </c>
      <c r="D2176" s="9">
        <f>B2176+C2176</f>
        <v>2538.28125</v>
      </c>
      <c r="E2176" s="8">
        <f>MIN($B$7,ROUND(D2176/$B$6,0))</f>
        <v>2047</v>
      </c>
      <c r="F2176" s="8" t="str">
        <f>DEC2BIN(INT(E2176/64),5)&amp;DEC2BIN(MOD(E2176,64),6)</f>
        <v>11111111111</v>
      </c>
      <c r="G2176" s="8" t="str">
        <f>DEC2HEX(E2176,3)</f>
        <v>7FF</v>
      </c>
      <c r="H2176" s="8" t="str">
        <f>IF(ROUND(D2176/$B$6,0)&gt;$B$7,"YES","NO")</f>
        <v>YES</v>
      </c>
    </row>
    <row r="2177" spans="1:8">
      <c r="A2177" s="10">
        <v>2167</v>
      </c>
      <c r="B2177" s="11">
        <f>D2176</f>
        <v>2538.28125</v>
      </c>
      <c r="C2177" s="11">
        <f>$B$6</f>
        <v>1.171875</v>
      </c>
      <c r="D2177" s="11">
        <f>B2177+C2177</f>
        <v>2539.453125</v>
      </c>
      <c r="E2177" s="10">
        <f>MIN($B$7,ROUND(D2177/$B$6,0))</f>
        <v>2047</v>
      </c>
      <c r="F2177" s="10" t="str">
        <f>DEC2BIN(INT(E2177/64),5)&amp;DEC2BIN(MOD(E2177,64),6)</f>
        <v>11111111111</v>
      </c>
      <c r="G2177" s="10" t="str">
        <f>DEC2HEX(E2177,3)</f>
        <v>7FF</v>
      </c>
      <c r="H2177" s="10" t="str">
        <f>IF(ROUND(D2177/$B$6,0)&gt;$B$7,"YES","NO")</f>
        <v>YES</v>
      </c>
    </row>
    <row r="2178" spans="1:8">
      <c r="A2178" s="8">
        <v>2168</v>
      </c>
      <c r="B2178" s="9">
        <f>D2177</f>
        <v>2539.453125</v>
      </c>
      <c r="C2178" s="9">
        <f>$B$6</f>
        <v>1.171875</v>
      </c>
      <c r="D2178" s="9">
        <f>B2178+C2178</f>
        <v>2540.625</v>
      </c>
      <c r="E2178" s="8">
        <f>MIN($B$7,ROUND(D2178/$B$6,0))</f>
        <v>2047</v>
      </c>
      <c r="F2178" s="8" t="str">
        <f>DEC2BIN(INT(E2178/64),5)&amp;DEC2BIN(MOD(E2178,64),6)</f>
        <v>11111111111</v>
      </c>
      <c r="G2178" s="8" t="str">
        <f>DEC2HEX(E2178,3)</f>
        <v>7FF</v>
      </c>
      <c r="H2178" s="8" t="str">
        <f>IF(ROUND(D2178/$B$6,0)&gt;$B$7,"YES","NO")</f>
        <v>YES</v>
      </c>
    </row>
    <row r="2179" spans="1:8">
      <c r="A2179" s="10">
        <v>2169</v>
      </c>
      <c r="B2179" s="11">
        <f>D2178</f>
        <v>2540.625</v>
      </c>
      <c r="C2179" s="11">
        <f>$B$6</f>
        <v>1.171875</v>
      </c>
      <c r="D2179" s="11">
        <f>B2179+C2179</f>
        <v>2541.796875</v>
      </c>
      <c r="E2179" s="10">
        <f>MIN($B$7,ROUND(D2179/$B$6,0))</f>
        <v>2047</v>
      </c>
      <c r="F2179" s="10" t="str">
        <f>DEC2BIN(INT(E2179/64),5)&amp;DEC2BIN(MOD(E2179,64),6)</f>
        <v>11111111111</v>
      </c>
      <c r="G2179" s="10" t="str">
        <f>DEC2HEX(E2179,3)</f>
        <v>7FF</v>
      </c>
      <c r="H2179" s="10" t="str">
        <f>IF(ROUND(D2179/$B$6,0)&gt;$B$7,"YES","NO")</f>
        <v>YES</v>
      </c>
    </row>
    <row r="2180" spans="1:8">
      <c r="A2180" s="8">
        <v>2170</v>
      </c>
      <c r="B2180" s="9">
        <f>D2179</f>
        <v>2541.796875</v>
      </c>
      <c r="C2180" s="9">
        <f>$B$6</f>
        <v>1.171875</v>
      </c>
      <c r="D2180" s="9">
        <f>B2180+C2180</f>
        <v>2542.96875</v>
      </c>
      <c r="E2180" s="8">
        <f>MIN($B$7,ROUND(D2180/$B$6,0))</f>
        <v>2047</v>
      </c>
      <c r="F2180" s="8" t="str">
        <f>DEC2BIN(INT(E2180/64),5)&amp;DEC2BIN(MOD(E2180,64),6)</f>
        <v>11111111111</v>
      </c>
      <c r="G2180" s="8" t="str">
        <f>DEC2HEX(E2180,3)</f>
        <v>7FF</v>
      </c>
      <c r="H2180" s="8" t="str">
        <f>IF(ROUND(D2180/$B$6,0)&gt;$B$7,"YES","NO")</f>
        <v>YES</v>
      </c>
    </row>
    <row r="2181" spans="1:8">
      <c r="A2181" s="10">
        <v>2171</v>
      </c>
      <c r="B2181" s="11">
        <f>D2180</f>
        <v>2542.96875</v>
      </c>
      <c r="C2181" s="11">
        <f>$B$6</f>
        <v>1.171875</v>
      </c>
      <c r="D2181" s="11">
        <f>B2181+C2181</f>
        <v>2544.140625</v>
      </c>
      <c r="E2181" s="10">
        <f>MIN($B$7,ROUND(D2181/$B$6,0))</f>
        <v>2047</v>
      </c>
      <c r="F2181" s="10" t="str">
        <f>DEC2BIN(INT(E2181/64),5)&amp;DEC2BIN(MOD(E2181,64),6)</f>
        <v>11111111111</v>
      </c>
      <c r="G2181" s="10" t="str">
        <f>DEC2HEX(E2181,3)</f>
        <v>7FF</v>
      </c>
      <c r="H2181" s="10" t="str">
        <f>IF(ROUND(D2181/$B$6,0)&gt;$B$7,"YES","NO")</f>
        <v>YES</v>
      </c>
    </row>
    <row r="2182" spans="1:8">
      <c r="A2182" s="8">
        <v>2172</v>
      </c>
      <c r="B2182" s="9">
        <f>D2181</f>
        <v>2544.140625</v>
      </c>
      <c r="C2182" s="9">
        <f>$B$6</f>
        <v>1.171875</v>
      </c>
      <c r="D2182" s="9">
        <f>B2182+C2182</f>
        <v>2545.3125</v>
      </c>
      <c r="E2182" s="8">
        <f>MIN($B$7,ROUND(D2182/$B$6,0))</f>
        <v>2047</v>
      </c>
      <c r="F2182" s="8" t="str">
        <f>DEC2BIN(INT(E2182/64),5)&amp;DEC2BIN(MOD(E2182,64),6)</f>
        <v>11111111111</v>
      </c>
      <c r="G2182" s="8" t="str">
        <f>DEC2HEX(E2182,3)</f>
        <v>7FF</v>
      </c>
      <c r="H2182" s="8" t="str">
        <f>IF(ROUND(D2182/$B$6,0)&gt;$B$7,"YES","NO")</f>
        <v>YES</v>
      </c>
    </row>
    <row r="2183" spans="1:8">
      <c r="A2183" s="10">
        <v>2173</v>
      </c>
      <c r="B2183" s="11">
        <f>D2182</f>
        <v>2545.3125</v>
      </c>
      <c r="C2183" s="11">
        <f>$B$6</f>
        <v>1.171875</v>
      </c>
      <c r="D2183" s="11">
        <f>B2183+C2183</f>
        <v>2546.484375</v>
      </c>
      <c r="E2183" s="10">
        <f>MIN($B$7,ROUND(D2183/$B$6,0))</f>
        <v>2047</v>
      </c>
      <c r="F2183" s="10" t="str">
        <f>DEC2BIN(INT(E2183/64),5)&amp;DEC2BIN(MOD(E2183,64),6)</f>
        <v>11111111111</v>
      </c>
      <c r="G2183" s="10" t="str">
        <f>DEC2HEX(E2183,3)</f>
        <v>7FF</v>
      </c>
      <c r="H2183" s="10" t="str">
        <f>IF(ROUND(D2183/$B$6,0)&gt;$B$7,"YES","NO")</f>
        <v>YES</v>
      </c>
    </row>
    <row r="2184" spans="1:8">
      <c r="A2184" s="8">
        <v>2174</v>
      </c>
      <c r="B2184" s="9">
        <f>D2183</f>
        <v>2546.484375</v>
      </c>
      <c r="C2184" s="9">
        <f>$B$6</f>
        <v>1.171875</v>
      </c>
      <c r="D2184" s="9">
        <f>B2184+C2184</f>
        <v>2547.65625</v>
      </c>
      <c r="E2184" s="8">
        <f>MIN($B$7,ROUND(D2184/$B$6,0))</f>
        <v>2047</v>
      </c>
      <c r="F2184" s="8" t="str">
        <f>DEC2BIN(INT(E2184/64),5)&amp;DEC2BIN(MOD(E2184,64),6)</f>
        <v>11111111111</v>
      </c>
      <c r="G2184" s="8" t="str">
        <f>DEC2HEX(E2184,3)</f>
        <v>7FF</v>
      </c>
      <c r="H2184" s="8" t="str">
        <f>IF(ROUND(D2184/$B$6,0)&gt;$B$7,"YES","NO")</f>
        <v>YES</v>
      </c>
    </row>
    <row r="2185" spans="1:8">
      <c r="A2185" s="10">
        <v>2175</v>
      </c>
      <c r="B2185" s="11">
        <f>D2184</f>
        <v>2547.65625</v>
      </c>
      <c r="C2185" s="11">
        <f>$B$6</f>
        <v>1.171875</v>
      </c>
      <c r="D2185" s="11">
        <f>B2185+C2185</f>
        <v>2548.828125</v>
      </c>
      <c r="E2185" s="10">
        <f>MIN($B$7,ROUND(D2185/$B$6,0))</f>
        <v>2047</v>
      </c>
      <c r="F2185" s="10" t="str">
        <f>DEC2BIN(INT(E2185/64),5)&amp;DEC2BIN(MOD(E2185,64),6)</f>
        <v>11111111111</v>
      </c>
      <c r="G2185" s="10" t="str">
        <f>DEC2HEX(E2185,3)</f>
        <v>7FF</v>
      </c>
      <c r="H2185" s="10" t="str">
        <f>IF(ROUND(D2185/$B$6,0)&gt;$B$7,"YES","NO")</f>
        <v>YES</v>
      </c>
    </row>
    <row r="2186" spans="1:8">
      <c r="A2186" s="8">
        <v>2176</v>
      </c>
      <c r="B2186" s="9">
        <f>D2185</f>
        <v>2548.828125</v>
      </c>
      <c r="C2186" s="9">
        <f>$B$6</f>
        <v>1.171875</v>
      </c>
      <c r="D2186" s="9">
        <f>B2186+C2186</f>
        <v>2550</v>
      </c>
      <c r="E2186" s="8">
        <f>MIN($B$7,ROUND(D2186/$B$6,0))</f>
        <v>2047</v>
      </c>
      <c r="F2186" s="8" t="str">
        <f>DEC2BIN(INT(E2186/64),5)&amp;DEC2BIN(MOD(E2186,64),6)</f>
        <v>11111111111</v>
      </c>
      <c r="G2186" s="8" t="str">
        <f>DEC2HEX(E2186,3)</f>
        <v>7FF</v>
      </c>
      <c r="H2186" s="8" t="str">
        <f>IF(ROUND(D2186/$B$6,0)&gt;$B$7,"YES","NO")</f>
        <v>YES</v>
      </c>
    </row>
    <row r="2187" spans="1:8">
      <c r="A2187" s="10">
        <v>2177</v>
      </c>
      <c r="B2187" s="11">
        <f>D2186</f>
        <v>2550</v>
      </c>
      <c r="C2187" s="11">
        <f>$B$6</f>
        <v>1.171875</v>
      </c>
      <c r="D2187" s="11">
        <f>B2187+C2187</f>
        <v>2551.171875</v>
      </c>
      <c r="E2187" s="10">
        <f>MIN($B$7,ROUND(D2187/$B$6,0))</f>
        <v>2047</v>
      </c>
      <c r="F2187" s="10" t="str">
        <f>DEC2BIN(INT(E2187/64),5)&amp;DEC2BIN(MOD(E2187,64),6)</f>
        <v>11111111111</v>
      </c>
      <c r="G2187" s="10" t="str">
        <f>DEC2HEX(E2187,3)</f>
        <v>7FF</v>
      </c>
      <c r="H2187" s="10" t="str">
        <f>IF(ROUND(D2187/$B$6,0)&gt;$B$7,"YES","NO")</f>
        <v>YES</v>
      </c>
    </row>
    <row r="2188" spans="1:8">
      <c r="A2188" s="8">
        <v>2178</v>
      </c>
      <c r="B2188" s="9">
        <f>D2187</f>
        <v>2551.171875</v>
      </c>
      <c r="C2188" s="9">
        <f>$B$6</f>
        <v>1.171875</v>
      </c>
      <c r="D2188" s="9">
        <f>B2188+C2188</f>
        <v>2552.34375</v>
      </c>
      <c r="E2188" s="8">
        <f>MIN($B$7,ROUND(D2188/$B$6,0))</f>
        <v>2047</v>
      </c>
      <c r="F2188" s="8" t="str">
        <f>DEC2BIN(INT(E2188/64),5)&amp;DEC2BIN(MOD(E2188,64),6)</f>
        <v>11111111111</v>
      </c>
      <c r="G2188" s="8" t="str">
        <f>DEC2HEX(E2188,3)</f>
        <v>7FF</v>
      </c>
      <c r="H2188" s="8" t="str">
        <f>IF(ROUND(D2188/$B$6,0)&gt;$B$7,"YES","NO")</f>
        <v>YES</v>
      </c>
    </row>
    <row r="2189" spans="1:8">
      <c r="A2189" s="10">
        <v>2179</v>
      </c>
      <c r="B2189" s="11">
        <f>D2188</f>
        <v>2552.34375</v>
      </c>
      <c r="C2189" s="11">
        <f>$B$6</f>
        <v>1.171875</v>
      </c>
      <c r="D2189" s="11">
        <f>B2189+C2189</f>
        <v>2553.515625</v>
      </c>
      <c r="E2189" s="10">
        <f>MIN($B$7,ROUND(D2189/$B$6,0))</f>
        <v>2047</v>
      </c>
      <c r="F2189" s="10" t="str">
        <f>DEC2BIN(INT(E2189/64),5)&amp;DEC2BIN(MOD(E2189,64),6)</f>
        <v>11111111111</v>
      </c>
      <c r="G2189" s="10" t="str">
        <f>DEC2HEX(E2189,3)</f>
        <v>7FF</v>
      </c>
      <c r="H2189" s="10" t="str">
        <f>IF(ROUND(D2189/$B$6,0)&gt;$B$7,"YES","NO")</f>
        <v>YES</v>
      </c>
    </row>
    <row r="2190" spans="1:8">
      <c r="A2190" s="8">
        <v>2180</v>
      </c>
      <c r="B2190" s="9">
        <f>D2189</f>
        <v>2553.515625</v>
      </c>
      <c r="C2190" s="9">
        <f>$B$6</f>
        <v>1.171875</v>
      </c>
      <c r="D2190" s="9">
        <f>B2190+C2190</f>
        <v>2554.6875</v>
      </c>
      <c r="E2190" s="8">
        <f>MIN($B$7,ROUND(D2190/$B$6,0))</f>
        <v>2047</v>
      </c>
      <c r="F2190" s="8" t="str">
        <f>DEC2BIN(INT(E2190/64),5)&amp;DEC2BIN(MOD(E2190,64),6)</f>
        <v>11111111111</v>
      </c>
      <c r="G2190" s="8" t="str">
        <f>DEC2HEX(E2190,3)</f>
        <v>7FF</v>
      </c>
      <c r="H2190" s="8" t="str">
        <f>IF(ROUND(D2190/$B$6,0)&gt;$B$7,"YES","NO")</f>
        <v>YES</v>
      </c>
    </row>
    <row r="2191" spans="1:8">
      <c r="A2191" s="10">
        <v>2181</v>
      </c>
      <c r="B2191" s="11">
        <f>D2190</f>
        <v>2554.6875</v>
      </c>
      <c r="C2191" s="11">
        <f>$B$6</f>
        <v>1.171875</v>
      </c>
      <c r="D2191" s="11">
        <f>B2191+C2191</f>
        <v>2555.859375</v>
      </c>
      <c r="E2191" s="10">
        <f>MIN($B$7,ROUND(D2191/$B$6,0))</f>
        <v>2047</v>
      </c>
      <c r="F2191" s="10" t="str">
        <f>DEC2BIN(INT(E2191/64),5)&amp;DEC2BIN(MOD(E2191,64),6)</f>
        <v>11111111111</v>
      </c>
      <c r="G2191" s="10" t="str">
        <f>DEC2HEX(E2191,3)</f>
        <v>7FF</v>
      </c>
      <c r="H2191" s="10" t="str">
        <f>IF(ROUND(D2191/$B$6,0)&gt;$B$7,"YES","NO")</f>
        <v>YES</v>
      </c>
    </row>
    <row r="2192" spans="1:8">
      <c r="A2192" s="8">
        <v>2182</v>
      </c>
      <c r="B2192" s="9">
        <f>D2191</f>
        <v>2555.859375</v>
      </c>
      <c r="C2192" s="9">
        <f>$B$6</f>
        <v>1.171875</v>
      </c>
      <c r="D2192" s="9">
        <f>B2192+C2192</f>
        <v>2557.03125</v>
      </c>
      <c r="E2192" s="8">
        <f>MIN($B$7,ROUND(D2192/$B$6,0))</f>
        <v>2047</v>
      </c>
      <c r="F2192" s="8" t="str">
        <f>DEC2BIN(INT(E2192/64),5)&amp;DEC2BIN(MOD(E2192,64),6)</f>
        <v>11111111111</v>
      </c>
      <c r="G2192" s="8" t="str">
        <f>DEC2HEX(E2192,3)</f>
        <v>7FF</v>
      </c>
      <c r="H2192" s="8" t="str">
        <f>IF(ROUND(D2192/$B$6,0)&gt;$B$7,"YES","NO")</f>
        <v>YES</v>
      </c>
    </row>
    <row r="2193" spans="1:8">
      <c r="A2193" s="10">
        <v>2183</v>
      </c>
      <c r="B2193" s="11">
        <f>D2192</f>
        <v>2557.03125</v>
      </c>
      <c r="C2193" s="11">
        <f>$B$6</f>
        <v>1.171875</v>
      </c>
      <c r="D2193" s="11">
        <f>B2193+C2193</f>
        <v>2558.203125</v>
      </c>
      <c r="E2193" s="10">
        <f>MIN($B$7,ROUND(D2193/$B$6,0))</f>
        <v>2047</v>
      </c>
      <c r="F2193" s="10" t="str">
        <f>DEC2BIN(INT(E2193/64),5)&amp;DEC2BIN(MOD(E2193,64),6)</f>
        <v>11111111111</v>
      </c>
      <c r="G2193" s="10" t="str">
        <f>DEC2HEX(E2193,3)</f>
        <v>7FF</v>
      </c>
      <c r="H2193" s="10" t="str">
        <f>IF(ROUND(D2193/$B$6,0)&gt;$B$7,"YES","NO")</f>
        <v>YES</v>
      </c>
    </row>
    <row r="2194" spans="1:8">
      <c r="A2194" s="8">
        <v>2184</v>
      </c>
      <c r="B2194" s="9">
        <f>D2193</f>
        <v>2558.203125</v>
      </c>
      <c r="C2194" s="9">
        <f>$B$6</f>
        <v>1.171875</v>
      </c>
      <c r="D2194" s="9">
        <f>B2194+C2194</f>
        <v>2559.375</v>
      </c>
      <c r="E2194" s="8">
        <f>MIN($B$7,ROUND(D2194/$B$6,0))</f>
        <v>2047</v>
      </c>
      <c r="F2194" s="8" t="str">
        <f>DEC2BIN(INT(E2194/64),5)&amp;DEC2BIN(MOD(E2194,64),6)</f>
        <v>11111111111</v>
      </c>
      <c r="G2194" s="8" t="str">
        <f>DEC2HEX(E2194,3)</f>
        <v>7FF</v>
      </c>
      <c r="H2194" s="8" t="str">
        <f>IF(ROUND(D2194/$B$6,0)&gt;$B$7,"YES","NO")</f>
        <v>YES</v>
      </c>
    </row>
    <row r="2195" spans="1:8">
      <c r="A2195" s="10">
        <v>2185</v>
      </c>
      <c r="B2195" s="11">
        <f>D2194</f>
        <v>2559.375</v>
      </c>
      <c r="C2195" s="11">
        <f>$B$6</f>
        <v>1.171875</v>
      </c>
      <c r="D2195" s="11">
        <f>B2195+C2195</f>
        <v>2560.546875</v>
      </c>
      <c r="E2195" s="10">
        <f>MIN($B$7,ROUND(D2195/$B$6,0))</f>
        <v>2047</v>
      </c>
      <c r="F2195" s="10" t="str">
        <f>DEC2BIN(INT(E2195/64),5)&amp;DEC2BIN(MOD(E2195,64),6)</f>
        <v>11111111111</v>
      </c>
      <c r="G2195" s="10" t="str">
        <f>DEC2HEX(E2195,3)</f>
        <v>7FF</v>
      </c>
      <c r="H2195" s="10" t="str">
        <f>IF(ROUND(D2195/$B$6,0)&gt;$B$7,"YES","NO")</f>
        <v>YES</v>
      </c>
    </row>
    <row r="2196" spans="1:8">
      <c r="A2196" s="8">
        <v>2186</v>
      </c>
      <c r="B2196" s="9">
        <f>D2195</f>
        <v>2560.546875</v>
      </c>
      <c r="C2196" s="9">
        <f>$B$6</f>
        <v>1.171875</v>
      </c>
      <c r="D2196" s="9">
        <f>B2196+C2196</f>
        <v>2561.71875</v>
      </c>
      <c r="E2196" s="8">
        <f>MIN($B$7,ROUND(D2196/$B$6,0))</f>
        <v>2047</v>
      </c>
      <c r="F2196" s="8" t="str">
        <f>DEC2BIN(INT(E2196/64),5)&amp;DEC2BIN(MOD(E2196,64),6)</f>
        <v>11111111111</v>
      </c>
      <c r="G2196" s="8" t="str">
        <f>DEC2HEX(E2196,3)</f>
        <v>7FF</v>
      </c>
      <c r="H2196" s="8" t="str">
        <f>IF(ROUND(D2196/$B$6,0)&gt;$B$7,"YES","NO")</f>
        <v>YES</v>
      </c>
    </row>
    <row r="2197" spans="1:8">
      <c r="A2197" s="10">
        <v>2187</v>
      </c>
      <c r="B2197" s="11">
        <f>D2196</f>
        <v>2561.71875</v>
      </c>
      <c r="C2197" s="11">
        <f>$B$6</f>
        <v>1.171875</v>
      </c>
      <c r="D2197" s="11">
        <f>B2197+C2197</f>
        <v>2562.890625</v>
      </c>
      <c r="E2197" s="10">
        <f>MIN($B$7,ROUND(D2197/$B$6,0))</f>
        <v>2047</v>
      </c>
      <c r="F2197" s="10" t="str">
        <f>DEC2BIN(INT(E2197/64),5)&amp;DEC2BIN(MOD(E2197,64),6)</f>
        <v>11111111111</v>
      </c>
      <c r="G2197" s="10" t="str">
        <f>DEC2HEX(E2197,3)</f>
        <v>7FF</v>
      </c>
      <c r="H2197" s="10" t="str">
        <f>IF(ROUND(D2197/$B$6,0)&gt;$B$7,"YES","NO")</f>
        <v>YES</v>
      </c>
    </row>
    <row r="2198" spans="1:8">
      <c r="A2198" s="8">
        <v>2188</v>
      </c>
      <c r="B2198" s="9">
        <f>D2197</f>
        <v>2562.890625</v>
      </c>
      <c r="C2198" s="9">
        <f>$B$6</f>
        <v>1.171875</v>
      </c>
      <c r="D2198" s="9">
        <f>B2198+C2198</f>
        <v>2564.0625</v>
      </c>
      <c r="E2198" s="8">
        <f>MIN($B$7,ROUND(D2198/$B$6,0))</f>
        <v>2047</v>
      </c>
      <c r="F2198" s="8" t="str">
        <f>DEC2BIN(INT(E2198/64),5)&amp;DEC2BIN(MOD(E2198,64),6)</f>
        <v>11111111111</v>
      </c>
      <c r="G2198" s="8" t="str">
        <f>DEC2HEX(E2198,3)</f>
        <v>7FF</v>
      </c>
      <c r="H2198" s="8" t="str">
        <f>IF(ROUND(D2198/$B$6,0)&gt;$B$7,"YES","NO")</f>
        <v>YES</v>
      </c>
    </row>
    <row r="2199" spans="1:8">
      <c r="A2199" s="10">
        <v>2189</v>
      </c>
      <c r="B2199" s="11">
        <f>D2198</f>
        <v>2564.0625</v>
      </c>
      <c r="C2199" s="11">
        <f>$B$6</f>
        <v>1.171875</v>
      </c>
      <c r="D2199" s="11">
        <f>B2199+C2199</f>
        <v>2565.234375</v>
      </c>
      <c r="E2199" s="10">
        <f>MIN($B$7,ROUND(D2199/$B$6,0))</f>
        <v>2047</v>
      </c>
      <c r="F2199" s="10" t="str">
        <f>DEC2BIN(INT(E2199/64),5)&amp;DEC2BIN(MOD(E2199,64),6)</f>
        <v>11111111111</v>
      </c>
      <c r="G2199" s="10" t="str">
        <f>DEC2HEX(E2199,3)</f>
        <v>7FF</v>
      </c>
      <c r="H2199" s="10" t="str">
        <f>IF(ROUND(D2199/$B$6,0)&gt;$B$7,"YES","NO")</f>
        <v>YES</v>
      </c>
    </row>
    <row r="2200" spans="1:8">
      <c r="A2200" s="8">
        <v>2190</v>
      </c>
      <c r="B2200" s="9">
        <f>D2199</f>
        <v>2565.234375</v>
      </c>
      <c r="C2200" s="9">
        <f>$B$6</f>
        <v>1.171875</v>
      </c>
      <c r="D2200" s="9">
        <f>B2200+C2200</f>
        <v>2566.40625</v>
      </c>
      <c r="E2200" s="8">
        <f>MIN($B$7,ROUND(D2200/$B$6,0))</f>
        <v>2047</v>
      </c>
      <c r="F2200" s="8" t="str">
        <f>DEC2BIN(INT(E2200/64),5)&amp;DEC2BIN(MOD(E2200,64),6)</f>
        <v>11111111111</v>
      </c>
      <c r="G2200" s="8" t="str">
        <f>DEC2HEX(E2200,3)</f>
        <v>7FF</v>
      </c>
      <c r="H2200" s="8" t="str">
        <f>IF(ROUND(D2200/$B$6,0)&gt;$B$7,"YES","NO")</f>
        <v>YES</v>
      </c>
    </row>
    <row r="2201" spans="1:8">
      <c r="A2201" s="10">
        <v>2191</v>
      </c>
      <c r="B2201" s="11">
        <f>D2200</f>
        <v>2566.40625</v>
      </c>
      <c r="C2201" s="11">
        <f>$B$6</f>
        <v>1.171875</v>
      </c>
      <c r="D2201" s="11">
        <f>B2201+C2201</f>
        <v>2567.578125</v>
      </c>
      <c r="E2201" s="10">
        <f>MIN($B$7,ROUND(D2201/$B$6,0))</f>
        <v>2047</v>
      </c>
      <c r="F2201" s="10" t="str">
        <f>DEC2BIN(INT(E2201/64),5)&amp;DEC2BIN(MOD(E2201,64),6)</f>
        <v>11111111111</v>
      </c>
      <c r="G2201" s="10" t="str">
        <f>DEC2HEX(E2201,3)</f>
        <v>7FF</v>
      </c>
      <c r="H2201" s="10" t="str">
        <f>IF(ROUND(D2201/$B$6,0)&gt;$B$7,"YES","NO")</f>
        <v>YES</v>
      </c>
    </row>
    <row r="2202" spans="1:8">
      <c r="A2202" s="8">
        <v>2192</v>
      </c>
      <c r="B2202" s="9">
        <f>D2201</f>
        <v>2567.578125</v>
      </c>
      <c r="C2202" s="9">
        <f>$B$6</f>
        <v>1.171875</v>
      </c>
      <c r="D2202" s="9">
        <f>B2202+C2202</f>
        <v>2568.75</v>
      </c>
      <c r="E2202" s="8">
        <f>MIN($B$7,ROUND(D2202/$B$6,0))</f>
        <v>2047</v>
      </c>
      <c r="F2202" s="8" t="str">
        <f>DEC2BIN(INT(E2202/64),5)&amp;DEC2BIN(MOD(E2202,64),6)</f>
        <v>11111111111</v>
      </c>
      <c r="G2202" s="8" t="str">
        <f>DEC2HEX(E2202,3)</f>
        <v>7FF</v>
      </c>
      <c r="H2202" s="8" t="str">
        <f>IF(ROUND(D2202/$B$6,0)&gt;$B$7,"YES","NO")</f>
        <v>YES</v>
      </c>
    </row>
    <row r="2203" spans="1:8">
      <c r="A2203" s="10">
        <v>2193</v>
      </c>
      <c r="B2203" s="11">
        <f>D2202</f>
        <v>2568.75</v>
      </c>
      <c r="C2203" s="11">
        <f>$B$6</f>
        <v>1.171875</v>
      </c>
      <c r="D2203" s="11">
        <f>B2203+C2203</f>
        <v>2569.921875</v>
      </c>
      <c r="E2203" s="10">
        <f>MIN($B$7,ROUND(D2203/$B$6,0))</f>
        <v>2047</v>
      </c>
      <c r="F2203" s="10" t="str">
        <f>DEC2BIN(INT(E2203/64),5)&amp;DEC2BIN(MOD(E2203,64),6)</f>
        <v>11111111111</v>
      </c>
      <c r="G2203" s="10" t="str">
        <f>DEC2HEX(E2203,3)</f>
        <v>7FF</v>
      </c>
      <c r="H2203" s="10" t="str">
        <f>IF(ROUND(D2203/$B$6,0)&gt;$B$7,"YES","NO")</f>
        <v>YES</v>
      </c>
    </row>
    <row r="2204" spans="1:8">
      <c r="A2204" s="8">
        <v>2194</v>
      </c>
      <c r="B2204" s="9">
        <f>D2203</f>
        <v>2569.921875</v>
      </c>
      <c r="C2204" s="9">
        <f>$B$6</f>
        <v>1.171875</v>
      </c>
      <c r="D2204" s="9">
        <f>B2204+C2204</f>
        <v>2571.09375</v>
      </c>
      <c r="E2204" s="8">
        <f>MIN($B$7,ROUND(D2204/$B$6,0))</f>
        <v>2047</v>
      </c>
      <c r="F2204" s="8" t="str">
        <f>DEC2BIN(INT(E2204/64),5)&amp;DEC2BIN(MOD(E2204,64),6)</f>
        <v>11111111111</v>
      </c>
      <c r="G2204" s="8" t="str">
        <f>DEC2HEX(E2204,3)</f>
        <v>7FF</v>
      </c>
      <c r="H2204" s="8" t="str">
        <f>IF(ROUND(D2204/$B$6,0)&gt;$B$7,"YES","NO")</f>
        <v>YES</v>
      </c>
    </row>
    <row r="2205" spans="1:8">
      <c r="A2205" s="10">
        <v>2195</v>
      </c>
      <c r="B2205" s="11">
        <f>D2204</f>
        <v>2571.09375</v>
      </c>
      <c r="C2205" s="11">
        <f>$B$6</f>
        <v>1.171875</v>
      </c>
      <c r="D2205" s="11">
        <f>B2205+C2205</f>
        <v>2572.265625</v>
      </c>
      <c r="E2205" s="10">
        <f>MIN($B$7,ROUND(D2205/$B$6,0))</f>
        <v>2047</v>
      </c>
      <c r="F2205" s="10" t="str">
        <f>DEC2BIN(INT(E2205/64),5)&amp;DEC2BIN(MOD(E2205,64),6)</f>
        <v>11111111111</v>
      </c>
      <c r="G2205" s="10" t="str">
        <f>DEC2HEX(E2205,3)</f>
        <v>7FF</v>
      </c>
      <c r="H2205" s="10" t="str">
        <f>IF(ROUND(D2205/$B$6,0)&gt;$B$7,"YES","NO")</f>
        <v>YES</v>
      </c>
    </row>
    <row r="2206" spans="1:8">
      <c r="A2206" s="8">
        <v>2196</v>
      </c>
      <c r="B2206" s="9">
        <f>D2205</f>
        <v>2572.265625</v>
      </c>
      <c r="C2206" s="9">
        <f>$B$6</f>
        <v>1.171875</v>
      </c>
      <c r="D2206" s="9">
        <f>B2206+C2206</f>
        <v>2573.4375</v>
      </c>
      <c r="E2206" s="8">
        <f>MIN($B$7,ROUND(D2206/$B$6,0))</f>
        <v>2047</v>
      </c>
      <c r="F2206" s="8" t="str">
        <f>DEC2BIN(INT(E2206/64),5)&amp;DEC2BIN(MOD(E2206,64),6)</f>
        <v>11111111111</v>
      </c>
      <c r="G2206" s="8" t="str">
        <f>DEC2HEX(E2206,3)</f>
        <v>7FF</v>
      </c>
      <c r="H2206" s="8" t="str">
        <f>IF(ROUND(D2206/$B$6,0)&gt;$B$7,"YES","NO")</f>
        <v>YES</v>
      </c>
    </row>
    <row r="2207" spans="1:8">
      <c r="A2207" s="10">
        <v>2197</v>
      </c>
      <c r="B2207" s="11">
        <f>D2206</f>
        <v>2573.4375</v>
      </c>
      <c r="C2207" s="11">
        <f>$B$6</f>
        <v>1.171875</v>
      </c>
      <c r="D2207" s="11">
        <f>B2207+C2207</f>
        <v>2574.609375</v>
      </c>
      <c r="E2207" s="10">
        <f>MIN($B$7,ROUND(D2207/$B$6,0))</f>
        <v>2047</v>
      </c>
      <c r="F2207" s="10" t="str">
        <f>DEC2BIN(INT(E2207/64),5)&amp;DEC2BIN(MOD(E2207,64),6)</f>
        <v>11111111111</v>
      </c>
      <c r="G2207" s="10" t="str">
        <f>DEC2HEX(E2207,3)</f>
        <v>7FF</v>
      </c>
      <c r="H2207" s="10" t="str">
        <f>IF(ROUND(D2207/$B$6,0)&gt;$B$7,"YES","NO")</f>
        <v>YES</v>
      </c>
    </row>
    <row r="2208" spans="1:8">
      <c r="A2208" s="8">
        <v>2198</v>
      </c>
      <c r="B2208" s="9">
        <f>D2207</f>
        <v>2574.609375</v>
      </c>
      <c r="C2208" s="9">
        <f>$B$6</f>
        <v>1.171875</v>
      </c>
      <c r="D2208" s="9">
        <f>B2208+C2208</f>
        <v>2575.78125</v>
      </c>
      <c r="E2208" s="8">
        <f>MIN($B$7,ROUND(D2208/$B$6,0))</f>
        <v>2047</v>
      </c>
      <c r="F2208" s="8" t="str">
        <f>DEC2BIN(INT(E2208/64),5)&amp;DEC2BIN(MOD(E2208,64),6)</f>
        <v>11111111111</v>
      </c>
      <c r="G2208" s="8" t="str">
        <f>DEC2HEX(E2208,3)</f>
        <v>7FF</v>
      </c>
      <c r="H2208" s="8" t="str">
        <f>IF(ROUND(D2208/$B$6,0)&gt;$B$7,"YES","NO")</f>
        <v>YES</v>
      </c>
    </row>
    <row r="2209" spans="1:8">
      <c r="A2209" s="10">
        <v>2199</v>
      </c>
      <c r="B2209" s="11">
        <f>D2208</f>
        <v>2575.78125</v>
      </c>
      <c r="C2209" s="11">
        <f>$B$6</f>
        <v>1.171875</v>
      </c>
      <c r="D2209" s="11">
        <f>B2209+C2209</f>
        <v>2576.953125</v>
      </c>
      <c r="E2209" s="10">
        <f>MIN($B$7,ROUND(D2209/$B$6,0))</f>
        <v>2047</v>
      </c>
      <c r="F2209" s="10" t="str">
        <f>DEC2BIN(INT(E2209/64),5)&amp;DEC2BIN(MOD(E2209,64),6)</f>
        <v>11111111111</v>
      </c>
      <c r="G2209" s="10" t="str">
        <f>DEC2HEX(E2209,3)</f>
        <v>7FF</v>
      </c>
      <c r="H2209" s="10" t="str">
        <f>IF(ROUND(D2209/$B$6,0)&gt;$B$7,"YES","NO")</f>
        <v>YES</v>
      </c>
    </row>
    <row r="2210" spans="1:8">
      <c r="A2210" s="8">
        <v>2200</v>
      </c>
      <c r="B2210" s="9">
        <f>D2209</f>
        <v>2576.953125</v>
      </c>
      <c r="C2210" s="9">
        <f>$B$6</f>
        <v>1.171875</v>
      </c>
      <c r="D2210" s="9">
        <f>B2210+C2210</f>
        <v>2578.125</v>
      </c>
      <c r="E2210" s="8">
        <f>MIN($B$7,ROUND(D2210/$B$6,0))</f>
        <v>2047</v>
      </c>
      <c r="F2210" s="8" t="str">
        <f>DEC2BIN(INT(E2210/64),5)&amp;DEC2BIN(MOD(E2210,64),6)</f>
        <v>11111111111</v>
      </c>
      <c r="G2210" s="8" t="str">
        <f>DEC2HEX(E2210,3)</f>
        <v>7FF</v>
      </c>
      <c r="H2210" s="8" t="str">
        <f>IF(ROUND(D2210/$B$6,0)&gt;$B$7,"YES","NO")</f>
        <v>YES</v>
      </c>
    </row>
    <row r="2211" spans="1:8">
      <c r="A2211" s="10">
        <v>2201</v>
      </c>
      <c r="B2211" s="11">
        <f>D2210</f>
        <v>2578.125</v>
      </c>
      <c r="C2211" s="11">
        <f>$B$6</f>
        <v>1.171875</v>
      </c>
      <c r="D2211" s="11">
        <f>B2211+C2211</f>
        <v>2579.296875</v>
      </c>
      <c r="E2211" s="10">
        <f>MIN($B$7,ROUND(D2211/$B$6,0))</f>
        <v>2047</v>
      </c>
      <c r="F2211" s="10" t="str">
        <f>DEC2BIN(INT(E2211/64),5)&amp;DEC2BIN(MOD(E2211,64),6)</f>
        <v>11111111111</v>
      </c>
      <c r="G2211" s="10" t="str">
        <f>DEC2HEX(E2211,3)</f>
        <v>7FF</v>
      </c>
      <c r="H2211" s="10" t="str">
        <f>IF(ROUND(D2211/$B$6,0)&gt;$B$7,"YES","NO")</f>
        <v>YES</v>
      </c>
    </row>
    <row r="2212" spans="1:8">
      <c r="A2212" s="8">
        <v>2202</v>
      </c>
      <c r="B2212" s="9">
        <f>D2211</f>
        <v>2579.296875</v>
      </c>
      <c r="C2212" s="9">
        <f>$B$6</f>
        <v>1.171875</v>
      </c>
      <c r="D2212" s="9">
        <f>B2212+C2212</f>
        <v>2580.46875</v>
      </c>
      <c r="E2212" s="8">
        <f>MIN($B$7,ROUND(D2212/$B$6,0))</f>
        <v>2047</v>
      </c>
      <c r="F2212" s="8" t="str">
        <f>DEC2BIN(INT(E2212/64),5)&amp;DEC2BIN(MOD(E2212,64),6)</f>
        <v>11111111111</v>
      </c>
      <c r="G2212" s="8" t="str">
        <f>DEC2HEX(E2212,3)</f>
        <v>7FF</v>
      </c>
      <c r="H2212" s="8" t="str">
        <f>IF(ROUND(D2212/$B$6,0)&gt;$B$7,"YES","NO")</f>
        <v>YES</v>
      </c>
    </row>
    <row r="2213" spans="1:8">
      <c r="A2213" s="10">
        <v>2203</v>
      </c>
      <c r="B2213" s="11">
        <f>D2212</f>
        <v>2580.46875</v>
      </c>
      <c r="C2213" s="11">
        <f>$B$6</f>
        <v>1.171875</v>
      </c>
      <c r="D2213" s="11">
        <f>B2213+C2213</f>
        <v>2581.640625</v>
      </c>
      <c r="E2213" s="10">
        <f>MIN($B$7,ROUND(D2213/$B$6,0))</f>
        <v>2047</v>
      </c>
      <c r="F2213" s="10" t="str">
        <f>DEC2BIN(INT(E2213/64),5)&amp;DEC2BIN(MOD(E2213,64),6)</f>
        <v>11111111111</v>
      </c>
      <c r="G2213" s="10" t="str">
        <f>DEC2HEX(E2213,3)</f>
        <v>7FF</v>
      </c>
      <c r="H2213" s="10" t="str">
        <f>IF(ROUND(D2213/$B$6,0)&gt;$B$7,"YES","NO")</f>
        <v>YES</v>
      </c>
    </row>
    <row r="2214" spans="1:8">
      <c r="A2214" s="8">
        <v>2204</v>
      </c>
      <c r="B2214" s="9">
        <f>D2213</f>
        <v>2581.640625</v>
      </c>
      <c r="C2214" s="9">
        <f>$B$6</f>
        <v>1.171875</v>
      </c>
      <c r="D2214" s="9">
        <f>B2214+C2214</f>
        <v>2582.8125</v>
      </c>
      <c r="E2214" s="8">
        <f>MIN($B$7,ROUND(D2214/$B$6,0))</f>
        <v>2047</v>
      </c>
      <c r="F2214" s="8" t="str">
        <f>DEC2BIN(INT(E2214/64),5)&amp;DEC2BIN(MOD(E2214,64),6)</f>
        <v>11111111111</v>
      </c>
      <c r="G2214" s="8" t="str">
        <f>DEC2HEX(E2214,3)</f>
        <v>7FF</v>
      </c>
      <c r="H2214" s="8" t="str">
        <f>IF(ROUND(D2214/$B$6,0)&gt;$B$7,"YES","NO")</f>
        <v>YES</v>
      </c>
    </row>
    <row r="2215" spans="1:8">
      <c r="A2215" s="10">
        <v>2205</v>
      </c>
      <c r="B2215" s="11">
        <f>D2214</f>
        <v>2582.8125</v>
      </c>
      <c r="C2215" s="11">
        <f>$B$6</f>
        <v>1.171875</v>
      </c>
      <c r="D2215" s="11">
        <f>B2215+C2215</f>
        <v>2583.984375</v>
      </c>
      <c r="E2215" s="10">
        <f>MIN($B$7,ROUND(D2215/$B$6,0))</f>
        <v>2047</v>
      </c>
      <c r="F2215" s="10" t="str">
        <f>DEC2BIN(INT(E2215/64),5)&amp;DEC2BIN(MOD(E2215,64),6)</f>
        <v>11111111111</v>
      </c>
      <c r="G2215" s="10" t="str">
        <f>DEC2HEX(E2215,3)</f>
        <v>7FF</v>
      </c>
      <c r="H2215" s="10" t="str">
        <f>IF(ROUND(D2215/$B$6,0)&gt;$B$7,"YES","NO")</f>
        <v>YES</v>
      </c>
    </row>
    <row r="2216" spans="1:8">
      <c r="A2216" s="8">
        <v>2206</v>
      </c>
      <c r="B2216" s="9">
        <f>D2215</f>
        <v>2583.984375</v>
      </c>
      <c r="C2216" s="9">
        <f>$B$6</f>
        <v>1.171875</v>
      </c>
      <c r="D2216" s="9">
        <f>B2216+C2216</f>
        <v>2585.15625</v>
      </c>
      <c r="E2216" s="8">
        <f>MIN($B$7,ROUND(D2216/$B$6,0))</f>
        <v>2047</v>
      </c>
      <c r="F2216" s="8" t="str">
        <f>DEC2BIN(INT(E2216/64),5)&amp;DEC2BIN(MOD(E2216,64),6)</f>
        <v>11111111111</v>
      </c>
      <c r="G2216" s="8" t="str">
        <f>DEC2HEX(E2216,3)</f>
        <v>7FF</v>
      </c>
      <c r="H2216" s="8" t="str">
        <f>IF(ROUND(D2216/$B$6,0)&gt;$B$7,"YES","NO")</f>
        <v>YES</v>
      </c>
    </row>
    <row r="2217" spans="1:8">
      <c r="A2217" s="10">
        <v>2207</v>
      </c>
      <c r="B2217" s="11">
        <f>D2216</f>
        <v>2585.15625</v>
      </c>
      <c r="C2217" s="11">
        <f>$B$6</f>
        <v>1.171875</v>
      </c>
      <c r="D2217" s="11">
        <f>B2217+C2217</f>
        <v>2586.328125</v>
      </c>
      <c r="E2217" s="10">
        <f>MIN($B$7,ROUND(D2217/$B$6,0))</f>
        <v>2047</v>
      </c>
      <c r="F2217" s="10" t="str">
        <f>DEC2BIN(INT(E2217/64),5)&amp;DEC2BIN(MOD(E2217,64),6)</f>
        <v>11111111111</v>
      </c>
      <c r="G2217" s="10" t="str">
        <f>DEC2HEX(E2217,3)</f>
        <v>7FF</v>
      </c>
      <c r="H2217" s="10" t="str">
        <f>IF(ROUND(D2217/$B$6,0)&gt;$B$7,"YES","NO")</f>
        <v>YES</v>
      </c>
    </row>
    <row r="2218" spans="1:8">
      <c r="A2218" s="8">
        <v>2208</v>
      </c>
      <c r="B2218" s="9">
        <f>D2217</f>
        <v>2586.328125</v>
      </c>
      <c r="C2218" s="9">
        <f>$B$6</f>
        <v>1.171875</v>
      </c>
      <c r="D2218" s="9">
        <f>B2218+C2218</f>
        <v>2587.5</v>
      </c>
      <c r="E2218" s="8">
        <f>MIN($B$7,ROUND(D2218/$B$6,0))</f>
        <v>2047</v>
      </c>
      <c r="F2218" s="8" t="str">
        <f>DEC2BIN(INT(E2218/64),5)&amp;DEC2BIN(MOD(E2218,64),6)</f>
        <v>11111111111</v>
      </c>
      <c r="G2218" s="8" t="str">
        <f>DEC2HEX(E2218,3)</f>
        <v>7FF</v>
      </c>
      <c r="H2218" s="8" t="str">
        <f>IF(ROUND(D2218/$B$6,0)&gt;$B$7,"YES","NO")</f>
        <v>YES</v>
      </c>
    </row>
    <row r="2219" spans="1:8">
      <c r="A2219" s="10">
        <v>2209</v>
      </c>
      <c r="B2219" s="11">
        <f>D2218</f>
        <v>2587.5</v>
      </c>
      <c r="C2219" s="11">
        <f>$B$6</f>
        <v>1.171875</v>
      </c>
      <c r="D2219" s="11">
        <f>B2219+C2219</f>
        <v>2588.671875</v>
      </c>
      <c r="E2219" s="10">
        <f>MIN($B$7,ROUND(D2219/$B$6,0))</f>
        <v>2047</v>
      </c>
      <c r="F2219" s="10" t="str">
        <f>DEC2BIN(INT(E2219/64),5)&amp;DEC2BIN(MOD(E2219,64),6)</f>
        <v>11111111111</v>
      </c>
      <c r="G2219" s="10" t="str">
        <f>DEC2HEX(E2219,3)</f>
        <v>7FF</v>
      </c>
      <c r="H2219" s="10" t="str">
        <f>IF(ROUND(D2219/$B$6,0)&gt;$B$7,"YES","NO")</f>
        <v>YES</v>
      </c>
    </row>
    <row r="2220" spans="1:8">
      <c r="A2220" s="8">
        <v>2210</v>
      </c>
      <c r="B2220" s="9">
        <f>D2219</f>
        <v>2588.671875</v>
      </c>
      <c r="C2220" s="9">
        <f>$B$6</f>
        <v>1.171875</v>
      </c>
      <c r="D2220" s="9">
        <f>B2220+C2220</f>
        <v>2589.84375</v>
      </c>
      <c r="E2220" s="8">
        <f>MIN($B$7,ROUND(D2220/$B$6,0))</f>
        <v>2047</v>
      </c>
      <c r="F2220" s="8" t="str">
        <f>DEC2BIN(INT(E2220/64),5)&amp;DEC2BIN(MOD(E2220,64),6)</f>
        <v>11111111111</v>
      </c>
      <c r="G2220" s="8" t="str">
        <f>DEC2HEX(E2220,3)</f>
        <v>7FF</v>
      </c>
      <c r="H2220" s="8" t="str">
        <f>IF(ROUND(D2220/$B$6,0)&gt;$B$7,"YES","NO")</f>
        <v>YES</v>
      </c>
    </row>
    <row r="2221" spans="1:8">
      <c r="A2221" s="10">
        <v>2211</v>
      </c>
      <c r="B2221" s="11">
        <f>D2220</f>
        <v>2589.84375</v>
      </c>
      <c r="C2221" s="11">
        <f>$B$6</f>
        <v>1.171875</v>
      </c>
      <c r="D2221" s="11">
        <f>B2221+C2221</f>
        <v>2591.015625</v>
      </c>
      <c r="E2221" s="10">
        <f>MIN($B$7,ROUND(D2221/$B$6,0))</f>
        <v>2047</v>
      </c>
      <c r="F2221" s="10" t="str">
        <f>DEC2BIN(INT(E2221/64),5)&amp;DEC2BIN(MOD(E2221,64),6)</f>
        <v>11111111111</v>
      </c>
      <c r="G2221" s="10" t="str">
        <f>DEC2HEX(E2221,3)</f>
        <v>7FF</v>
      </c>
      <c r="H2221" s="10" t="str">
        <f>IF(ROUND(D2221/$B$6,0)&gt;$B$7,"YES","NO")</f>
        <v>YES</v>
      </c>
    </row>
    <row r="2222" spans="1:8">
      <c r="A2222" s="8">
        <v>2212</v>
      </c>
      <c r="B2222" s="9">
        <f>D2221</f>
        <v>2591.015625</v>
      </c>
      <c r="C2222" s="9">
        <f>$B$6</f>
        <v>1.171875</v>
      </c>
      <c r="D2222" s="9">
        <f>B2222+C2222</f>
        <v>2592.1875</v>
      </c>
      <c r="E2222" s="8">
        <f>MIN($B$7,ROUND(D2222/$B$6,0))</f>
        <v>2047</v>
      </c>
      <c r="F2222" s="8" t="str">
        <f>DEC2BIN(INT(E2222/64),5)&amp;DEC2BIN(MOD(E2222,64),6)</f>
        <v>11111111111</v>
      </c>
      <c r="G2222" s="8" t="str">
        <f>DEC2HEX(E2222,3)</f>
        <v>7FF</v>
      </c>
      <c r="H2222" s="8" t="str">
        <f>IF(ROUND(D2222/$B$6,0)&gt;$B$7,"YES","NO")</f>
        <v>YES</v>
      </c>
    </row>
    <row r="2223" spans="1:8">
      <c r="A2223" s="10">
        <v>2213</v>
      </c>
      <c r="B2223" s="11">
        <f>D2222</f>
        <v>2592.1875</v>
      </c>
      <c r="C2223" s="11">
        <f>$B$6</f>
        <v>1.171875</v>
      </c>
      <c r="D2223" s="11">
        <f>B2223+C2223</f>
        <v>2593.359375</v>
      </c>
      <c r="E2223" s="10">
        <f>MIN($B$7,ROUND(D2223/$B$6,0))</f>
        <v>2047</v>
      </c>
      <c r="F2223" s="10" t="str">
        <f>DEC2BIN(INT(E2223/64),5)&amp;DEC2BIN(MOD(E2223,64),6)</f>
        <v>11111111111</v>
      </c>
      <c r="G2223" s="10" t="str">
        <f>DEC2HEX(E2223,3)</f>
        <v>7FF</v>
      </c>
      <c r="H2223" s="10" t="str">
        <f>IF(ROUND(D2223/$B$6,0)&gt;$B$7,"YES","NO")</f>
        <v>YES</v>
      </c>
    </row>
    <row r="2224" spans="1:8">
      <c r="A2224" s="8">
        <v>2214</v>
      </c>
      <c r="B2224" s="9">
        <f>D2223</f>
        <v>2593.359375</v>
      </c>
      <c r="C2224" s="9">
        <f>$B$6</f>
        <v>1.171875</v>
      </c>
      <c r="D2224" s="9">
        <f>B2224+C2224</f>
        <v>2594.53125</v>
      </c>
      <c r="E2224" s="8">
        <f>MIN($B$7,ROUND(D2224/$B$6,0))</f>
        <v>2047</v>
      </c>
      <c r="F2224" s="8" t="str">
        <f>DEC2BIN(INT(E2224/64),5)&amp;DEC2BIN(MOD(E2224,64),6)</f>
        <v>11111111111</v>
      </c>
      <c r="G2224" s="8" t="str">
        <f>DEC2HEX(E2224,3)</f>
        <v>7FF</v>
      </c>
      <c r="H2224" s="8" t="str">
        <f>IF(ROUND(D2224/$B$6,0)&gt;$B$7,"YES","NO")</f>
        <v>YES</v>
      </c>
    </row>
    <row r="2225" spans="1:8">
      <c r="A2225" s="10">
        <v>2215</v>
      </c>
      <c r="B2225" s="11">
        <f>D2224</f>
        <v>2594.53125</v>
      </c>
      <c r="C2225" s="11">
        <f>$B$6</f>
        <v>1.171875</v>
      </c>
      <c r="D2225" s="11">
        <f>B2225+C2225</f>
        <v>2595.703125</v>
      </c>
      <c r="E2225" s="10">
        <f>MIN($B$7,ROUND(D2225/$B$6,0))</f>
        <v>2047</v>
      </c>
      <c r="F2225" s="10" t="str">
        <f>DEC2BIN(INT(E2225/64),5)&amp;DEC2BIN(MOD(E2225,64),6)</f>
        <v>11111111111</v>
      </c>
      <c r="G2225" s="10" t="str">
        <f>DEC2HEX(E2225,3)</f>
        <v>7FF</v>
      </c>
      <c r="H2225" s="10" t="str">
        <f>IF(ROUND(D2225/$B$6,0)&gt;$B$7,"YES","NO")</f>
        <v>YES</v>
      </c>
    </row>
    <row r="2226" spans="1:8">
      <c r="A2226" s="8">
        <v>2216</v>
      </c>
      <c r="B2226" s="9">
        <f>D2225</f>
        <v>2595.703125</v>
      </c>
      <c r="C2226" s="9">
        <f>$B$6</f>
        <v>1.171875</v>
      </c>
      <c r="D2226" s="9">
        <f>B2226+C2226</f>
        <v>2596.875</v>
      </c>
      <c r="E2226" s="8">
        <f>MIN($B$7,ROUND(D2226/$B$6,0))</f>
        <v>2047</v>
      </c>
      <c r="F2226" s="8" t="str">
        <f>DEC2BIN(INT(E2226/64),5)&amp;DEC2BIN(MOD(E2226,64),6)</f>
        <v>11111111111</v>
      </c>
      <c r="G2226" s="8" t="str">
        <f>DEC2HEX(E2226,3)</f>
        <v>7FF</v>
      </c>
      <c r="H2226" s="8" t="str">
        <f>IF(ROUND(D2226/$B$6,0)&gt;$B$7,"YES","NO")</f>
        <v>YES</v>
      </c>
    </row>
    <row r="2227" spans="1:8">
      <c r="A2227" s="10">
        <v>2217</v>
      </c>
      <c r="B2227" s="11">
        <f>D2226</f>
        <v>2596.875</v>
      </c>
      <c r="C2227" s="11">
        <f>$B$6</f>
        <v>1.171875</v>
      </c>
      <c r="D2227" s="11">
        <f>B2227+C2227</f>
        <v>2598.046875</v>
      </c>
      <c r="E2227" s="10">
        <f>MIN($B$7,ROUND(D2227/$B$6,0))</f>
        <v>2047</v>
      </c>
      <c r="F2227" s="10" t="str">
        <f>DEC2BIN(INT(E2227/64),5)&amp;DEC2BIN(MOD(E2227,64),6)</f>
        <v>11111111111</v>
      </c>
      <c r="G2227" s="10" t="str">
        <f>DEC2HEX(E2227,3)</f>
        <v>7FF</v>
      </c>
      <c r="H2227" s="10" t="str">
        <f>IF(ROUND(D2227/$B$6,0)&gt;$B$7,"YES","NO")</f>
        <v>YES</v>
      </c>
    </row>
    <row r="2228" spans="1:8">
      <c r="A2228" s="8">
        <v>2218</v>
      </c>
      <c r="B2228" s="9">
        <f>D2227</f>
        <v>2598.046875</v>
      </c>
      <c r="C2228" s="9">
        <f>$B$6</f>
        <v>1.171875</v>
      </c>
      <c r="D2228" s="9">
        <f>B2228+C2228</f>
        <v>2599.21875</v>
      </c>
      <c r="E2228" s="8">
        <f>MIN($B$7,ROUND(D2228/$B$6,0))</f>
        <v>2047</v>
      </c>
      <c r="F2228" s="8" t="str">
        <f>DEC2BIN(INT(E2228/64),5)&amp;DEC2BIN(MOD(E2228,64),6)</f>
        <v>11111111111</v>
      </c>
      <c r="G2228" s="8" t="str">
        <f>DEC2HEX(E2228,3)</f>
        <v>7FF</v>
      </c>
      <c r="H2228" s="8" t="str">
        <f>IF(ROUND(D2228/$B$6,0)&gt;$B$7,"YES","NO")</f>
        <v>YES</v>
      </c>
    </row>
    <row r="2229" spans="1:8">
      <c r="A2229" s="10">
        <v>2219</v>
      </c>
      <c r="B2229" s="11">
        <f>D2228</f>
        <v>2599.21875</v>
      </c>
      <c r="C2229" s="11">
        <f>$B$6</f>
        <v>1.171875</v>
      </c>
      <c r="D2229" s="11">
        <f>B2229+C2229</f>
        <v>2600.390625</v>
      </c>
      <c r="E2229" s="10">
        <f>MIN($B$7,ROUND(D2229/$B$6,0))</f>
        <v>2047</v>
      </c>
      <c r="F2229" s="10" t="str">
        <f>DEC2BIN(INT(E2229/64),5)&amp;DEC2BIN(MOD(E2229,64),6)</f>
        <v>11111111111</v>
      </c>
      <c r="G2229" s="10" t="str">
        <f>DEC2HEX(E2229,3)</f>
        <v>7FF</v>
      </c>
      <c r="H2229" s="10" t="str">
        <f>IF(ROUND(D2229/$B$6,0)&gt;$B$7,"YES","NO")</f>
        <v>YES</v>
      </c>
    </row>
    <row r="2230" spans="1:8">
      <c r="A2230" s="8">
        <v>2220</v>
      </c>
      <c r="B2230" s="9">
        <f>D2229</f>
        <v>2600.390625</v>
      </c>
      <c r="C2230" s="9">
        <f>$B$6</f>
        <v>1.171875</v>
      </c>
      <c r="D2230" s="9">
        <f>B2230+C2230</f>
        <v>2601.5625</v>
      </c>
      <c r="E2230" s="8">
        <f>MIN($B$7,ROUND(D2230/$B$6,0))</f>
        <v>2047</v>
      </c>
      <c r="F2230" s="8" t="str">
        <f>DEC2BIN(INT(E2230/64),5)&amp;DEC2BIN(MOD(E2230,64),6)</f>
        <v>11111111111</v>
      </c>
      <c r="G2230" s="8" t="str">
        <f>DEC2HEX(E2230,3)</f>
        <v>7FF</v>
      </c>
      <c r="H2230" s="8" t="str">
        <f>IF(ROUND(D2230/$B$6,0)&gt;$B$7,"YES","NO")</f>
        <v>YES</v>
      </c>
    </row>
    <row r="2231" spans="1:8">
      <c r="A2231" s="10">
        <v>2221</v>
      </c>
      <c r="B2231" s="11">
        <f>D2230</f>
        <v>2601.5625</v>
      </c>
      <c r="C2231" s="11">
        <f>$B$6</f>
        <v>1.171875</v>
      </c>
      <c r="D2231" s="11">
        <f>B2231+C2231</f>
        <v>2602.734375</v>
      </c>
      <c r="E2231" s="10">
        <f>MIN($B$7,ROUND(D2231/$B$6,0))</f>
        <v>2047</v>
      </c>
      <c r="F2231" s="10" t="str">
        <f>DEC2BIN(INT(E2231/64),5)&amp;DEC2BIN(MOD(E2231,64),6)</f>
        <v>11111111111</v>
      </c>
      <c r="G2231" s="10" t="str">
        <f>DEC2HEX(E2231,3)</f>
        <v>7FF</v>
      </c>
      <c r="H2231" s="10" t="str">
        <f>IF(ROUND(D2231/$B$6,0)&gt;$B$7,"YES","NO")</f>
        <v>YES</v>
      </c>
    </row>
    <row r="2232" spans="1:8">
      <c r="A2232" s="8">
        <v>2222</v>
      </c>
      <c r="B2232" s="9">
        <f>D2231</f>
        <v>2602.734375</v>
      </c>
      <c r="C2232" s="9">
        <f>$B$6</f>
        <v>1.171875</v>
      </c>
      <c r="D2232" s="9">
        <f>B2232+C2232</f>
        <v>2603.90625</v>
      </c>
      <c r="E2232" s="8">
        <f>MIN($B$7,ROUND(D2232/$B$6,0))</f>
        <v>2047</v>
      </c>
      <c r="F2232" s="8" t="str">
        <f>DEC2BIN(INT(E2232/64),5)&amp;DEC2BIN(MOD(E2232,64),6)</f>
        <v>11111111111</v>
      </c>
      <c r="G2232" s="8" t="str">
        <f>DEC2HEX(E2232,3)</f>
        <v>7FF</v>
      </c>
      <c r="H2232" s="8" t="str">
        <f>IF(ROUND(D2232/$B$6,0)&gt;$B$7,"YES","NO")</f>
        <v>YES</v>
      </c>
    </row>
    <row r="2233" spans="1:8">
      <c r="A2233" s="10">
        <v>2223</v>
      </c>
      <c r="B2233" s="11">
        <f>D2232</f>
        <v>2603.90625</v>
      </c>
      <c r="C2233" s="11">
        <f>$B$6</f>
        <v>1.171875</v>
      </c>
      <c r="D2233" s="11">
        <f>B2233+C2233</f>
        <v>2605.078125</v>
      </c>
      <c r="E2233" s="10">
        <f>MIN($B$7,ROUND(D2233/$B$6,0))</f>
        <v>2047</v>
      </c>
      <c r="F2233" s="10" t="str">
        <f>DEC2BIN(INT(E2233/64),5)&amp;DEC2BIN(MOD(E2233,64),6)</f>
        <v>11111111111</v>
      </c>
      <c r="G2233" s="10" t="str">
        <f>DEC2HEX(E2233,3)</f>
        <v>7FF</v>
      </c>
      <c r="H2233" s="10" t="str">
        <f>IF(ROUND(D2233/$B$6,0)&gt;$B$7,"YES","NO")</f>
        <v>YES</v>
      </c>
    </row>
    <row r="2234" spans="1:8">
      <c r="A2234" s="8">
        <v>2224</v>
      </c>
      <c r="B2234" s="9">
        <f>D2233</f>
        <v>2605.078125</v>
      </c>
      <c r="C2234" s="9">
        <f>$B$6</f>
        <v>1.171875</v>
      </c>
      <c r="D2234" s="9">
        <f>B2234+C2234</f>
        <v>2606.25</v>
      </c>
      <c r="E2234" s="8">
        <f>MIN($B$7,ROUND(D2234/$B$6,0))</f>
        <v>2047</v>
      </c>
      <c r="F2234" s="8" t="str">
        <f>DEC2BIN(INT(E2234/64),5)&amp;DEC2BIN(MOD(E2234,64),6)</f>
        <v>11111111111</v>
      </c>
      <c r="G2234" s="8" t="str">
        <f>DEC2HEX(E2234,3)</f>
        <v>7FF</v>
      </c>
      <c r="H2234" s="8" t="str">
        <f>IF(ROUND(D2234/$B$6,0)&gt;$B$7,"YES","NO")</f>
        <v>YES</v>
      </c>
    </row>
    <row r="2235" spans="1:8">
      <c r="A2235" s="10">
        <v>2225</v>
      </c>
      <c r="B2235" s="11">
        <f>D2234</f>
        <v>2606.25</v>
      </c>
      <c r="C2235" s="11">
        <f>$B$6</f>
        <v>1.171875</v>
      </c>
      <c r="D2235" s="11">
        <f>B2235+C2235</f>
        <v>2607.421875</v>
      </c>
      <c r="E2235" s="10">
        <f>MIN($B$7,ROUND(D2235/$B$6,0))</f>
        <v>2047</v>
      </c>
      <c r="F2235" s="10" t="str">
        <f>DEC2BIN(INT(E2235/64),5)&amp;DEC2BIN(MOD(E2235,64),6)</f>
        <v>11111111111</v>
      </c>
      <c r="G2235" s="10" t="str">
        <f>DEC2HEX(E2235,3)</f>
        <v>7FF</v>
      </c>
      <c r="H2235" s="10" t="str">
        <f>IF(ROUND(D2235/$B$6,0)&gt;$B$7,"YES","NO")</f>
        <v>YES</v>
      </c>
    </row>
    <row r="2236" spans="1:8">
      <c r="A2236" s="8">
        <v>2226</v>
      </c>
      <c r="B2236" s="9">
        <f>D2235</f>
        <v>2607.421875</v>
      </c>
      <c r="C2236" s="9">
        <f>$B$6</f>
        <v>1.171875</v>
      </c>
      <c r="D2236" s="9">
        <f>B2236+C2236</f>
        <v>2608.59375</v>
      </c>
      <c r="E2236" s="8">
        <f>MIN($B$7,ROUND(D2236/$B$6,0))</f>
        <v>2047</v>
      </c>
      <c r="F2236" s="8" t="str">
        <f>DEC2BIN(INT(E2236/64),5)&amp;DEC2BIN(MOD(E2236,64),6)</f>
        <v>11111111111</v>
      </c>
      <c r="G2236" s="8" t="str">
        <f>DEC2HEX(E2236,3)</f>
        <v>7FF</v>
      </c>
      <c r="H2236" s="8" t="str">
        <f>IF(ROUND(D2236/$B$6,0)&gt;$B$7,"YES","NO")</f>
        <v>YES</v>
      </c>
    </row>
    <row r="2237" spans="1:8">
      <c r="A2237" s="10">
        <v>2227</v>
      </c>
      <c r="B2237" s="11">
        <f>D2236</f>
        <v>2608.59375</v>
      </c>
      <c r="C2237" s="11">
        <f>$B$6</f>
        <v>1.171875</v>
      </c>
      <c r="D2237" s="11">
        <f>B2237+C2237</f>
        <v>2609.765625</v>
      </c>
      <c r="E2237" s="10">
        <f>MIN($B$7,ROUND(D2237/$B$6,0))</f>
        <v>2047</v>
      </c>
      <c r="F2237" s="10" t="str">
        <f>DEC2BIN(INT(E2237/64),5)&amp;DEC2BIN(MOD(E2237,64),6)</f>
        <v>11111111111</v>
      </c>
      <c r="G2237" s="10" t="str">
        <f>DEC2HEX(E2237,3)</f>
        <v>7FF</v>
      </c>
      <c r="H2237" s="10" t="str">
        <f>IF(ROUND(D2237/$B$6,0)&gt;$B$7,"YES","NO")</f>
        <v>YES</v>
      </c>
    </row>
    <row r="2238" spans="1:8">
      <c r="A2238" s="8">
        <v>2228</v>
      </c>
      <c r="B2238" s="9">
        <f>D2237</f>
        <v>2609.765625</v>
      </c>
      <c r="C2238" s="9">
        <f>$B$6</f>
        <v>1.171875</v>
      </c>
      <c r="D2238" s="9">
        <f>B2238+C2238</f>
        <v>2610.9375</v>
      </c>
      <c r="E2238" s="8">
        <f>MIN($B$7,ROUND(D2238/$B$6,0))</f>
        <v>2047</v>
      </c>
      <c r="F2238" s="8" t="str">
        <f>DEC2BIN(INT(E2238/64),5)&amp;DEC2BIN(MOD(E2238,64),6)</f>
        <v>11111111111</v>
      </c>
      <c r="G2238" s="8" t="str">
        <f>DEC2HEX(E2238,3)</f>
        <v>7FF</v>
      </c>
      <c r="H2238" s="8" t="str">
        <f>IF(ROUND(D2238/$B$6,0)&gt;$B$7,"YES","NO")</f>
        <v>YES</v>
      </c>
    </row>
    <row r="2239" spans="1:8">
      <c r="A2239" s="10">
        <v>2229</v>
      </c>
      <c r="B2239" s="11">
        <f>D2238</f>
        <v>2610.9375</v>
      </c>
      <c r="C2239" s="11">
        <f>$B$6</f>
        <v>1.171875</v>
      </c>
      <c r="D2239" s="11">
        <f>B2239+C2239</f>
        <v>2612.109375</v>
      </c>
      <c r="E2239" s="10">
        <f>MIN($B$7,ROUND(D2239/$B$6,0))</f>
        <v>2047</v>
      </c>
      <c r="F2239" s="10" t="str">
        <f>DEC2BIN(INT(E2239/64),5)&amp;DEC2BIN(MOD(E2239,64),6)</f>
        <v>11111111111</v>
      </c>
      <c r="G2239" s="10" t="str">
        <f>DEC2HEX(E2239,3)</f>
        <v>7FF</v>
      </c>
      <c r="H2239" s="10" t="str">
        <f>IF(ROUND(D2239/$B$6,0)&gt;$B$7,"YES","NO")</f>
        <v>YES</v>
      </c>
    </row>
    <row r="2240" spans="1:8">
      <c r="A2240" s="8">
        <v>2230</v>
      </c>
      <c r="B2240" s="9">
        <f>D2239</f>
        <v>2612.109375</v>
      </c>
      <c r="C2240" s="9">
        <f>$B$6</f>
        <v>1.171875</v>
      </c>
      <c r="D2240" s="9">
        <f>B2240+C2240</f>
        <v>2613.28125</v>
      </c>
      <c r="E2240" s="8">
        <f>MIN($B$7,ROUND(D2240/$B$6,0))</f>
        <v>2047</v>
      </c>
      <c r="F2240" s="8" t="str">
        <f>DEC2BIN(INT(E2240/64),5)&amp;DEC2BIN(MOD(E2240,64),6)</f>
        <v>11111111111</v>
      </c>
      <c r="G2240" s="8" t="str">
        <f>DEC2HEX(E2240,3)</f>
        <v>7FF</v>
      </c>
      <c r="H2240" s="8" t="str">
        <f>IF(ROUND(D2240/$B$6,0)&gt;$B$7,"YES","NO")</f>
        <v>YES</v>
      </c>
    </row>
    <row r="2241" spans="1:8">
      <c r="A2241" s="10">
        <v>2231</v>
      </c>
      <c r="B2241" s="11">
        <f>D2240</f>
        <v>2613.28125</v>
      </c>
      <c r="C2241" s="11">
        <f>$B$6</f>
        <v>1.171875</v>
      </c>
      <c r="D2241" s="11">
        <f>B2241+C2241</f>
        <v>2614.453125</v>
      </c>
      <c r="E2241" s="10">
        <f>MIN($B$7,ROUND(D2241/$B$6,0))</f>
        <v>2047</v>
      </c>
      <c r="F2241" s="10" t="str">
        <f>DEC2BIN(INT(E2241/64),5)&amp;DEC2BIN(MOD(E2241,64),6)</f>
        <v>11111111111</v>
      </c>
      <c r="G2241" s="10" t="str">
        <f>DEC2HEX(E2241,3)</f>
        <v>7FF</v>
      </c>
      <c r="H2241" s="10" t="str">
        <f>IF(ROUND(D2241/$B$6,0)&gt;$B$7,"YES","NO")</f>
        <v>YES</v>
      </c>
    </row>
    <row r="2242" spans="1:8">
      <c r="A2242" s="8">
        <v>2232</v>
      </c>
      <c r="B2242" s="9">
        <f>D2241</f>
        <v>2614.453125</v>
      </c>
      <c r="C2242" s="9">
        <f>$B$6</f>
        <v>1.171875</v>
      </c>
      <c r="D2242" s="9">
        <f>B2242+C2242</f>
        <v>2615.625</v>
      </c>
      <c r="E2242" s="8">
        <f>MIN($B$7,ROUND(D2242/$B$6,0))</f>
        <v>2047</v>
      </c>
      <c r="F2242" s="8" t="str">
        <f>DEC2BIN(INT(E2242/64),5)&amp;DEC2BIN(MOD(E2242,64),6)</f>
        <v>11111111111</v>
      </c>
      <c r="G2242" s="8" t="str">
        <f>DEC2HEX(E2242,3)</f>
        <v>7FF</v>
      </c>
      <c r="H2242" s="8" t="str">
        <f>IF(ROUND(D2242/$B$6,0)&gt;$B$7,"YES","NO")</f>
        <v>YES</v>
      </c>
    </row>
    <row r="2243" spans="1:8">
      <c r="A2243" s="10">
        <v>2233</v>
      </c>
      <c r="B2243" s="11">
        <f>D2242</f>
        <v>2615.625</v>
      </c>
      <c r="C2243" s="11">
        <f>$B$6</f>
        <v>1.171875</v>
      </c>
      <c r="D2243" s="11">
        <f>B2243+C2243</f>
        <v>2616.796875</v>
      </c>
      <c r="E2243" s="10">
        <f>MIN($B$7,ROUND(D2243/$B$6,0))</f>
        <v>2047</v>
      </c>
      <c r="F2243" s="10" t="str">
        <f>DEC2BIN(INT(E2243/64),5)&amp;DEC2BIN(MOD(E2243,64),6)</f>
        <v>11111111111</v>
      </c>
      <c r="G2243" s="10" t="str">
        <f>DEC2HEX(E2243,3)</f>
        <v>7FF</v>
      </c>
      <c r="H2243" s="10" t="str">
        <f>IF(ROUND(D2243/$B$6,0)&gt;$B$7,"YES","NO")</f>
        <v>YES</v>
      </c>
    </row>
    <row r="2244" spans="1:8">
      <c r="A2244" s="8">
        <v>2234</v>
      </c>
      <c r="B2244" s="9">
        <f>D2243</f>
        <v>2616.796875</v>
      </c>
      <c r="C2244" s="9">
        <f>$B$6</f>
        <v>1.171875</v>
      </c>
      <c r="D2244" s="9">
        <f>B2244+C2244</f>
        <v>2617.96875</v>
      </c>
      <c r="E2244" s="8">
        <f>MIN($B$7,ROUND(D2244/$B$6,0))</f>
        <v>2047</v>
      </c>
      <c r="F2244" s="8" t="str">
        <f>DEC2BIN(INT(E2244/64),5)&amp;DEC2BIN(MOD(E2244,64),6)</f>
        <v>11111111111</v>
      </c>
      <c r="G2244" s="8" t="str">
        <f>DEC2HEX(E2244,3)</f>
        <v>7FF</v>
      </c>
      <c r="H2244" s="8" t="str">
        <f>IF(ROUND(D2244/$B$6,0)&gt;$B$7,"YES","NO")</f>
        <v>YES</v>
      </c>
    </row>
    <row r="2245" spans="1:8">
      <c r="A2245" s="10">
        <v>2235</v>
      </c>
      <c r="B2245" s="11">
        <f>D2244</f>
        <v>2617.96875</v>
      </c>
      <c r="C2245" s="11">
        <f>$B$6</f>
        <v>1.171875</v>
      </c>
      <c r="D2245" s="11">
        <f>B2245+C2245</f>
        <v>2619.140625</v>
      </c>
      <c r="E2245" s="10">
        <f>MIN($B$7,ROUND(D2245/$B$6,0))</f>
        <v>2047</v>
      </c>
      <c r="F2245" s="10" t="str">
        <f>DEC2BIN(INT(E2245/64),5)&amp;DEC2BIN(MOD(E2245,64),6)</f>
        <v>11111111111</v>
      </c>
      <c r="G2245" s="10" t="str">
        <f>DEC2HEX(E2245,3)</f>
        <v>7FF</v>
      </c>
      <c r="H2245" s="10" t="str">
        <f>IF(ROUND(D2245/$B$6,0)&gt;$B$7,"YES","NO")</f>
        <v>YES</v>
      </c>
    </row>
    <row r="2246" spans="1:8">
      <c r="A2246" s="8">
        <v>2236</v>
      </c>
      <c r="B2246" s="9">
        <f>D2245</f>
        <v>2619.140625</v>
      </c>
      <c r="C2246" s="9">
        <f>$B$6</f>
        <v>1.171875</v>
      </c>
      <c r="D2246" s="9">
        <f>B2246+C2246</f>
        <v>2620.3125</v>
      </c>
      <c r="E2246" s="8">
        <f>MIN($B$7,ROUND(D2246/$B$6,0))</f>
        <v>2047</v>
      </c>
      <c r="F2246" s="8" t="str">
        <f>DEC2BIN(INT(E2246/64),5)&amp;DEC2BIN(MOD(E2246,64),6)</f>
        <v>11111111111</v>
      </c>
      <c r="G2246" s="8" t="str">
        <f>DEC2HEX(E2246,3)</f>
        <v>7FF</v>
      </c>
      <c r="H2246" s="8" t="str">
        <f>IF(ROUND(D2246/$B$6,0)&gt;$B$7,"YES","NO")</f>
        <v>YES</v>
      </c>
    </row>
    <row r="2247" spans="1:8">
      <c r="A2247" s="10">
        <v>2237</v>
      </c>
      <c r="B2247" s="11">
        <f>D2246</f>
        <v>2620.3125</v>
      </c>
      <c r="C2247" s="11">
        <f>$B$6</f>
        <v>1.171875</v>
      </c>
      <c r="D2247" s="11">
        <f>B2247+C2247</f>
        <v>2621.484375</v>
      </c>
      <c r="E2247" s="10">
        <f>MIN($B$7,ROUND(D2247/$B$6,0))</f>
        <v>2047</v>
      </c>
      <c r="F2247" s="10" t="str">
        <f>DEC2BIN(INT(E2247/64),5)&amp;DEC2BIN(MOD(E2247,64),6)</f>
        <v>11111111111</v>
      </c>
      <c r="G2247" s="10" t="str">
        <f>DEC2HEX(E2247,3)</f>
        <v>7FF</v>
      </c>
      <c r="H2247" s="10" t="str">
        <f>IF(ROUND(D2247/$B$6,0)&gt;$B$7,"YES","NO")</f>
        <v>YES</v>
      </c>
    </row>
    <row r="2248" spans="1:8">
      <c r="A2248" s="8">
        <v>2238</v>
      </c>
      <c r="B2248" s="9">
        <f>D2247</f>
        <v>2621.484375</v>
      </c>
      <c r="C2248" s="9">
        <f>$B$6</f>
        <v>1.171875</v>
      </c>
      <c r="D2248" s="9">
        <f>B2248+C2248</f>
        <v>2622.65625</v>
      </c>
      <c r="E2248" s="8">
        <f>MIN($B$7,ROUND(D2248/$B$6,0))</f>
        <v>2047</v>
      </c>
      <c r="F2248" s="8" t="str">
        <f>DEC2BIN(INT(E2248/64),5)&amp;DEC2BIN(MOD(E2248,64),6)</f>
        <v>11111111111</v>
      </c>
      <c r="G2248" s="8" t="str">
        <f>DEC2HEX(E2248,3)</f>
        <v>7FF</v>
      </c>
      <c r="H2248" s="8" t="str">
        <f>IF(ROUND(D2248/$B$6,0)&gt;$B$7,"YES","NO")</f>
        <v>YES</v>
      </c>
    </row>
    <row r="2249" spans="1:8">
      <c r="A2249" s="10">
        <v>2239</v>
      </c>
      <c r="B2249" s="11">
        <f>D2248</f>
        <v>2622.65625</v>
      </c>
      <c r="C2249" s="11">
        <f>$B$6</f>
        <v>1.171875</v>
      </c>
      <c r="D2249" s="11">
        <f>B2249+C2249</f>
        <v>2623.828125</v>
      </c>
      <c r="E2249" s="10">
        <f>MIN($B$7,ROUND(D2249/$B$6,0))</f>
        <v>2047</v>
      </c>
      <c r="F2249" s="10" t="str">
        <f>DEC2BIN(INT(E2249/64),5)&amp;DEC2BIN(MOD(E2249,64),6)</f>
        <v>11111111111</v>
      </c>
      <c r="G2249" s="10" t="str">
        <f>DEC2HEX(E2249,3)</f>
        <v>7FF</v>
      </c>
      <c r="H2249" s="10" t="str">
        <f>IF(ROUND(D2249/$B$6,0)&gt;$B$7,"YES","NO")</f>
        <v>YES</v>
      </c>
    </row>
    <row r="2250" spans="1:8">
      <c r="A2250" s="8">
        <v>2240</v>
      </c>
      <c r="B2250" s="9">
        <f>D2249</f>
        <v>2623.828125</v>
      </c>
      <c r="C2250" s="9">
        <f>$B$6</f>
        <v>1.171875</v>
      </c>
      <c r="D2250" s="9">
        <f>B2250+C2250</f>
        <v>2625</v>
      </c>
      <c r="E2250" s="8">
        <f>MIN($B$7,ROUND(D2250/$B$6,0))</f>
        <v>2047</v>
      </c>
      <c r="F2250" s="8" t="str">
        <f>DEC2BIN(INT(E2250/64),5)&amp;DEC2BIN(MOD(E2250,64),6)</f>
        <v>11111111111</v>
      </c>
      <c r="G2250" s="8" t="str">
        <f>DEC2HEX(E2250,3)</f>
        <v>7FF</v>
      </c>
      <c r="H2250" s="8" t="str">
        <f>IF(ROUND(D2250/$B$6,0)&gt;$B$7,"YES","NO")</f>
        <v>YES</v>
      </c>
    </row>
    <row r="2251" spans="1:8">
      <c r="A2251" s="10">
        <v>2241</v>
      </c>
      <c r="B2251" s="11">
        <f>D2250</f>
        <v>2625</v>
      </c>
      <c r="C2251" s="11">
        <f>$B$6</f>
        <v>1.171875</v>
      </c>
      <c r="D2251" s="11">
        <f>B2251+C2251</f>
        <v>2626.171875</v>
      </c>
      <c r="E2251" s="10">
        <f>MIN($B$7,ROUND(D2251/$B$6,0))</f>
        <v>2047</v>
      </c>
      <c r="F2251" s="10" t="str">
        <f>DEC2BIN(INT(E2251/64),5)&amp;DEC2BIN(MOD(E2251,64),6)</f>
        <v>11111111111</v>
      </c>
      <c r="G2251" s="10" t="str">
        <f>DEC2HEX(E2251,3)</f>
        <v>7FF</v>
      </c>
      <c r="H2251" s="10" t="str">
        <f>IF(ROUND(D2251/$B$6,0)&gt;$B$7,"YES","NO")</f>
        <v>YES</v>
      </c>
    </row>
    <row r="2252" spans="1:8">
      <c r="A2252" s="8">
        <v>2242</v>
      </c>
      <c r="B2252" s="9">
        <f>D2251</f>
        <v>2626.171875</v>
      </c>
      <c r="C2252" s="9">
        <f>$B$6</f>
        <v>1.171875</v>
      </c>
      <c r="D2252" s="9">
        <f>B2252+C2252</f>
        <v>2627.34375</v>
      </c>
      <c r="E2252" s="8">
        <f>MIN($B$7,ROUND(D2252/$B$6,0))</f>
        <v>2047</v>
      </c>
      <c r="F2252" s="8" t="str">
        <f>DEC2BIN(INT(E2252/64),5)&amp;DEC2BIN(MOD(E2252,64),6)</f>
        <v>11111111111</v>
      </c>
      <c r="G2252" s="8" t="str">
        <f>DEC2HEX(E2252,3)</f>
        <v>7FF</v>
      </c>
      <c r="H2252" s="8" t="str">
        <f>IF(ROUND(D2252/$B$6,0)&gt;$B$7,"YES","NO")</f>
        <v>YES</v>
      </c>
    </row>
    <row r="2253" spans="1:8">
      <c r="A2253" s="10">
        <v>2243</v>
      </c>
      <c r="B2253" s="11">
        <f>D2252</f>
        <v>2627.34375</v>
      </c>
      <c r="C2253" s="11">
        <f>$B$6</f>
        <v>1.171875</v>
      </c>
      <c r="D2253" s="11">
        <f>B2253+C2253</f>
        <v>2628.515625</v>
      </c>
      <c r="E2253" s="10">
        <f>MIN($B$7,ROUND(D2253/$B$6,0))</f>
        <v>2047</v>
      </c>
      <c r="F2253" s="10" t="str">
        <f>DEC2BIN(INT(E2253/64),5)&amp;DEC2BIN(MOD(E2253,64),6)</f>
        <v>11111111111</v>
      </c>
      <c r="G2253" s="10" t="str">
        <f>DEC2HEX(E2253,3)</f>
        <v>7FF</v>
      </c>
      <c r="H2253" s="10" t="str">
        <f>IF(ROUND(D2253/$B$6,0)&gt;$B$7,"YES","NO")</f>
        <v>YES</v>
      </c>
    </row>
    <row r="2254" spans="1:8">
      <c r="A2254" s="8">
        <v>2244</v>
      </c>
      <c r="B2254" s="9">
        <f>D2253</f>
        <v>2628.515625</v>
      </c>
      <c r="C2254" s="9">
        <f>$B$6</f>
        <v>1.171875</v>
      </c>
      <c r="D2254" s="9">
        <f>B2254+C2254</f>
        <v>2629.6875</v>
      </c>
      <c r="E2254" s="8">
        <f>MIN($B$7,ROUND(D2254/$B$6,0))</f>
        <v>2047</v>
      </c>
      <c r="F2254" s="8" t="str">
        <f>DEC2BIN(INT(E2254/64),5)&amp;DEC2BIN(MOD(E2254,64),6)</f>
        <v>11111111111</v>
      </c>
      <c r="G2254" s="8" t="str">
        <f>DEC2HEX(E2254,3)</f>
        <v>7FF</v>
      </c>
      <c r="H2254" s="8" t="str">
        <f>IF(ROUND(D2254/$B$6,0)&gt;$B$7,"YES","NO")</f>
        <v>YES</v>
      </c>
    </row>
    <row r="2255" spans="1:8">
      <c r="A2255" s="10">
        <v>2245</v>
      </c>
      <c r="B2255" s="11">
        <f>D2254</f>
        <v>2629.6875</v>
      </c>
      <c r="C2255" s="11">
        <f>$B$6</f>
        <v>1.171875</v>
      </c>
      <c r="D2255" s="11">
        <f>B2255+C2255</f>
        <v>2630.859375</v>
      </c>
      <c r="E2255" s="10">
        <f>MIN($B$7,ROUND(D2255/$B$6,0))</f>
        <v>2047</v>
      </c>
      <c r="F2255" s="10" t="str">
        <f>DEC2BIN(INT(E2255/64),5)&amp;DEC2BIN(MOD(E2255,64),6)</f>
        <v>11111111111</v>
      </c>
      <c r="G2255" s="10" t="str">
        <f>DEC2HEX(E2255,3)</f>
        <v>7FF</v>
      </c>
      <c r="H2255" s="10" t="str">
        <f>IF(ROUND(D2255/$B$6,0)&gt;$B$7,"YES","NO")</f>
        <v>YES</v>
      </c>
    </row>
    <row r="2256" spans="1:8">
      <c r="A2256" s="8">
        <v>2246</v>
      </c>
      <c r="B2256" s="9">
        <f>D2255</f>
        <v>2630.859375</v>
      </c>
      <c r="C2256" s="9">
        <f>$B$6</f>
        <v>1.171875</v>
      </c>
      <c r="D2256" s="9">
        <f>B2256+C2256</f>
        <v>2632.03125</v>
      </c>
      <c r="E2256" s="8">
        <f>MIN($B$7,ROUND(D2256/$B$6,0))</f>
        <v>2047</v>
      </c>
      <c r="F2256" s="8" t="str">
        <f>DEC2BIN(INT(E2256/64),5)&amp;DEC2BIN(MOD(E2256,64),6)</f>
        <v>11111111111</v>
      </c>
      <c r="G2256" s="8" t="str">
        <f>DEC2HEX(E2256,3)</f>
        <v>7FF</v>
      </c>
      <c r="H2256" s="8" t="str">
        <f>IF(ROUND(D2256/$B$6,0)&gt;$B$7,"YES","NO")</f>
        <v>YES</v>
      </c>
    </row>
    <row r="2257" spans="1:8">
      <c r="A2257" s="10">
        <v>2247</v>
      </c>
      <c r="B2257" s="11">
        <f>D2256</f>
        <v>2632.03125</v>
      </c>
      <c r="C2257" s="11">
        <f>$B$6</f>
        <v>1.171875</v>
      </c>
      <c r="D2257" s="11">
        <f>B2257+C2257</f>
        <v>2633.203125</v>
      </c>
      <c r="E2257" s="10">
        <f>MIN($B$7,ROUND(D2257/$B$6,0))</f>
        <v>2047</v>
      </c>
      <c r="F2257" s="10" t="str">
        <f>DEC2BIN(INT(E2257/64),5)&amp;DEC2BIN(MOD(E2257,64),6)</f>
        <v>11111111111</v>
      </c>
      <c r="G2257" s="10" t="str">
        <f>DEC2HEX(E2257,3)</f>
        <v>7FF</v>
      </c>
      <c r="H2257" s="10" t="str">
        <f>IF(ROUND(D2257/$B$6,0)&gt;$B$7,"YES","NO")</f>
        <v>YES</v>
      </c>
    </row>
    <row r="2258" spans="1:8">
      <c r="A2258" s="8">
        <v>2248</v>
      </c>
      <c r="B2258" s="9">
        <f>D2257</f>
        <v>2633.203125</v>
      </c>
      <c r="C2258" s="9">
        <f>$B$6</f>
        <v>1.171875</v>
      </c>
      <c r="D2258" s="9">
        <f>B2258+C2258</f>
        <v>2634.375</v>
      </c>
      <c r="E2258" s="8">
        <f>MIN($B$7,ROUND(D2258/$B$6,0))</f>
        <v>2047</v>
      </c>
      <c r="F2258" s="8" t="str">
        <f>DEC2BIN(INT(E2258/64),5)&amp;DEC2BIN(MOD(E2258,64),6)</f>
        <v>11111111111</v>
      </c>
      <c r="G2258" s="8" t="str">
        <f>DEC2HEX(E2258,3)</f>
        <v>7FF</v>
      </c>
      <c r="H2258" s="8" t="str">
        <f>IF(ROUND(D2258/$B$6,0)&gt;$B$7,"YES","NO")</f>
        <v>YES</v>
      </c>
    </row>
    <row r="2259" spans="1:8">
      <c r="A2259" s="10">
        <v>2249</v>
      </c>
      <c r="B2259" s="11">
        <f>D2258</f>
        <v>2634.375</v>
      </c>
      <c r="C2259" s="11">
        <f>$B$6</f>
        <v>1.171875</v>
      </c>
      <c r="D2259" s="11">
        <f>B2259+C2259</f>
        <v>2635.546875</v>
      </c>
      <c r="E2259" s="10">
        <f>MIN($B$7,ROUND(D2259/$B$6,0))</f>
        <v>2047</v>
      </c>
      <c r="F2259" s="10" t="str">
        <f>DEC2BIN(INT(E2259/64),5)&amp;DEC2BIN(MOD(E2259,64),6)</f>
        <v>11111111111</v>
      </c>
      <c r="G2259" s="10" t="str">
        <f>DEC2HEX(E2259,3)</f>
        <v>7FF</v>
      </c>
      <c r="H2259" s="10" t="str">
        <f>IF(ROUND(D2259/$B$6,0)&gt;$B$7,"YES","NO")</f>
        <v>YES</v>
      </c>
    </row>
    <row r="2260" spans="1:8">
      <c r="A2260" s="8">
        <v>2250</v>
      </c>
      <c r="B2260" s="9">
        <f>D2259</f>
        <v>2635.546875</v>
      </c>
      <c r="C2260" s="9">
        <f>$B$6</f>
        <v>1.171875</v>
      </c>
      <c r="D2260" s="9">
        <f>B2260+C2260</f>
        <v>2636.71875</v>
      </c>
      <c r="E2260" s="8">
        <f>MIN($B$7,ROUND(D2260/$B$6,0))</f>
        <v>2047</v>
      </c>
      <c r="F2260" s="8" t="str">
        <f>DEC2BIN(INT(E2260/64),5)&amp;DEC2BIN(MOD(E2260,64),6)</f>
        <v>11111111111</v>
      </c>
      <c r="G2260" s="8" t="str">
        <f>DEC2HEX(E2260,3)</f>
        <v>7FF</v>
      </c>
      <c r="H2260" s="8" t="str">
        <f>IF(ROUND(D2260/$B$6,0)&gt;$B$7,"YES","NO")</f>
        <v>YES</v>
      </c>
    </row>
    <row r="2261" spans="1:8">
      <c r="A2261" s="10">
        <v>2251</v>
      </c>
      <c r="B2261" s="11">
        <f>D2260</f>
        <v>2636.71875</v>
      </c>
      <c r="C2261" s="11">
        <f>$B$6</f>
        <v>1.171875</v>
      </c>
      <c r="D2261" s="11">
        <f>B2261+C2261</f>
        <v>2637.890625</v>
      </c>
      <c r="E2261" s="10">
        <f>MIN($B$7,ROUND(D2261/$B$6,0))</f>
        <v>2047</v>
      </c>
      <c r="F2261" s="10" t="str">
        <f>DEC2BIN(INT(E2261/64),5)&amp;DEC2BIN(MOD(E2261,64),6)</f>
        <v>11111111111</v>
      </c>
      <c r="G2261" s="10" t="str">
        <f>DEC2HEX(E2261,3)</f>
        <v>7FF</v>
      </c>
      <c r="H2261" s="10" t="str">
        <f>IF(ROUND(D2261/$B$6,0)&gt;$B$7,"YES","NO")</f>
        <v>YES</v>
      </c>
    </row>
    <row r="2262" spans="1:8">
      <c r="A2262" s="8">
        <v>2252</v>
      </c>
      <c r="B2262" s="9">
        <f>D2261</f>
        <v>2637.890625</v>
      </c>
      <c r="C2262" s="9">
        <f>$B$6</f>
        <v>1.171875</v>
      </c>
      <c r="D2262" s="9">
        <f>B2262+C2262</f>
        <v>2639.0625</v>
      </c>
      <c r="E2262" s="8">
        <f>MIN($B$7,ROUND(D2262/$B$6,0))</f>
        <v>2047</v>
      </c>
      <c r="F2262" s="8" t="str">
        <f>DEC2BIN(INT(E2262/64),5)&amp;DEC2BIN(MOD(E2262,64),6)</f>
        <v>11111111111</v>
      </c>
      <c r="G2262" s="8" t="str">
        <f>DEC2HEX(E2262,3)</f>
        <v>7FF</v>
      </c>
      <c r="H2262" s="8" t="str">
        <f>IF(ROUND(D2262/$B$6,0)&gt;$B$7,"YES","NO")</f>
        <v>YES</v>
      </c>
    </row>
    <row r="2263" spans="1:8">
      <c r="A2263" s="10">
        <v>2253</v>
      </c>
      <c r="B2263" s="11">
        <f>D2262</f>
        <v>2639.0625</v>
      </c>
      <c r="C2263" s="11">
        <f>$B$6</f>
        <v>1.171875</v>
      </c>
      <c r="D2263" s="11">
        <f>B2263+C2263</f>
        <v>2640.234375</v>
      </c>
      <c r="E2263" s="10">
        <f>MIN($B$7,ROUND(D2263/$B$6,0))</f>
        <v>2047</v>
      </c>
      <c r="F2263" s="10" t="str">
        <f>DEC2BIN(INT(E2263/64),5)&amp;DEC2BIN(MOD(E2263,64),6)</f>
        <v>11111111111</v>
      </c>
      <c r="G2263" s="10" t="str">
        <f>DEC2HEX(E2263,3)</f>
        <v>7FF</v>
      </c>
      <c r="H2263" s="10" t="str">
        <f>IF(ROUND(D2263/$B$6,0)&gt;$B$7,"YES","NO")</f>
        <v>YES</v>
      </c>
    </row>
    <row r="2264" spans="1:8">
      <c r="A2264" s="8">
        <v>2254</v>
      </c>
      <c r="B2264" s="9">
        <f>D2263</f>
        <v>2640.234375</v>
      </c>
      <c r="C2264" s="9">
        <f>$B$6</f>
        <v>1.171875</v>
      </c>
      <c r="D2264" s="9">
        <f>B2264+C2264</f>
        <v>2641.40625</v>
      </c>
      <c r="E2264" s="8">
        <f>MIN($B$7,ROUND(D2264/$B$6,0))</f>
        <v>2047</v>
      </c>
      <c r="F2264" s="8" t="str">
        <f>DEC2BIN(INT(E2264/64),5)&amp;DEC2BIN(MOD(E2264,64),6)</f>
        <v>11111111111</v>
      </c>
      <c r="G2264" s="8" t="str">
        <f>DEC2HEX(E2264,3)</f>
        <v>7FF</v>
      </c>
      <c r="H2264" s="8" t="str">
        <f>IF(ROUND(D2264/$B$6,0)&gt;$B$7,"YES","NO")</f>
        <v>YES</v>
      </c>
    </row>
    <row r="2265" spans="1:8">
      <c r="A2265" s="10">
        <v>2255</v>
      </c>
      <c r="B2265" s="11">
        <f>D2264</f>
        <v>2641.40625</v>
      </c>
      <c r="C2265" s="11">
        <f>$B$6</f>
        <v>1.171875</v>
      </c>
      <c r="D2265" s="11">
        <f>B2265+C2265</f>
        <v>2642.578125</v>
      </c>
      <c r="E2265" s="10">
        <f>MIN($B$7,ROUND(D2265/$B$6,0))</f>
        <v>2047</v>
      </c>
      <c r="F2265" s="10" t="str">
        <f>DEC2BIN(INT(E2265/64),5)&amp;DEC2BIN(MOD(E2265,64),6)</f>
        <v>11111111111</v>
      </c>
      <c r="G2265" s="10" t="str">
        <f>DEC2HEX(E2265,3)</f>
        <v>7FF</v>
      </c>
      <c r="H2265" s="10" t="str">
        <f>IF(ROUND(D2265/$B$6,0)&gt;$B$7,"YES","NO")</f>
        <v>YES</v>
      </c>
    </row>
    <row r="2266" spans="1:8">
      <c r="A2266" s="8">
        <v>2256</v>
      </c>
      <c r="B2266" s="9">
        <f>D2265</f>
        <v>2642.578125</v>
      </c>
      <c r="C2266" s="9">
        <f>$B$6</f>
        <v>1.171875</v>
      </c>
      <c r="D2266" s="9">
        <f>B2266+C2266</f>
        <v>2643.75</v>
      </c>
      <c r="E2266" s="8">
        <f>MIN($B$7,ROUND(D2266/$B$6,0))</f>
        <v>2047</v>
      </c>
      <c r="F2266" s="8" t="str">
        <f>DEC2BIN(INT(E2266/64),5)&amp;DEC2BIN(MOD(E2266,64),6)</f>
        <v>11111111111</v>
      </c>
      <c r="G2266" s="8" t="str">
        <f>DEC2HEX(E2266,3)</f>
        <v>7FF</v>
      </c>
      <c r="H2266" s="8" t="str">
        <f>IF(ROUND(D2266/$B$6,0)&gt;$B$7,"YES","NO")</f>
        <v>YES</v>
      </c>
    </row>
    <row r="2267" spans="1:8">
      <c r="A2267" s="10">
        <v>2257</v>
      </c>
      <c r="B2267" s="11">
        <f>D2266</f>
        <v>2643.75</v>
      </c>
      <c r="C2267" s="11">
        <f>$B$6</f>
        <v>1.171875</v>
      </c>
      <c r="D2267" s="11">
        <f>B2267+C2267</f>
        <v>2644.921875</v>
      </c>
      <c r="E2267" s="10">
        <f>MIN($B$7,ROUND(D2267/$B$6,0))</f>
        <v>2047</v>
      </c>
      <c r="F2267" s="10" t="str">
        <f>DEC2BIN(INT(E2267/64),5)&amp;DEC2BIN(MOD(E2267,64),6)</f>
        <v>11111111111</v>
      </c>
      <c r="G2267" s="10" t="str">
        <f>DEC2HEX(E2267,3)</f>
        <v>7FF</v>
      </c>
      <c r="H2267" s="10" t="str">
        <f>IF(ROUND(D2267/$B$6,0)&gt;$B$7,"YES","NO")</f>
        <v>YES</v>
      </c>
    </row>
    <row r="2268" spans="1:8">
      <c r="A2268" s="8">
        <v>2258</v>
      </c>
      <c r="B2268" s="9">
        <f>D2267</f>
        <v>2644.921875</v>
      </c>
      <c r="C2268" s="9">
        <f>$B$6</f>
        <v>1.171875</v>
      </c>
      <c r="D2268" s="9">
        <f>B2268+C2268</f>
        <v>2646.09375</v>
      </c>
      <c r="E2268" s="8">
        <f>MIN($B$7,ROUND(D2268/$B$6,0))</f>
        <v>2047</v>
      </c>
      <c r="F2268" s="8" t="str">
        <f>DEC2BIN(INT(E2268/64),5)&amp;DEC2BIN(MOD(E2268,64),6)</f>
        <v>11111111111</v>
      </c>
      <c r="G2268" s="8" t="str">
        <f>DEC2HEX(E2268,3)</f>
        <v>7FF</v>
      </c>
      <c r="H2268" s="8" t="str">
        <f>IF(ROUND(D2268/$B$6,0)&gt;$B$7,"YES","NO")</f>
        <v>YES</v>
      </c>
    </row>
    <row r="2269" spans="1:8">
      <c r="A2269" s="10">
        <v>2259</v>
      </c>
      <c r="B2269" s="11">
        <f>D2268</f>
        <v>2646.09375</v>
      </c>
      <c r="C2269" s="11">
        <f>$B$6</f>
        <v>1.171875</v>
      </c>
      <c r="D2269" s="11">
        <f>B2269+C2269</f>
        <v>2647.265625</v>
      </c>
      <c r="E2269" s="10">
        <f>MIN($B$7,ROUND(D2269/$B$6,0))</f>
        <v>2047</v>
      </c>
      <c r="F2269" s="10" t="str">
        <f>DEC2BIN(INT(E2269/64),5)&amp;DEC2BIN(MOD(E2269,64),6)</f>
        <v>11111111111</v>
      </c>
      <c r="G2269" s="10" t="str">
        <f>DEC2HEX(E2269,3)</f>
        <v>7FF</v>
      </c>
      <c r="H2269" s="10" t="str">
        <f>IF(ROUND(D2269/$B$6,0)&gt;$B$7,"YES","NO")</f>
        <v>YES</v>
      </c>
    </row>
    <row r="2270" spans="1:8">
      <c r="A2270" s="8">
        <v>2260</v>
      </c>
      <c r="B2270" s="9">
        <f>D2269</f>
        <v>2647.265625</v>
      </c>
      <c r="C2270" s="9">
        <f>$B$6</f>
        <v>1.171875</v>
      </c>
      <c r="D2270" s="9">
        <f>B2270+C2270</f>
        <v>2648.4375</v>
      </c>
      <c r="E2270" s="8">
        <f>MIN($B$7,ROUND(D2270/$B$6,0))</f>
        <v>2047</v>
      </c>
      <c r="F2270" s="8" t="str">
        <f>DEC2BIN(INT(E2270/64),5)&amp;DEC2BIN(MOD(E2270,64),6)</f>
        <v>11111111111</v>
      </c>
      <c r="G2270" s="8" t="str">
        <f>DEC2HEX(E2270,3)</f>
        <v>7FF</v>
      </c>
      <c r="H2270" s="8" t="str">
        <f>IF(ROUND(D2270/$B$6,0)&gt;$B$7,"YES","NO")</f>
        <v>YES</v>
      </c>
    </row>
    <row r="2271" spans="1:8">
      <c r="A2271" s="10">
        <v>2261</v>
      </c>
      <c r="B2271" s="11">
        <f>D2270</f>
        <v>2648.4375</v>
      </c>
      <c r="C2271" s="11">
        <f>$B$6</f>
        <v>1.171875</v>
      </c>
      <c r="D2271" s="11">
        <f>B2271+C2271</f>
        <v>2649.609375</v>
      </c>
      <c r="E2271" s="10">
        <f>MIN($B$7,ROUND(D2271/$B$6,0))</f>
        <v>2047</v>
      </c>
      <c r="F2271" s="10" t="str">
        <f>DEC2BIN(INT(E2271/64),5)&amp;DEC2BIN(MOD(E2271,64),6)</f>
        <v>11111111111</v>
      </c>
      <c r="G2271" s="10" t="str">
        <f>DEC2HEX(E2271,3)</f>
        <v>7FF</v>
      </c>
      <c r="H2271" s="10" t="str">
        <f>IF(ROUND(D2271/$B$6,0)&gt;$B$7,"YES","NO")</f>
        <v>YES</v>
      </c>
    </row>
    <row r="2272" spans="1:8">
      <c r="A2272" s="8">
        <v>2262</v>
      </c>
      <c r="B2272" s="9">
        <f>D2271</f>
        <v>2649.609375</v>
      </c>
      <c r="C2272" s="9">
        <f>$B$6</f>
        <v>1.171875</v>
      </c>
      <c r="D2272" s="9">
        <f>B2272+C2272</f>
        <v>2650.78125</v>
      </c>
      <c r="E2272" s="8">
        <f>MIN($B$7,ROUND(D2272/$B$6,0))</f>
        <v>2047</v>
      </c>
      <c r="F2272" s="8" t="str">
        <f>DEC2BIN(INT(E2272/64),5)&amp;DEC2BIN(MOD(E2272,64),6)</f>
        <v>11111111111</v>
      </c>
      <c r="G2272" s="8" t="str">
        <f>DEC2HEX(E2272,3)</f>
        <v>7FF</v>
      </c>
      <c r="H2272" s="8" t="str">
        <f>IF(ROUND(D2272/$B$6,0)&gt;$B$7,"YES","NO")</f>
        <v>YES</v>
      </c>
    </row>
    <row r="2273" spans="1:8">
      <c r="A2273" s="10">
        <v>2263</v>
      </c>
      <c r="B2273" s="11">
        <f>D2272</f>
        <v>2650.78125</v>
      </c>
      <c r="C2273" s="11">
        <f>$B$6</f>
        <v>1.171875</v>
      </c>
      <c r="D2273" s="11">
        <f>B2273+C2273</f>
        <v>2651.953125</v>
      </c>
      <c r="E2273" s="10">
        <f>MIN($B$7,ROUND(D2273/$B$6,0))</f>
        <v>2047</v>
      </c>
      <c r="F2273" s="10" t="str">
        <f>DEC2BIN(INT(E2273/64),5)&amp;DEC2BIN(MOD(E2273,64),6)</f>
        <v>11111111111</v>
      </c>
      <c r="G2273" s="10" t="str">
        <f>DEC2HEX(E2273,3)</f>
        <v>7FF</v>
      </c>
      <c r="H2273" s="10" t="str">
        <f>IF(ROUND(D2273/$B$6,0)&gt;$B$7,"YES","NO")</f>
        <v>YES</v>
      </c>
    </row>
    <row r="2274" spans="1:8">
      <c r="A2274" s="8">
        <v>2264</v>
      </c>
      <c r="B2274" s="9">
        <f>D2273</f>
        <v>2651.953125</v>
      </c>
      <c r="C2274" s="9">
        <f>$B$6</f>
        <v>1.171875</v>
      </c>
      <c r="D2274" s="9">
        <f>B2274+C2274</f>
        <v>2653.125</v>
      </c>
      <c r="E2274" s="8">
        <f>MIN($B$7,ROUND(D2274/$B$6,0))</f>
        <v>2047</v>
      </c>
      <c r="F2274" s="8" t="str">
        <f>DEC2BIN(INT(E2274/64),5)&amp;DEC2BIN(MOD(E2274,64),6)</f>
        <v>11111111111</v>
      </c>
      <c r="G2274" s="8" t="str">
        <f>DEC2HEX(E2274,3)</f>
        <v>7FF</v>
      </c>
      <c r="H2274" s="8" t="str">
        <f>IF(ROUND(D2274/$B$6,0)&gt;$B$7,"YES","NO")</f>
        <v>YES</v>
      </c>
    </row>
    <row r="2275" spans="1:8">
      <c r="A2275" s="10">
        <v>2265</v>
      </c>
      <c r="B2275" s="11">
        <f>D2274</f>
        <v>2653.125</v>
      </c>
      <c r="C2275" s="11">
        <f>$B$6</f>
        <v>1.171875</v>
      </c>
      <c r="D2275" s="11">
        <f>B2275+C2275</f>
        <v>2654.296875</v>
      </c>
      <c r="E2275" s="10">
        <f>MIN($B$7,ROUND(D2275/$B$6,0))</f>
        <v>2047</v>
      </c>
      <c r="F2275" s="10" t="str">
        <f>DEC2BIN(INT(E2275/64),5)&amp;DEC2BIN(MOD(E2275,64),6)</f>
        <v>11111111111</v>
      </c>
      <c r="G2275" s="10" t="str">
        <f>DEC2HEX(E2275,3)</f>
        <v>7FF</v>
      </c>
      <c r="H2275" s="10" t="str">
        <f>IF(ROUND(D2275/$B$6,0)&gt;$B$7,"YES","NO")</f>
        <v>YES</v>
      </c>
    </row>
    <row r="2276" spans="1:8">
      <c r="A2276" s="8">
        <v>2266</v>
      </c>
      <c r="B2276" s="9">
        <f>D2275</f>
        <v>2654.296875</v>
      </c>
      <c r="C2276" s="9">
        <f>$B$6</f>
        <v>1.171875</v>
      </c>
      <c r="D2276" s="9">
        <f>B2276+C2276</f>
        <v>2655.46875</v>
      </c>
      <c r="E2276" s="8">
        <f>MIN($B$7,ROUND(D2276/$B$6,0))</f>
        <v>2047</v>
      </c>
      <c r="F2276" s="8" t="str">
        <f>DEC2BIN(INT(E2276/64),5)&amp;DEC2BIN(MOD(E2276,64),6)</f>
        <v>11111111111</v>
      </c>
      <c r="G2276" s="8" t="str">
        <f>DEC2HEX(E2276,3)</f>
        <v>7FF</v>
      </c>
      <c r="H2276" s="8" t="str">
        <f>IF(ROUND(D2276/$B$6,0)&gt;$B$7,"YES","NO")</f>
        <v>YES</v>
      </c>
    </row>
    <row r="2277" spans="1:8">
      <c r="A2277" s="10">
        <v>2267</v>
      </c>
      <c r="B2277" s="11">
        <f>D2276</f>
        <v>2655.46875</v>
      </c>
      <c r="C2277" s="11">
        <f>$B$6</f>
        <v>1.171875</v>
      </c>
      <c r="D2277" s="11">
        <f>B2277+C2277</f>
        <v>2656.640625</v>
      </c>
      <c r="E2277" s="10">
        <f>MIN($B$7,ROUND(D2277/$B$6,0))</f>
        <v>2047</v>
      </c>
      <c r="F2277" s="10" t="str">
        <f>DEC2BIN(INT(E2277/64),5)&amp;DEC2BIN(MOD(E2277,64),6)</f>
        <v>11111111111</v>
      </c>
      <c r="G2277" s="10" t="str">
        <f>DEC2HEX(E2277,3)</f>
        <v>7FF</v>
      </c>
      <c r="H2277" s="10" t="str">
        <f>IF(ROUND(D2277/$B$6,0)&gt;$B$7,"YES","NO")</f>
        <v>YES</v>
      </c>
    </row>
    <row r="2278" spans="1:8">
      <c r="A2278" s="8">
        <v>2268</v>
      </c>
      <c r="B2278" s="9">
        <f>D2277</f>
        <v>2656.640625</v>
      </c>
      <c r="C2278" s="9">
        <f>$B$6</f>
        <v>1.171875</v>
      </c>
      <c r="D2278" s="9">
        <f>B2278+C2278</f>
        <v>2657.8125</v>
      </c>
      <c r="E2278" s="8">
        <f>MIN($B$7,ROUND(D2278/$B$6,0))</f>
        <v>2047</v>
      </c>
      <c r="F2278" s="8" t="str">
        <f>DEC2BIN(INT(E2278/64),5)&amp;DEC2BIN(MOD(E2278,64),6)</f>
        <v>11111111111</v>
      </c>
      <c r="G2278" s="8" t="str">
        <f>DEC2HEX(E2278,3)</f>
        <v>7FF</v>
      </c>
      <c r="H2278" s="8" t="str">
        <f>IF(ROUND(D2278/$B$6,0)&gt;$B$7,"YES","NO")</f>
        <v>YES</v>
      </c>
    </row>
    <row r="2279" spans="1:8">
      <c r="A2279" s="10">
        <v>2269</v>
      </c>
      <c r="B2279" s="11">
        <f>D2278</f>
        <v>2657.8125</v>
      </c>
      <c r="C2279" s="11">
        <f>$B$6</f>
        <v>1.171875</v>
      </c>
      <c r="D2279" s="11">
        <f>B2279+C2279</f>
        <v>2658.984375</v>
      </c>
      <c r="E2279" s="10">
        <f>MIN($B$7,ROUND(D2279/$B$6,0))</f>
        <v>2047</v>
      </c>
      <c r="F2279" s="10" t="str">
        <f>DEC2BIN(INT(E2279/64),5)&amp;DEC2BIN(MOD(E2279,64),6)</f>
        <v>11111111111</v>
      </c>
      <c r="G2279" s="10" t="str">
        <f>DEC2HEX(E2279,3)</f>
        <v>7FF</v>
      </c>
      <c r="H2279" s="10" t="str">
        <f>IF(ROUND(D2279/$B$6,0)&gt;$B$7,"YES","NO")</f>
        <v>YES</v>
      </c>
    </row>
    <row r="2280" spans="1:8">
      <c r="A2280" s="8">
        <v>2270</v>
      </c>
      <c r="B2280" s="9">
        <f>D2279</f>
        <v>2658.984375</v>
      </c>
      <c r="C2280" s="9">
        <f>$B$6</f>
        <v>1.171875</v>
      </c>
      <c r="D2280" s="9">
        <f>B2280+C2280</f>
        <v>2660.15625</v>
      </c>
      <c r="E2280" s="8">
        <f>MIN($B$7,ROUND(D2280/$B$6,0))</f>
        <v>2047</v>
      </c>
      <c r="F2280" s="8" t="str">
        <f>DEC2BIN(INT(E2280/64),5)&amp;DEC2BIN(MOD(E2280,64),6)</f>
        <v>11111111111</v>
      </c>
      <c r="G2280" s="8" t="str">
        <f>DEC2HEX(E2280,3)</f>
        <v>7FF</v>
      </c>
      <c r="H2280" s="8" t="str">
        <f>IF(ROUND(D2280/$B$6,0)&gt;$B$7,"YES","NO")</f>
        <v>YES</v>
      </c>
    </row>
    <row r="2281" spans="1:8">
      <c r="A2281" s="10">
        <v>2271</v>
      </c>
      <c r="B2281" s="11">
        <f>D2280</f>
        <v>2660.15625</v>
      </c>
      <c r="C2281" s="11">
        <f>$B$6</f>
        <v>1.171875</v>
      </c>
      <c r="D2281" s="11">
        <f>B2281+C2281</f>
        <v>2661.328125</v>
      </c>
      <c r="E2281" s="10">
        <f>MIN($B$7,ROUND(D2281/$B$6,0))</f>
        <v>2047</v>
      </c>
      <c r="F2281" s="10" t="str">
        <f>DEC2BIN(INT(E2281/64),5)&amp;DEC2BIN(MOD(E2281,64),6)</f>
        <v>11111111111</v>
      </c>
      <c r="G2281" s="10" t="str">
        <f>DEC2HEX(E2281,3)</f>
        <v>7FF</v>
      </c>
      <c r="H2281" s="10" t="str">
        <f>IF(ROUND(D2281/$B$6,0)&gt;$B$7,"YES","NO")</f>
        <v>YES</v>
      </c>
    </row>
    <row r="2282" spans="1:8">
      <c r="A2282" s="8">
        <v>2272</v>
      </c>
      <c r="B2282" s="9">
        <f>D2281</f>
        <v>2661.328125</v>
      </c>
      <c r="C2282" s="9">
        <f>$B$6</f>
        <v>1.171875</v>
      </c>
      <c r="D2282" s="9">
        <f>B2282+C2282</f>
        <v>2662.5</v>
      </c>
      <c r="E2282" s="8">
        <f>MIN($B$7,ROUND(D2282/$B$6,0))</f>
        <v>2047</v>
      </c>
      <c r="F2282" s="8" t="str">
        <f>DEC2BIN(INT(E2282/64),5)&amp;DEC2BIN(MOD(E2282,64),6)</f>
        <v>11111111111</v>
      </c>
      <c r="G2282" s="8" t="str">
        <f>DEC2HEX(E2282,3)</f>
        <v>7FF</v>
      </c>
      <c r="H2282" s="8" t="str">
        <f>IF(ROUND(D2282/$B$6,0)&gt;$B$7,"YES","NO")</f>
        <v>YES</v>
      </c>
    </row>
    <row r="2283" spans="1:8">
      <c r="A2283" s="10">
        <v>2273</v>
      </c>
      <c r="B2283" s="11">
        <f>D2282</f>
        <v>2662.5</v>
      </c>
      <c r="C2283" s="11">
        <f>$B$6</f>
        <v>1.171875</v>
      </c>
      <c r="D2283" s="11">
        <f>B2283+C2283</f>
        <v>2663.671875</v>
      </c>
      <c r="E2283" s="10">
        <f>MIN($B$7,ROUND(D2283/$B$6,0))</f>
        <v>2047</v>
      </c>
      <c r="F2283" s="10" t="str">
        <f>DEC2BIN(INT(E2283/64),5)&amp;DEC2BIN(MOD(E2283,64),6)</f>
        <v>11111111111</v>
      </c>
      <c r="G2283" s="10" t="str">
        <f>DEC2HEX(E2283,3)</f>
        <v>7FF</v>
      </c>
      <c r="H2283" s="10" t="str">
        <f>IF(ROUND(D2283/$B$6,0)&gt;$B$7,"YES","NO")</f>
        <v>YES</v>
      </c>
    </row>
    <row r="2284" spans="1:8">
      <c r="A2284" s="8">
        <v>2274</v>
      </c>
      <c r="B2284" s="9">
        <f>D2283</f>
        <v>2663.671875</v>
      </c>
      <c r="C2284" s="9">
        <f>$B$6</f>
        <v>1.171875</v>
      </c>
      <c r="D2284" s="9">
        <f>B2284+C2284</f>
        <v>2664.84375</v>
      </c>
      <c r="E2284" s="8">
        <f>MIN($B$7,ROUND(D2284/$B$6,0))</f>
        <v>2047</v>
      </c>
      <c r="F2284" s="8" t="str">
        <f>DEC2BIN(INT(E2284/64),5)&amp;DEC2BIN(MOD(E2284,64),6)</f>
        <v>11111111111</v>
      </c>
      <c r="G2284" s="8" t="str">
        <f>DEC2HEX(E2284,3)</f>
        <v>7FF</v>
      </c>
      <c r="H2284" s="8" t="str">
        <f>IF(ROUND(D2284/$B$6,0)&gt;$B$7,"YES","NO")</f>
        <v>YES</v>
      </c>
    </row>
    <row r="2285" spans="1:8">
      <c r="A2285" s="10">
        <v>2275</v>
      </c>
      <c r="B2285" s="11">
        <f>D2284</f>
        <v>2664.84375</v>
      </c>
      <c r="C2285" s="11">
        <f>$B$6</f>
        <v>1.171875</v>
      </c>
      <c r="D2285" s="11">
        <f>B2285+C2285</f>
        <v>2666.015625</v>
      </c>
      <c r="E2285" s="10">
        <f>MIN($B$7,ROUND(D2285/$B$6,0))</f>
        <v>2047</v>
      </c>
      <c r="F2285" s="10" t="str">
        <f>DEC2BIN(INT(E2285/64),5)&amp;DEC2BIN(MOD(E2285,64),6)</f>
        <v>11111111111</v>
      </c>
      <c r="G2285" s="10" t="str">
        <f>DEC2HEX(E2285,3)</f>
        <v>7FF</v>
      </c>
      <c r="H2285" s="10" t="str">
        <f>IF(ROUND(D2285/$B$6,0)&gt;$B$7,"YES","NO")</f>
        <v>YES</v>
      </c>
    </row>
    <row r="2286" spans="1:8">
      <c r="A2286" s="8">
        <v>2276</v>
      </c>
      <c r="B2286" s="9">
        <f>D2285</f>
        <v>2666.015625</v>
      </c>
      <c r="C2286" s="9">
        <f>$B$6</f>
        <v>1.171875</v>
      </c>
      <c r="D2286" s="9">
        <f>B2286+C2286</f>
        <v>2667.1875</v>
      </c>
      <c r="E2286" s="8">
        <f>MIN($B$7,ROUND(D2286/$B$6,0))</f>
        <v>2047</v>
      </c>
      <c r="F2286" s="8" t="str">
        <f>DEC2BIN(INT(E2286/64),5)&amp;DEC2BIN(MOD(E2286,64),6)</f>
        <v>11111111111</v>
      </c>
      <c r="G2286" s="8" t="str">
        <f>DEC2HEX(E2286,3)</f>
        <v>7FF</v>
      </c>
      <c r="H2286" s="8" t="str">
        <f>IF(ROUND(D2286/$B$6,0)&gt;$B$7,"YES","NO")</f>
        <v>YES</v>
      </c>
    </row>
    <row r="2287" spans="1:8">
      <c r="A2287" s="10">
        <v>2277</v>
      </c>
      <c r="B2287" s="11">
        <f>D2286</f>
        <v>2667.1875</v>
      </c>
      <c r="C2287" s="11">
        <f>$B$6</f>
        <v>1.171875</v>
      </c>
      <c r="D2287" s="11">
        <f>B2287+C2287</f>
        <v>2668.359375</v>
      </c>
      <c r="E2287" s="10">
        <f>MIN($B$7,ROUND(D2287/$B$6,0))</f>
        <v>2047</v>
      </c>
      <c r="F2287" s="10" t="str">
        <f>DEC2BIN(INT(E2287/64),5)&amp;DEC2BIN(MOD(E2287,64),6)</f>
        <v>11111111111</v>
      </c>
      <c r="G2287" s="10" t="str">
        <f>DEC2HEX(E2287,3)</f>
        <v>7FF</v>
      </c>
      <c r="H2287" s="10" t="str">
        <f>IF(ROUND(D2287/$B$6,0)&gt;$B$7,"YES","NO")</f>
        <v>YES</v>
      </c>
    </row>
    <row r="2288" spans="1:8">
      <c r="A2288" s="8">
        <v>2278</v>
      </c>
      <c r="B2288" s="9">
        <f>D2287</f>
        <v>2668.359375</v>
      </c>
      <c r="C2288" s="9">
        <f>$B$6</f>
        <v>1.171875</v>
      </c>
      <c r="D2288" s="9">
        <f>B2288+C2288</f>
        <v>2669.53125</v>
      </c>
      <c r="E2288" s="8">
        <f>MIN($B$7,ROUND(D2288/$B$6,0))</f>
        <v>2047</v>
      </c>
      <c r="F2288" s="8" t="str">
        <f>DEC2BIN(INT(E2288/64),5)&amp;DEC2BIN(MOD(E2288,64),6)</f>
        <v>11111111111</v>
      </c>
      <c r="G2288" s="8" t="str">
        <f>DEC2HEX(E2288,3)</f>
        <v>7FF</v>
      </c>
      <c r="H2288" s="8" t="str">
        <f>IF(ROUND(D2288/$B$6,0)&gt;$B$7,"YES","NO")</f>
        <v>YES</v>
      </c>
    </row>
    <row r="2289" spans="1:8">
      <c r="A2289" s="10">
        <v>2279</v>
      </c>
      <c r="B2289" s="11">
        <f>D2288</f>
        <v>2669.53125</v>
      </c>
      <c r="C2289" s="11">
        <f>$B$6</f>
        <v>1.171875</v>
      </c>
      <c r="D2289" s="11">
        <f>B2289+C2289</f>
        <v>2670.703125</v>
      </c>
      <c r="E2289" s="10">
        <f>MIN($B$7,ROUND(D2289/$B$6,0))</f>
        <v>2047</v>
      </c>
      <c r="F2289" s="10" t="str">
        <f>DEC2BIN(INT(E2289/64),5)&amp;DEC2BIN(MOD(E2289,64),6)</f>
        <v>11111111111</v>
      </c>
      <c r="G2289" s="10" t="str">
        <f>DEC2HEX(E2289,3)</f>
        <v>7FF</v>
      </c>
      <c r="H2289" s="10" t="str">
        <f>IF(ROUND(D2289/$B$6,0)&gt;$B$7,"YES","NO")</f>
        <v>YES</v>
      </c>
    </row>
    <row r="2290" spans="1:8">
      <c r="A2290" s="8">
        <v>2280</v>
      </c>
      <c r="B2290" s="9">
        <f>D2289</f>
        <v>2670.703125</v>
      </c>
      <c r="C2290" s="9">
        <f>$B$6</f>
        <v>1.171875</v>
      </c>
      <c r="D2290" s="9">
        <f>B2290+C2290</f>
        <v>2671.875</v>
      </c>
      <c r="E2290" s="8">
        <f>MIN($B$7,ROUND(D2290/$B$6,0))</f>
        <v>2047</v>
      </c>
      <c r="F2290" s="8" t="str">
        <f>DEC2BIN(INT(E2290/64),5)&amp;DEC2BIN(MOD(E2290,64),6)</f>
        <v>11111111111</v>
      </c>
      <c r="G2290" s="8" t="str">
        <f>DEC2HEX(E2290,3)</f>
        <v>7FF</v>
      </c>
      <c r="H2290" s="8" t="str">
        <f>IF(ROUND(D2290/$B$6,0)&gt;$B$7,"YES","NO")</f>
        <v>YES</v>
      </c>
    </row>
    <row r="2291" spans="1:8">
      <c r="A2291" s="10">
        <v>2281</v>
      </c>
      <c r="B2291" s="11">
        <f>D2290</f>
        <v>2671.875</v>
      </c>
      <c r="C2291" s="11">
        <f>$B$6</f>
        <v>1.171875</v>
      </c>
      <c r="D2291" s="11">
        <f>B2291+C2291</f>
        <v>2673.046875</v>
      </c>
      <c r="E2291" s="10">
        <f>MIN($B$7,ROUND(D2291/$B$6,0))</f>
        <v>2047</v>
      </c>
      <c r="F2291" s="10" t="str">
        <f>DEC2BIN(INT(E2291/64),5)&amp;DEC2BIN(MOD(E2291,64),6)</f>
        <v>11111111111</v>
      </c>
      <c r="G2291" s="10" t="str">
        <f>DEC2HEX(E2291,3)</f>
        <v>7FF</v>
      </c>
      <c r="H2291" s="10" t="str">
        <f>IF(ROUND(D2291/$B$6,0)&gt;$B$7,"YES","NO")</f>
        <v>YES</v>
      </c>
    </row>
    <row r="2292" spans="1:8">
      <c r="A2292" s="8">
        <v>2282</v>
      </c>
      <c r="B2292" s="9">
        <f>D2291</f>
        <v>2673.046875</v>
      </c>
      <c r="C2292" s="9">
        <f>$B$6</f>
        <v>1.171875</v>
      </c>
      <c r="D2292" s="9">
        <f>B2292+C2292</f>
        <v>2674.21875</v>
      </c>
      <c r="E2292" s="8">
        <f>MIN($B$7,ROUND(D2292/$B$6,0))</f>
        <v>2047</v>
      </c>
      <c r="F2292" s="8" t="str">
        <f>DEC2BIN(INT(E2292/64),5)&amp;DEC2BIN(MOD(E2292,64),6)</f>
        <v>11111111111</v>
      </c>
      <c r="G2292" s="8" t="str">
        <f>DEC2HEX(E2292,3)</f>
        <v>7FF</v>
      </c>
      <c r="H2292" s="8" t="str">
        <f>IF(ROUND(D2292/$B$6,0)&gt;$B$7,"YES","NO")</f>
        <v>YES</v>
      </c>
    </row>
    <row r="2293" spans="1:8">
      <c r="A2293" s="10">
        <v>2283</v>
      </c>
      <c r="B2293" s="11">
        <f>D2292</f>
        <v>2674.21875</v>
      </c>
      <c r="C2293" s="11">
        <f>$B$6</f>
        <v>1.171875</v>
      </c>
      <c r="D2293" s="11">
        <f>B2293+C2293</f>
        <v>2675.390625</v>
      </c>
      <c r="E2293" s="10">
        <f>MIN($B$7,ROUND(D2293/$B$6,0))</f>
        <v>2047</v>
      </c>
      <c r="F2293" s="10" t="str">
        <f>DEC2BIN(INT(E2293/64),5)&amp;DEC2BIN(MOD(E2293,64),6)</f>
        <v>11111111111</v>
      </c>
      <c r="G2293" s="10" t="str">
        <f>DEC2HEX(E2293,3)</f>
        <v>7FF</v>
      </c>
      <c r="H2293" s="10" t="str">
        <f>IF(ROUND(D2293/$B$6,0)&gt;$B$7,"YES","NO")</f>
        <v>YES</v>
      </c>
    </row>
    <row r="2294" spans="1:8">
      <c r="A2294" s="8">
        <v>2284</v>
      </c>
      <c r="B2294" s="9">
        <f>D2293</f>
        <v>2675.390625</v>
      </c>
      <c r="C2294" s="9">
        <f>$B$6</f>
        <v>1.171875</v>
      </c>
      <c r="D2294" s="9">
        <f>B2294+C2294</f>
        <v>2676.5625</v>
      </c>
      <c r="E2294" s="8">
        <f>MIN($B$7,ROUND(D2294/$B$6,0))</f>
        <v>2047</v>
      </c>
      <c r="F2294" s="8" t="str">
        <f>DEC2BIN(INT(E2294/64),5)&amp;DEC2BIN(MOD(E2294,64),6)</f>
        <v>11111111111</v>
      </c>
      <c r="G2294" s="8" t="str">
        <f>DEC2HEX(E2294,3)</f>
        <v>7FF</v>
      </c>
      <c r="H2294" s="8" t="str">
        <f>IF(ROUND(D2294/$B$6,0)&gt;$B$7,"YES","NO")</f>
        <v>YES</v>
      </c>
    </row>
    <row r="2295" spans="1:8">
      <c r="A2295" s="10">
        <v>2285</v>
      </c>
      <c r="B2295" s="11">
        <f>D2294</f>
        <v>2676.5625</v>
      </c>
      <c r="C2295" s="11">
        <f>$B$6</f>
        <v>1.171875</v>
      </c>
      <c r="D2295" s="11">
        <f>B2295+C2295</f>
        <v>2677.734375</v>
      </c>
      <c r="E2295" s="10">
        <f>MIN($B$7,ROUND(D2295/$B$6,0))</f>
        <v>2047</v>
      </c>
      <c r="F2295" s="10" t="str">
        <f>DEC2BIN(INT(E2295/64),5)&amp;DEC2BIN(MOD(E2295,64),6)</f>
        <v>11111111111</v>
      </c>
      <c r="G2295" s="10" t="str">
        <f>DEC2HEX(E2295,3)</f>
        <v>7FF</v>
      </c>
      <c r="H2295" s="10" t="str">
        <f>IF(ROUND(D2295/$B$6,0)&gt;$B$7,"YES","NO")</f>
        <v>YES</v>
      </c>
    </row>
    <row r="2296" spans="1:8">
      <c r="A2296" s="8">
        <v>2286</v>
      </c>
      <c r="B2296" s="9">
        <f>D2295</f>
        <v>2677.734375</v>
      </c>
      <c r="C2296" s="9">
        <f>$B$6</f>
        <v>1.171875</v>
      </c>
      <c r="D2296" s="9">
        <f>B2296+C2296</f>
        <v>2678.90625</v>
      </c>
      <c r="E2296" s="8">
        <f>MIN($B$7,ROUND(D2296/$B$6,0))</f>
        <v>2047</v>
      </c>
      <c r="F2296" s="8" t="str">
        <f>DEC2BIN(INT(E2296/64),5)&amp;DEC2BIN(MOD(E2296,64),6)</f>
        <v>11111111111</v>
      </c>
      <c r="G2296" s="8" t="str">
        <f>DEC2HEX(E2296,3)</f>
        <v>7FF</v>
      </c>
      <c r="H2296" s="8" t="str">
        <f>IF(ROUND(D2296/$B$6,0)&gt;$B$7,"YES","NO")</f>
        <v>YES</v>
      </c>
    </row>
    <row r="2297" spans="1:8">
      <c r="A2297" s="10">
        <v>2287</v>
      </c>
      <c r="B2297" s="11">
        <f>D2296</f>
        <v>2678.90625</v>
      </c>
      <c r="C2297" s="11">
        <f>$B$6</f>
        <v>1.171875</v>
      </c>
      <c r="D2297" s="11">
        <f>B2297+C2297</f>
        <v>2680.078125</v>
      </c>
      <c r="E2297" s="10">
        <f>MIN($B$7,ROUND(D2297/$B$6,0))</f>
        <v>2047</v>
      </c>
      <c r="F2297" s="10" t="str">
        <f>DEC2BIN(INT(E2297/64),5)&amp;DEC2BIN(MOD(E2297,64),6)</f>
        <v>11111111111</v>
      </c>
      <c r="G2297" s="10" t="str">
        <f>DEC2HEX(E2297,3)</f>
        <v>7FF</v>
      </c>
      <c r="H2297" s="10" t="str">
        <f>IF(ROUND(D2297/$B$6,0)&gt;$B$7,"YES","NO")</f>
        <v>YES</v>
      </c>
    </row>
    <row r="2298" spans="1:8">
      <c r="A2298" s="8">
        <v>2288</v>
      </c>
      <c r="B2298" s="9">
        <f>D2297</f>
        <v>2680.078125</v>
      </c>
      <c r="C2298" s="9">
        <f>$B$6</f>
        <v>1.171875</v>
      </c>
      <c r="D2298" s="9">
        <f>B2298+C2298</f>
        <v>2681.25</v>
      </c>
      <c r="E2298" s="8">
        <f>MIN($B$7,ROUND(D2298/$B$6,0))</f>
        <v>2047</v>
      </c>
      <c r="F2298" s="8" t="str">
        <f>DEC2BIN(INT(E2298/64),5)&amp;DEC2BIN(MOD(E2298,64),6)</f>
        <v>11111111111</v>
      </c>
      <c r="G2298" s="8" t="str">
        <f>DEC2HEX(E2298,3)</f>
        <v>7FF</v>
      </c>
      <c r="H2298" s="8" t="str">
        <f>IF(ROUND(D2298/$B$6,0)&gt;$B$7,"YES","NO")</f>
        <v>YES</v>
      </c>
    </row>
    <row r="2299" spans="1:8">
      <c r="A2299" s="10">
        <v>2289</v>
      </c>
      <c r="B2299" s="11">
        <f>D2298</f>
        <v>2681.25</v>
      </c>
      <c r="C2299" s="11">
        <f>$B$6</f>
        <v>1.171875</v>
      </c>
      <c r="D2299" s="11">
        <f>B2299+C2299</f>
        <v>2682.421875</v>
      </c>
      <c r="E2299" s="10">
        <f>MIN($B$7,ROUND(D2299/$B$6,0))</f>
        <v>2047</v>
      </c>
      <c r="F2299" s="10" t="str">
        <f>DEC2BIN(INT(E2299/64),5)&amp;DEC2BIN(MOD(E2299,64),6)</f>
        <v>11111111111</v>
      </c>
      <c r="G2299" s="10" t="str">
        <f>DEC2HEX(E2299,3)</f>
        <v>7FF</v>
      </c>
      <c r="H2299" s="10" t="str">
        <f>IF(ROUND(D2299/$B$6,0)&gt;$B$7,"YES","NO")</f>
        <v>YES</v>
      </c>
    </row>
    <row r="2300" spans="1:8">
      <c r="A2300" s="8">
        <v>2290</v>
      </c>
      <c r="B2300" s="9">
        <f>D2299</f>
        <v>2682.421875</v>
      </c>
      <c r="C2300" s="9">
        <f>$B$6</f>
        <v>1.171875</v>
      </c>
      <c r="D2300" s="9">
        <f>B2300+C2300</f>
        <v>2683.59375</v>
      </c>
      <c r="E2300" s="8">
        <f>MIN($B$7,ROUND(D2300/$B$6,0))</f>
        <v>2047</v>
      </c>
      <c r="F2300" s="8" t="str">
        <f>DEC2BIN(INT(E2300/64),5)&amp;DEC2BIN(MOD(E2300,64),6)</f>
        <v>11111111111</v>
      </c>
      <c r="G2300" s="8" t="str">
        <f>DEC2HEX(E2300,3)</f>
        <v>7FF</v>
      </c>
      <c r="H2300" s="8" t="str">
        <f>IF(ROUND(D2300/$B$6,0)&gt;$B$7,"YES","NO")</f>
        <v>YES</v>
      </c>
    </row>
    <row r="2301" spans="1:8">
      <c r="A2301" s="10">
        <v>2291</v>
      </c>
      <c r="B2301" s="11">
        <f>D2300</f>
        <v>2683.59375</v>
      </c>
      <c r="C2301" s="11">
        <f>$B$6</f>
        <v>1.171875</v>
      </c>
      <c r="D2301" s="11">
        <f>B2301+C2301</f>
        <v>2684.765625</v>
      </c>
      <c r="E2301" s="10">
        <f>MIN($B$7,ROUND(D2301/$B$6,0))</f>
        <v>2047</v>
      </c>
      <c r="F2301" s="10" t="str">
        <f>DEC2BIN(INT(E2301/64),5)&amp;DEC2BIN(MOD(E2301,64),6)</f>
        <v>11111111111</v>
      </c>
      <c r="G2301" s="10" t="str">
        <f>DEC2HEX(E2301,3)</f>
        <v>7FF</v>
      </c>
      <c r="H2301" s="10" t="str">
        <f>IF(ROUND(D2301/$B$6,0)&gt;$B$7,"YES","NO")</f>
        <v>YES</v>
      </c>
    </row>
    <row r="2302" spans="1:8">
      <c r="A2302" s="8">
        <v>2292</v>
      </c>
      <c r="B2302" s="9">
        <f>D2301</f>
        <v>2684.765625</v>
      </c>
      <c r="C2302" s="9">
        <f>$B$6</f>
        <v>1.171875</v>
      </c>
      <c r="D2302" s="9">
        <f>B2302+C2302</f>
        <v>2685.9375</v>
      </c>
      <c r="E2302" s="8">
        <f>MIN($B$7,ROUND(D2302/$B$6,0))</f>
        <v>2047</v>
      </c>
      <c r="F2302" s="8" t="str">
        <f>DEC2BIN(INT(E2302/64),5)&amp;DEC2BIN(MOD(E2302,64),6)</f>
        <v>11111111111</v>
      </c>
      <c r="G2302" s="8" t="str">
        <f>DEC2HEX(E2302,3)</f>
        <v>7FF</v>
      </c>
      <c r="H2302" s="8" t="str">
        <f>IF(ROUND(D2302/$B$6,0)&gt;$B$7,"YES","NO")</f>
        <v>YES</v>
      </c>
    </row>
    <row r="2303" spans="1:8">
      <c r="A2303" s="10">
        <v>2293</v>
      </c>
      <c r="B2303" s="11">
        <f>D2302</f>
        <v>2685.9375</v>
      </c>
      <c r="C2303" s="11">
        <f>$B$6</f>
        <v>1.171875</v>
      </c>
      <c r="D2303" s="11">
        <f>B2303+C2303</f>
        <v>2687.109375</v>
      </c>
      <c r="E2303" s="10">
        <f>MIN($B$7,ROUND(D2303/$B$6,0))</f>
        <v>2047</v>
      </c>
      <c r="F2303" s="10" t="str">
        <f>DEC2BIN(INT(E2303/64),5)&amp;DEC2BIN(MOD(E2303,64),6)</f>
        <v>11111111111</v>
      </c>
      <c r="G2303" s="10" t="str">
        <f>DEC2HEX(E2303,3)</f>
        <v>7FF</v>
      </c>
      <c r="H2303" s="10" t="str">
        <f>IF(ROUND(D2303/$B$6,0)&gt;$B$7,"YES","NO")</f>
        <v>YES</v>
      </c>
    </row>
    <row r="2304" spans="1:8">
      <c r="A2304" s="8">
        <v>2294</v>
      </c>
      <c r="B2304" s="9">
        <f>D2303</f>
        <v>2687.109375</v>
      </c>
      <c r="C2304" s="9">
        <f>$B$6</f>
        <v>1.171875</v>
      </c>
      <c r="D2304" s="9">
        <f>B2304+C2304</f>
        <v>2688.28125</v>
      </c>
      <c r="E2304" s="8">
        <f>MIN($B$7,ROUND(D2304/$B$6,0))</f>
        <v>2047</v>
      </c>
      <c r="F2304" s="8" t="str">
        <f>DEC2BIN(INT(E2304/64),5)&amp;DEC2BIN(MOD(E2304,64),6)</f>
        <v>11111111111</v>
      </c>
      <c r="G2304" s="8" t="str">
        <f>DEC2HEX(E2304,3)</f>
        <v>7FF</v>
      </c>
      <c r="H2304" s="8" t="str">
        <f>IF(ROUND(D2304/$B$6,0)&gt;$B$7,"YES","NO")</f>
        <v>YES</v>
      </c>
    </row>
    <row r="2305" spans="1:8">
      <c r="A2305" s="10">
        <v>2295</v>
      </c>
      <c r="B2305" s="11">
        <f>D2304</f>
        <v>2688.28125</v>
      </c>
      <c r="C2305" s="11">
        <f>$B$6</f>
        <v>1.171875</v>
      </c>
      <c r="D2305" s="11">
        <f>B2305+C2305</f>
        <v>2689.453125</v>
      </c>
      <c r="E2305" s="10">
        <f>MIN($B$7,ROUND(D2305/$B$6,0))</f>
        <v>2047</v>
      </c>
      <c r="F2305" s="10" t="str">
        <f>DEC2BIN(INT(E2305/64),5)&amp;DEC2BIN(MOD(E2305,64),6)</f>
        <v>11111111111</v>
      </c>
      <c r="G2305" s="10" t="str">
        <f>DEC2HEX(E2305,3)</f>
        <v>7FF</v>
      </c>
      <c r="H2305" s="10" t="str">
        <f>IF(ROUND(D2305/$B$6,0)&gt;$B$7,"YES","NO")</f>
        <v>YES</v>
      </c>
    </row>
    <row r="2306" spans="1:8">
      <c r="A2306" s="8">
        <v>2296</v>
      </c>
      <c r="B2306" s="9">
        <f>D2305</f>
        <v>2689.453125</v>
      </c>
      <c r="C2306" s="9">
        <f>$B$6</f>
        <v>1.171875</v>
      </c>
      <c r="D2306" s="9">
        <f>B2306+C2306</f>
        <v>2690.625</v>
      </c>
      <c r="E2306" s="8">
        <f>MIN($B$7,ROUND(D2306/$B$6,0))</f>
        <v>2047</v>
      </c>
      <c r="F2306" s="8" t="str">
        <f>DEC2BIN(INT(E2306/64),5)&amp;DEC2BIN(MOD(E2306,64),6)</f>
        <v>11111111111</v>
      </c>
      <c r="G2306" s="8" t="str">
        <f>DEC2HEX(E2306,3)</f>
        <v>7FF</v>
      </c>
      <c r="H2306" s="8" t="str">
        <f>IF(ROUND(D2306/$B$6,0)&gt;$B$7,"YES","NO")</f>
        <v>YES</v>
      </c>
    </row>
    <row r="2307" spans="1:8">
      <c r="A2307" s="10">
        <v>2297</v>
      </c>
      <c r="B2307" s="11">
        <f>D2306</f>
        <v>2690.625</v>
      </c>
      <c r="C2307" s="11">
        <f>$B$6</f>
        <v>1.171875</v>
      </c>
      <c r="D2307" s="11">
        <f>B2307+C2307</f>
        <v>2691.796875</v>
      </c>
      <c r="E2307" s="10">
        <f>MIN($B$7,ROUND(D2307/$B$6,0))</f>
        <v>2047</v>
      </c>
      <c r="F2307" s="10" t="str">
        <f>DEC2BIN(INT(E2307/64),5)&amp;DEC2BIN(MOD(E2307,64),6)</f>
        <v>11111111111</v>
      </c>
      <c r="G2307" s="10" t="str">
        <f>DEC2HEX(E2307,3)</f>
        <v>7FF</v>
      </c>
      <c r="H2307" s="10" t="str">
        <f>IF(ROUND(D2307/$B$6,0)&gt;$B$7,"YES","NO")</f>
        <v>YES</v>
      </c>
    </row>
    <row r="2308" spans="1:8">
      <c r="A2308" s="8">
        <v>2298</v>
      </c>
      <c r="B2308" s="9">
        <f>D2307</f>
        <v>2691.796875</v>
      </c>
      <c r="C2308" s="9">
        <f>$B$6</f>
        <v>1.171875</v>
      </c>
      <c r="D2308" s="9">
        <f>B2308+C2308</f>
        <v>2692.96875</v>
      </c>
      <c r="E2308" s="8">
        <f>MIN($B$7,ROUND(D2308/$B$6,0))</f>
        <v>2047</v>
      </c>
      <c r="F2308" s="8" t="str">
        <f>DEC2BIN(INT(E2308/64),5)&amp;DEC2BIN(MOD(E2308,64),6)</f>
        <v>11111111111</v>
      </c>
      <c r="G2308" s="8" t="str">
        <f>DEC2HEX(E2308,3)</f>
        <v>7FF</v>
      </c>
      <c r="H2308" s="8" t="str">
        <f>IF(ROUND(D2308/$B$6,0)&gt;$B$7,"YES","NO")</f>
        <v>YES</v>
      </c>
    </row>
    <row r="2309" spans="1:8">
      <c r="A2309" s="10">
        <v>2299</v>
      </c>
      <c r="B2309" s="11">
        <f>D2308</f>
        <v>2692.96875</v>
      </c>
      <c r="C2309" s="11">
        <f>$B$6</f>
        <v>1.171875</v>
      </c>
      <c r="D2309" s="11">
        <f>B2309+C2309</f>
        <v>2694.140625</v>
      </c>
      <c r="E2309" s="10">
        <f>MIN($B$7,ROUND(D2309/$B$6,0))</f>
        <v>2047</v>
      </c>
      <c r="F2309" s="10" t="str">
        <f>DEC2BIN(INT(E2309/64),5)&amp;DEC2BIN(MOD(E2309,64),6)</f>
        <v>11111111111</v>
      </c>
      <c r="G2309" s="10" t="str">
        <f>DEC2HEX(E2309,3)</f>
        <v>7FF</v>
      </c>
      <c r="H2309" s="10" t="str">
        <f>IF(ROUND(D2309/$B$6,0)&gt;$B$7,"YES","NO")</f>
        <v>YES</v>
      </c>
    </row>
    <row r="2310" spans="1:8">
      <c r="A2310" s="8">
        <v>2300</v>
      </c>
      <c r="B2310" s="9">
        <f>D2309</f>
        <v>2694.140625</v>
      </c>
      <c r="C2310" s="9">
        <f>$B$6</f>
        <v>1.171875</v>
      </c>
      <c r="D2310" s="9">
        <f>B2310+C2310</f>
        <v>2695.3125</v>
      </c>
      <c r="E2310" s="8">
        <f>MIN($B$7,ROUND(D2310/$B$6,0))</f>
        <v>2047</v>
      </c>
      <c r="F2310" s="8" t="str">
        <f>DEC2BIN(INT(E2310/64),5)&amp;DEC2BIN(MOD(E2310,64),6)</f>
        <v>11111111111</v>
      </c>
      <c r="G2310" s="8" t="str">
        <f>DEC2HEX(E2310,3)</f>
        <v>7FF</v>
      </c>
      <c r="H2310" s="8" t="str">
        <f>IF(ROUND(D2310/$B$6,0)&gt;$B$7,"YES","NO")</f>
        <v>YES</v>
      </c>
    </row>
    <row r="2311" spans="1:8">
      <c r="A2311" s="10">
        <v>2301</v>
      </c>
      <c r="B2311" s="11">
        <f>D2310</f>
        <v>2695.3125</v>
      </c>
      <c r="C2311" s="11">
        <f>$B$6</f>
        <v>1.171875</v>
      </c>
      <c r="D2311" s="11">
        <f>B2311+C2311</f>
        <v>2696.484375</v>
      </c>
      <c r="E2311" s="10">
        <f>MIN($B$7,ROUND(D2311/$B$6,0))</f>
        <v>2047</v>
      </c>
      <c r="F2311" s="10" t="str">
        <f>DEC2BIN(INT(E2311/64),5)&amp;DEC2BIN(MOD(E2311,64),6)</f>
        <v>11111111111</v>
      </c>
      <c r="G2311" s="10" t="str">
        <f>DEC2HEX(E2311,3)</f>
        <v>7FF</v>
      </c>
      <c r="H2311" s="10" t="str">
        <f>IF(ROUND(D2311/$B$6,0)&gt;$B$7,"YES","NO")</f>
        <v>YES</v>
      </c>
    </row>
    <row r="2312" spans="1:8">
      <c r="A2312" s="8">
        <v>2302</v>
      </c>
      <c r="B2312" s="9">
        <f>D2311</f>
        <v>2696.484375</v>
      </c>
      <c r="C2312" s="9">
        <f>$B$6</f>
        <v>1.171875</v>
      </c>
      <c r="D2312" s="9">
        <f>B2312+C2312</f>
        <v>2697.65625</v>
      </c>
      <c r="E2312" s="8">
        <f>MIN($B$7,ROUND(D2312/$B$6,0))</f>
        <v>2047</v>
      </c>
      <c r="F2312" s="8" t="str">
        <f>DEC2BIN(INT(E2312/64),5)&amp;DEC2BIN(MOD(E2312,64),6)</f>
        <v>11111111111</v>
      </c>
      <c r="G2312" s="8" t="str">
        <f>DEC2HEX(E2312,3)</f>
        <v>7FF</v>
      </c>
      <c r="H2312" s="8" t="str">
        <f>IF(ROUND(D2312/$B$6,0)&gt;$B$7,"YES","NO")</f>
        <v>YES</v>
      </c>
    </row>
    <row r="2313" spans="1:8">
      <c r="A2313" s="10">
        <v>2303</v>
      </c>
      <c r="B2313" s="11">
        <f>D2312</f>
        <v>2697.65625</v>
      </c>
      <c r="C2313" s="11">
        <f>$B$6</f>
        <v>1.171875</v>
      </c>
      <c r="D2313" s="11">
        <f>B2313+C2313</f>
        <v>2698.828125</v>
      </c>
      <c r="E2313" s="10">
        <f>MIN($B$7,ROUND(D2313/$B$6,0))</f>
        <v>2047</v>
      </c>
      <c r="F2313" s="10" t="str">
        <f>DEC2BIN(INT(E2313/64),5)&amp;DEC2BIN(MOD(E2313,64),6)</f>
        <v>11111111111</v>
      </c>
      <c r="G2313" s="10" t="str">
        <f>DEC2HEX(E2313,3)</f>
        <v>7FF</v>
      </c>
      <c r="H2313" s="10" t="str">
        <f>IF(ROUND(D2313/$B$6,0)&gt;$B$7,"YES","NO")</f>
        <v>YES</v>
      </c>
    </row>
    <row r="2314" spans="1:8">
      <c r="A2314" s="8">
        <v>2304</v>
      </c>
      <c r="B2314" s="9">
        <f>D2313</f>
        <v>2698.828125</v>
      </c>
      <c r="C2314" s="9">
        <f>$B$6</f>
        <v>1.171875</v>
      </c>
      <c r="D2314" s="9">
        <f>B2314+C2314</f>
        <v>2700</v>
      </c>
      <c r="E2314" s="8">
        <f>MIN($B$7,ROUND(D2314/$B$6,0))</f>
        <v>2047</v>
      </c>
      <c r="F2314" s="8" t="str">
        <f>DEC2BIN(INT(E2314/64),5)&amp;DEC2BIN(MOD(E2314,64),6)</f>
        <v>11111111111</v>
      </c>
      <c r="G2314" s="8" t="str">
        <f>DEC2HEX(E2314,3)</f>
        <v>7FF</v>
      </c>
      <c r="H2314" s="8" t="str">
        <f>IF(ROUND(D2314/$B$6,0)&gt;$B$7,"YES","NO")</f>
        <v>YES</v>
      </c>
    </row>
    <row r="2315" spans="1:8">
      <c r="A2315" s="10">
        <v>2305</v>
      </c>
      <c r="B2315" s="11">
        <f>D2314</f>
        <v>2700</v>
      </c>
      <c r="C2315" s="11">
        <f>$B$6</f>
        <v>1.171875</v>
      </c>
      <c r="D2315" s="11">
        <f>B2315+C2315</f>
        <v>2701.171875</v>
      </c>
      <c r="E2315" s="10">
        <f>MIN($B$7,ROUND(D2315/$B$6,0))</f>
        <v>2047</v>
      </c>
      <c r="F2315" s="10" t="str">
        <f>DEC2BIN(INT(E2315/64),5)&amp;DEC2BIN(MOD(E2315,64),6)</f>
        <v>11111111111</v>
      </c>
      <c r="G2315" s="10" t="str">
        <f>DEC2HEX(E2315,3)</f>
        <v>7FF</v>
      </c>
      <c r="H2315" s="10" t="str">
        <f>IF(ROUND(D2315/$B$6,0)&gt;$B$7,"YES","NO")</f>
        <v>YES</v>
      </c>
    </row>
    <row r="2316" spans="1:8">
      <c r="A2316" s="8">
        <v>2306</v>
      </c>
      <c r="B2316" s="9">
        <f>D2315</f>
        <v>2701.171875</v>
      </c>
      <c r="C2316" s="9">
        <f>$B$6</f>
        <v>1.171875</v>
      </c>
      <c r="D2316" s="9">
        <f>B2316+C2316</f>
        <v>2702.34375</v>
      </c>
      <c r="E2316" s="8">
        <f>MIN($B$7,ROUND(D2316/$B$6,0))</f>
        <v>2047</v>
      </c>
      <c r="F2316" s="8" t="str">
        <f>DEC2BIN(INT(E2316/64),5)&amp;DEC2BIN(MOD(E2316,64),6)</f>
        <v>11111111111</v>
      </c>
      <c r="G2316" s="8" t="str">
        <f>DEC2HEX(E2316,3)</f>
        <v>7FF</v>
      </c>
      <c r="H2316" s="8" t="str">
        <f>IF(ROUND(D2316/$B$6,0)&gt;$B$7,"YES","NO")</f>
        <v>YES</v>
      </c>
    </row>
    <row r="2317" spans="1:8">
      <c r="A2317" s="10">
        <v>2307</v>
      </c>
      <c r="B2317" s="11">
        <f>D2316</f>
        <v>2702.34375</v>
      </c>
      <c r="C2317" s="11">
        <f>$B$6</f>
        <v>1.171875</v>
      </c>
      <c r="D2317" s="11">
        <f>B2317+C2317</f>
        <v>2703.515625</v>
      </c>
      <c r="E2317" s="10">
        <f>MIN($B$7,ROUND(D2317/$B$6,0))</f>
        <v>2047</v>
      </c>
      <c r="F2317" s="10" t="str">
        <f>DEC2BIN(INT(E2317/64),5)&amp;DEC2BIN(MOD(E2317,64),6)</f>
        <v>11111111111</v>
      </c>
      <c r="G2317" s="10" t="str">
        <f>DEC2HEX(E2317,3)</f>
        <v>7FF</v>
      </c>
      <c r="H2317" s="10" t="str">
        <f>IF(ROUND(D2317/$B$6,0)&gt;$B$7,"YES","NO")</f>
        <v>YES</v>
      </c>
    </row>
    <row r="2318" spans="1:8">
      <c r="A2318" s="8">
        <v>2308</v>
      </c>
      <c r="B2318" s="9">
        <f>D2317</f>
        <v>2703.515625</v>
      </c>
      <c r="C2318" s="9">
        <f>$B$6</f>
        <v>1.171875</v>
      </c>
      <c r="D2318" s="9">
        <f>B2318+C2318</f>
        <v>2704.6875</v>
      </c>
      <c r="E2318" s="8">
        <f>MIN($B$7,ROUND(D2318/$B$6,0))</f>
        <v>2047</v>
      </c>
      <c r="F2318" s="8" t="str">
        <f>DEC2BIN(INT(E2318/64),5)&amp;DEC2BIN(MOD(E2318,64),6)</f>
        <v>11111111111</v>
      </c>
      <c r="G2318" s="8" t="str">
        <f>DEC2HEX(E2318,3)</f>
        <v>7FF</v>
      </c>
      <c r="H2318" s="8" t="str">
        <f>IF(ROUND(D2318/$B$6,0)&gt;$B$7,"YES","NO")</f>
        <v>YES</v>
      </c>
    </row>
    <row r="2319" spans="1:8">
      <c r="A2319" s="10">
        <v>2309</v>
      </c>
      <c r="B2319" s="11">
        <f>D2318</f>
        <v>2704.6875</v>
      </c>
      <c r="C2319" s="11">
        <f>$B$6</f>
        <v>1.171875</v>
      </c>
      <c r="D2319" s="11">
        <f>B2319+C2319</f>
        <v>2705.859375</v>
      </c>
      <c r="E2319" s="10">
        <f>MIN($B$7,ROUND(D2319/$B$6,0))</f>
        <v>2047</v>
      </c>
      <c r="F2319" s="10" t="str">
        <f>DEC2BIN(INT(E2319/64),5)&amp;DEC2BIN(MOD(E2319,64),6)</f>
        <v>11111111111</v>
      </c>
      <c r="G2319" s="10" t="str">
        <f>DEC2HEX(E2319,3)</f>
        <v>7FF</v>
      </c>
      <c r="H2319" s="10" t="str">
        <f>IF(ROUND(D2319/$B$6,0)&gt;$B$7,"YES","NO")</f>
        <v>YES</v>
      </c>
    </row>
    <row r="2320" spans="1:8">
      <c r="A2320" s="8">
        <v>2310</v>
      </c>
      <c r="B2320" s="9">
        <f>D2319</f>
        <v>2705.859375</v>
      </c>
      <c r="C2320" s="9">
        <f>$B$6</f>
        <v>1.171875</v>
      </c>
      <c r="D2320" s="9">
        <f>B2320+C2320</f>
        <v>2707.03125</v>
      </c>
      <c r="E2320" s="8">
        <f>MIN($B$7,ROUND(D2320/$B$6,0))</f>
        <v>2047</v>
      </c>
      <c r="F2320" s="8" t="str">
        <f>DEC2BIN(INT(E2320/64),5)&amp;DEC2BIN(MOD(E2320,64),6)</f>
        <v>11111111111</v>
      </c>
      <c r="G2320" s="8" t="str">
        <f>DEC2HEX(E2320,3)</f>
        <v>7FF</v>
      </c>
      <c r="H2320" s="8" t="str">
        <f>IF(ROUND(D2320/$B$6,0)&gt;$B$7,"YES","NO")</f>
        <v>YES</v>
      </c>
    </row>
    <row r="2321" spans="1:8">
      <c r="A2321" s="10">
        <v>2311</v>
      </c>
      <c r="B2321" s="11">
        <f>D2320</f>
        <v>2707.03125</v>
      </c>
      <c r="C2321" s="11">
        <f>$B$6</f>
        <v>1.171875</v>
      </c>
      <c r="D2321" s="11">
        <f>B2321+C2321</f>
        <v>2708.203125</v>
      </c>
      <c r="E2321" s="10">
        <f>MIN($B$7,ROUND(D2321/$B$6,0))</f>
        <v>2047</v>
      </c>
      <c r="F2321" s="10" t="str">
        <f>DEC2BIN(INT(E2321/64),5)&amp;DEC2BIN(MOD(E2321,64),6)</f>
        <v>11111111111</v>
      </c>
      <c r="G2321" s="10" t="str">
        <f>DEC2HEX(E2321,3)</f>
        <v>7FF</v>
      </c>
      <c r="H2321" s="10" t="str">
        <f>IF(ROUND(D2321/$B$6,0)&gt;$B$7,"YES","NO")</f>
        <v>YES</v>
      </c>
    </row>
    <row r="2322" spans="1:8">
      <c r="A2322" s="8">
        <v>2312</v>
      </c>
      <c r="B2322" s="9">
        <f>D2321</f>
        <v>2708.203125</v>
      </c>
      <c r="C2322" s="9">
        <f>$B$6</f>
        <v>1.171875</v>
      </c>
      <c r="D2322" s="9">
        <f>B2322+C2322</f>
        <v>2709.375</v>
      </c>
      <c r="E2322" s="8">
        <f>MIN($B$7,ROUND(D2322/$B$6,0))</f>
        <v>2047</v>
      </c>
      <c r="F2322" s="8" t="str">
        <f>DEC2BIN(INT(E2322/64),5)&amp;DEC2BIN(MOD(E2322,64),6)</f>
        <v>11111111111</v>
      </c>
      <c r="G2322" s="8" t="str">
        <f>DEC2HEX(E2322,3)</f>
        <v>7FF</v>
      </c>
      <c r="H2322" s="8" t="str">
        <f>IF(ROUND(D2322/$B$6,0)&gt;$B$7,"YES","NO")</f>
        <v>YES</v>
      </c>
    </row>
    <row r="2323" spans="1:8">
      <c r="A2323" s="10">
        <v>2313</v>
      </c>
      <c r="B2323" s="11">
        <f>D2322</f>
        <v>2709.375</v>
      </c>
      <c r="C2323" s="11">
        <f>$B$6</f>
        <v>1.171875</v>
      </c>
      <c r="D2323" s="11">
        <f>B2323+C2323</f>
        <v>2710.546875</v>
      </c>
      <c r="E2323" s="10">
        <f>MIN($B$7,ROUND(D2323/$B$6,0))</f>
        <v>2047</v>
      </c>
      <c r="F2323" s="10" t="str">
        <f>DEC2BIN(INT(E2323/64),5)&amp;DEC2BIN(MOD(E2323,64),6)</f>
        <v>11111111111</v>
      </c>
      <c r="G2323" s="10" t="str">
        <f>DEC2HEX(E2323,3)</f>
        <v>7FF</v>
      </c>
      <c r="H2323" s="10" t="str">
        <f>IF(ROUND(D2323/$B$6,0)&gt;$B$7,"YES","NO")</f>
        <v>YES</v>
      </c>
    </row>
    <row r="2324" spans="1:8">
      <c r="A2324" s="8">
        <v>2314</v>
      </c>
      <c r="B2324" s="9">
        <f>D2323</f>
        <v>2710.546875</v>
      </c>
      <c r="C2324" s="9">
        <f>$B$6</f>
        <v>1.171875</v>
      </c>
      <c r="D2324" s="9">
        <f>B2324+C2324</f>
        <v>2711.71875</v>
      </c>
      <c r="E2324" s="8">
        <f>MIN($B$7,ROUND(D2324/$B$6,0))</f>
        <v>2047</v>
      </c>
      <c r="F2324" s="8" t="str">
        <f>DEC2BIN(INT(E2324/64),5)&amp;DEC2BIN(MOD(E2324,64),6)</f>
        <v>11111111111</v>
      </c>
      <c r="G2324" s="8" t="str">
        <f>DEC2HEX(E2324,3)</f>
        <v>7FF</v>
      </c>
      <c r="H2324" s="8" t="str">
        <f>IF(ROUND(D2324/$B$6,0)&gt;$B$7,"YES","NO")</f>
        <v>YES</v>
      </c>
    </row>
    <row r="2325" spans="1:8">
      <c r="A2325" s="10">
        <v>2315</v>
      </c>
      <c r="B2325" s="11">
        <f>D2324</f>
        <v>2711.71875</v>
      </c>
      <c r="C2325" s="11">
        <f>$B$6</f>
        <v>1.171875</v>
      </c>
      <c r="D2325" s="11">
        <f>B2325+C2325</f>
        <v>2712.890625</v>
      </c>
      <c r="E2325" s="10">
        <f>MIN($B$7,ROUND(D2325/$B$6,0))</f>
        <v>2047</v>
      </c>
      <c r="F2325" s="10" t="str">
        <f>DEC2BIN(INT(E2325/64),5)&amp;DEC2BIN(MOD(E2325,64),6)</f>
        <v>11111111111</v>
      </c>
      <c r="G2325" s="10" t="str">
        <f>DEC2HEX(E2325,3)</f>
        <v>7FF</v>
      </c>
      <c r="H2325" s="10" t="str">
        <f>IF(ROUND(D2325/$B$6,0)&gt;$B$7,"YES","NO")</f>
        <v>YES</v>
      </c>
    </row>
    <row r="2326" spans="1:8">
      <c r="A2326" s="8">
        <v>2316</v>
      </c>
      <c r="B2326" s="9">
        <f>D2325</f>
        <v>2712.890625</v>
      </c>
      <c r="C2326" s="9">
        <f>$B$6</f>
        <v>1.171875</v>
      </c>
      <c r="D2326" s="9">
        <f>B2326+C2326</f>
        <v>2714.0625</v>
      </c>
      <c r="E2326" s="8">
        <f>MIN($B$7,ROUND(D2326/$B$6,0))</f>
        <v>2047</v>
      </c>
      <c r="F2326" s="8" t="str">
        <f>DEC2BIN(INT(E2326/64),5)&amp;DEC2BIN(MOD(E2326,64),6)</f>
        <v>11111111111</v>
      </c>
      <c r="G2326" s="8" t="str">
        <f>DEC2HEX(E2326,3)</f>
        <v>7FF</v>
      </c>
      <c r="H2326" s="8" t="str">
        <f>IF(ROUND(D2326/$B$6,0)&gt;$B$7,"YES","NO")</f>
        <v>YES</v>
      </c>
    </row>
    <row r="2327" spans="1:8">
      <c r="A2327" s="10">
        <v>2317</v>
      </c>
      <c r="B2327" s="11">
        <f>D2326</f>
        <v>2714.0625</v>
      </c>
      <c r="C2327" s="11">
        <f>$B$6</f>
        <v>1.171875</v>
      </c>
      <c r="D2327" s="11">
        <f>B2327+C2327</f>
        <v>2715.234375</v>
      </c>
      <c r="E2327" s="10">
        <f>MIN($B$7,ROUND(D2327/$B$6,0))</f>
        <v>2047</v>
      </c>
      <c r="F2327" s="10" t="str">
        <f>DEC2BIN(INT(E2327/64),5)&amp;DEC2BIN(MOD(E2327,64),6)</f>
        <v>11111111111</v>
      </c>
      <c r="G2327" s="10" t="str">
        <f>DEC2HEX(E2327,3)</f>
        <v>7FF</v>
      </c>
      <c r="H2327" s="10" t="str">
        <f>IF(ROUND(D2327/$B$6,0)&gt;$B$7,"YES","NO")</f>
        <v>YES</v>
      </c>
    </row>
    <row r="2328" spans="1:8">
      <c r="A2328" s="8">
        <v>2318</v>
      </c>
      <c r="B2328" s="9">
        <f>D2327</f>
        <v>2715.234375</v>
      </c>
      <c r="C2328" s="9">
        <f>$B$6</f>
        <v>1.171875</v>
      </c>
      <c r="D2328" s="9">
        <f>B2328+C2328</f>
        <v>2716.40625</v>
      </c>
      <c r="E2328" s="8">
        <f>MIN($B$7,ROUND(D2328/$B$6,0))</f>
        <v>2047</v>
      </c>
      <c r="F2328" s="8" t="str">
        <f>DEC2BIN(INT(E2328/64),5)&amp;DEC2BIN(MOD(E2328,64),6)</f>
        <v>11111111111</v>
      </c>
      <c r="G2328" s="8" t="str">
        <f>DEC2HEX(E2328,3)</f>
        <v>7FF</v>
      </c>
      <c r="H2328" s="8" t="str">
        <f>IF(ROUND(D2328/$B$6,0)&gt;$B$7,"YES","NO")</f>
        <v>YES</v>
      </c>
    </row>
    <row r="2329" spans="1:8">
      <c r="A2329" s="10">
        <v>2319</v>
      </c>
      <c r="B2329" s="11">
        <f>D2328</f>
        <v>2716.40625</v>
      </c>
      <c r="C2329" s="11">
        <f>$B$6</f>
        <v>1.171875</v>
      </c>
      <c r="D2329" s="11">
        <f>B2329+C2329</f>
        <v>2717.578125</v>
      </c>
      <c r="E2329" s="10">
        <f>MIN($B$7,ROUND(D2329/$B$6,0))</f>
        <v>2047</v>
      </c>
      <c r="F2329" s="10" t="str">
        <f>DEC2BIN(INT(E2329/64),5)&amp;DEC2BIN(MOD(E2329,64),6)</f>
        <v>11111111111</v>
      </c>
      <c r="G2329" s="10" t="str">
        <f>DEC2HEX(E2329,3)</f>
        <v>7FF</v>
      </c>
      <c r="H2329" s="10" t="str">
        <f>IF(ROUND(D2329/$B$6,0)&gt;$B$7,"YES","NO")</f>
        <v>YES</v>
      </c>
    </row>
    <row r="2330" spans="1:8">
      <c r="A2330" s="8">
        <v>2320</v>
      </c>
      <c r="B2330" s="9">
        <f>D2329</f>
        <v>2717.578125</v>
      </c>
      <c r="C2330" s="9">
        <f>$B$6</f>
        <v>1.171875</v>
      </c>
      <c r="D2330" s="9">
        <f>B2330+C2330</f>
        <v>2718.75</v>
      </c>
      <c r="E2330" s="8">
        <f>MIN($B$7,ROUND(D2330/$B$6,0))</f>
        <v>2047</v>
      </c>
      <c r="F2330" s="8" t="str">
        <f>DEC2BIN(INT(E2330/64),5)&amp;DEC2BIN(MOD(E2330,64),6)</f>
        <v>11111111111</v>
      </c>
      <c r="G2330" s="8" t="str">
        <f>DEC2HEX(E2330,3)</f>
        <v>7FF</v>
      </c>
      <c r="H2330" s="8" t="str">
        <f>IF(ROUND(D2330/$B$6,0)&gt;$B$7,"YES","NO")</f>
        <v>YES</v>
      </c>
    </row>
    <row r="2331" spans="1:8">
      <c r="A2331" s="10">
        <v>2321</v>
      </c>
      <c r="B2331" s="11">
        <f>D2330</f>
        <v>2718.75</v>
      </c>
      <c r="C2331" s="11">
        <f>$B$6</f>
        <v>1.171875</v>
      </c>
      <c r="D2331" s="11">
        <f>B2331+C2331</f>
        <v>2719.921875</v>
      </c>
      <c r="E2331" s="10">
        <f>MIN($B$7,ROUND(D2331/$B$6,0))</f>
        <v>2047</v>
      </c>
      <c r="F2331" s="10" t="str">
        <f>DEC2BIN(INT(E2331/64),5)&amp;DEC2BIN(MOD(E2331,64),6)</f>
        <v>11111111111</v>
      </c>
      <c r="G2331" s="10" t="str">
        <f>DEC2HEX(E2331,3)</f>
        <v>7FF</v>
      </c>
      <c r="H2331" s="10" t="str">
        <f>IF(ROUND(D2331/$B$6,0)&gt;$B$7,"YES","NO")</f>
        <v>YES</v>
      </c>
    </row>
    <row r="2332" spans="1:8">
      <c r="A2332" s="8">
        <v>2322</v>
      </c>
      <c r="B2332" s="9">
        <f>D2331</f>
        <v>2719.921875</v>
      </c>
      <c r="C2332" s="9">
        <f>$B$6</f>
        <v>1.171875</v>
      </c>
      <c r="D2332" s="9">
        <f>B2332+C2332</f>
        <v>2721.09375</v>
      </c>
      <c r="E2332" s="8">
        <f>MIN($B$7,ROUND(D2332/$B$6,0))</f>
        <v>2047</v>
      </c>
      <c r="F2332" s="8" t="str">
        <f>DEC2BIN(INT(E2332/64),5)&amp;DEC2BIN(MOD(E2332,64),6)</f>
        <v>11111111111</v>
      </c>
      <c r="G2332" s="8" t="str">
        <f>DEC2HEX(E2332,3)</f>
        <v>7FF</v>
      </c>
      <c r="H2332" s="8" t="str">
        <f>IF(ROUND(D2332/$B$6,0)&gt;$B$7,"YES","NO")</f>
        <v>YES</v>
      </c>
    </row>
    <row r="2333" spans="1:8">
      <c r="A2333" s="10">
        <v>2323</v>
      </c>
      <c r="B2333" s="11">
        <f>D2332</f>
        <v>2721.09375</v>
      </c>
      <c r="C2333" s="11">
        <f>$B$6</f>
        <v>1.171875</v>
      </c>
      <c r="D2333" s="11">
        <f>B2333+C2333</f>
        <v>2722.265625</v>
      </c>
      <c r="E2333" s="10">
        <f>MIN($B$7,ROUND(D2333/$B$6,0))</f>
        <v>2047</v>
      </c>
      <c r="F2333" s="10" t="str">
        <f>DEC2BIN(INT(E2333/64),5)&amp;DEC2BIN(MOD(E2333,64),6)</f>
        <v>11111111111</v>
      </c>
      <c r="G2333" s="10" t="str">
        <f>DEC2HEX(E2333,3)</f>
        <v>7FF</v>
      </c>
      <c r="H2333" s="10" t="str">
        <f>IF(ROUND(D2333/$B$6,0)&gt;$B$7,"YES","NO")</f>
        <v>YES</v>
      </c>
    </row>
    <row r="2334" spans="1:8">
      <c r="A2334" s="8">
        <v>2324</v>
      </c>
      <c r="B2334" s="9">
        <f>D2333</f>
        <v>2722.265625</v>
      </c>
      <c r="C2334" s="9">
        <f>$B$6</f>
        <v>1.171875</v>
      </c>
      <c r="D2334" s="9">
        <f>B2334+C2334</f>
        <v>2723.4375</v>
      </c>
      <c r="E2334" s="8">
        <f>MIN($B$7,ROUND(D2334/$B$6,0))</f>
        <v>2047</v>
      </c>
      <c r="F2334" s="8" t="str">
        <f>DEC2BIN(INT(E2334/64),5)&amp;DEC2BIN(MOD(E2334,64),6)</f>
        <v>11111111111</v>
      </c>
      <c r="G2334" s="8" t="str">
        <f>DEC2HEX(E2334,3)</f>
        <v>7FF</v>
      </c>
      <c r="H2334" s="8" t="str">
        <f>IF(ROUND(D2334/$B$6,0)&gt;$B$7,"YES","NO")</f>
        <v>YES</v>
      </c>
    </row>
    <row r="2335" spans="1:8">
      <c r="A2335" s="10">
        <v>2325</v>
      </c>
      <c r="B2335" s="11">
        <f>D2334</f>
        <v>2723.4375</v>
      </c>
      <c r="C2335" s="11">
        <f>$B$6</f>
        <v>1.171875</v>
      </c>
      <c r="D2335" s="11">
        <f>B2335+C2335</f>
        <v>2724.609375</v>
      </c>
      <c r="E2335" s="10">
        <f>MIN($B$7,ROUND(D2335/$B$6,0))</f>
        <v>2047</v>
      </c>
      <c r="F2335" s="10" t="str">
        <f>DEC2BIN(INT(E2335/64),5)&amp;DEC2BIN(MOD(E2335,64),6)</f>
        <v>11111111111</v>
      </c>
      <c r="G2335" s="10" t="str">
        <f>DEC2HEX(E2335,3)</f>
        <v>7FF</v>
      </c>
      <c r="H2335" s="10" t="str">
        <f>IF(ROUND(D2335/$B$6,0)&gt;$B$7,"YES","NO")</f>
        <v>YES</v>
      </c>
    </row>
    <row r="2336" spans="1:8">
      <c r="A2336" s="8">
        <v>2326</v>
      </c>
      <c r="B2336" s="9">
        <f>D2335</f>
        <v>2724.609375</v>
      </c>
      <c r="C2336" s="9">
        <f>$B$6</f>
        <v>1.171875</v>
      </c>
      <c r="D2336" s="9">
        <f>B2336+C2336</f>
        <v>2725.78125</v>
      </c>
      <c r="E2336" s="8">
        <f>MIN($B$7,ROUND(D2336/$B$6,0))</f>
        <v>2047</v>
      </c>
      <c r="F2336" s="8" t="str">
        <f>DEC2BIN(INT(E2336/64),5)&amp;DEC2BIN(MOD(E2336,64),6)</f>
        <v>11111111111</v>
      </c>
      <c r="G2336" s="8" t="str">
        <f>DEC2HEX(E2336,3)</f>
        <v>7FF</v>
      </c>
      <c r="H2336" s="8" t="str">
        <f>IF(ROUND(D2336/$B$6,0)&gt;$B$7,"YES","NO")</f>
        <v>YES</v>
      </c>
    </row>
    <row r="2337" spans="1:8">
      <c r="A2337" s="10">
        <v>2327</v>
      </c>
      <c r="B2337" s="11">
        <f>D2336</f>
        <v>2725.78125</v>
      </c>
      <c r="C2337" s="11">
        <f>$B$6</f>
        <v>1.171875</v>
      </c>
      <c r="D2337" s="11">
        <f>B2337+C2337</f>
        <v>2726.953125</v>
      </c>
      <c r="E2337" s="10">
        <f>MIN($B$7,ROUND(D2337/$B$6,0))</f>
        <v>2047</v>
      </c>
      <c r="F2337" s="10" t="str">
        <f>DEC2BIN(INT(E2337/64),5)&amp;DEC2BIN(MOD(E2337,64),6)</f>
        <v>11111111111</v>
      </c>
      <c r="G2337" s="10" t="str">
        <f>DEC2HEX(E2337,3)</f>
        <v>7FF</v>
      </c>
      <c r="H2337" s="10" t="str">
        <f>IF(ROUND(D2337/$B$6,0)&gt;$B$7,"YES","NO")</f>
        <v>YES</v>
      </c>
    </row>
    <row r="2338" spans="1:8">
      <c r="A2338" s="8">
        <v>2328</v>
      </c>
      <c r="B2338" s="9">
        <f>D2337</f>
        <v>2726.953125</v>
      </c>
      <c r="C2338" s="9">
        <f>$B$6</f>
        <v>1.171875</v>
      </c>
      <c r="D2338" s="9">
        <f>B2338+C2338</f>
        <v>2728.125</v>
      </c>
      <c r="E2338" s="8">
        <f>MIN($B$7,ROUND(D2338/$B$6,0))</f>
        <v>2047</v>
      </c>
      <c r="F2338" s="8" t="str">
        <f>DEC2BIN(INT(E2338/64),5)&amp;DEC2BIN(MOD(E2338,64),6)</f>
        <v>11111111111</v>
      </c>
      <c r="G2338" s="8" t="str">
        <f>DEC2HEX(E2338,3)</f>
        <v>7FF</v>
      </c>
      <c r="H2338" s="8" t="str">
        <f>IF(ROUND(D2338/$B$6,0)&gt;$B$7,"YES","NO")</f>
        <v>YES</v>
      </c>
    </row>
    <row r="2339" spans="1:8">
      <c r="A2339" s="10">
        <v>2329</v>
      </c>
      <c r="B2339" s="11">
        <f>D2338</f>
        <v>2728.125</v>
      </c>
      <c r="C2339" s="11">
        <f>$B$6</f>
        <v>1.171875</v>
      </c>
      <c r="D2339" s="11">
        <f>B2339+C2339</f>
        <v>2729.296875</v>
      </c>
      <c r="E2339" s="10">
        <f>MIN($B$7,ROUND(D2339/$B$6,0))</f>
        <v>2047</v>
      </c>
      <c r="F2339" s="10" t="str">
        <f>DEC2BIN(INT(E2339/64),5)&amp;DEC2BIN(MOD(E2339,64),6)</f>
        <v>11111111111</v>
      </c>
      <c r="G2339" s="10" t="str">
        <f>DEC2HEX(E2339,3)</f>
        <v>7FF</v>
      </c>
      <c r="H2339" s="10" t="str">
        <f>IF(ROUND(D2339/$B$6,0)&gt;$B$7,"YES","NO")</f>
        <v>YES</v>
      </c>
    </row>
    <row r="2340" spans="1:8">
      <c r="A2340" s="8">
        <v>2330</v>
      </c>
      <c r="B2340" s="9">
        <f>D2339</f>
        <v>2729.296875</v>
      </c>
      <c r="C2340" s="9">
        <f>$B$6</f>
        <v>1.171875</v>
      </c>
      <c r="D2340" s="9">
        <f>B2340+C2340</f>
        <v>2730.46875</v>
      </c>
      <c r="E2340" s="8">
        <f>MIN($B$7,ROUND(D2340/$B$6,0))</f>
        <v>2047</v>
      </c>
      <c r="F2340" s="8" t="str">
        <f>DEC2BIN(INT(E2340/64),5)&amp;DEC2BIN(MOD(E2340,64),6)</f>
        <v>11111111111</v>
      </c>
      <c r="G2340" s="8" t="str">
        <f>DEC2HEX(E2340,3)</f>
        <v>7FF</v>
      </c>
      <c r="H2340" s="8" t="str">
        <f>IF(ROUND(D2340/$B$6,0)&gt;$B$7,"YES","NO")</f>
        <v>YES</v>
      </c>
    </row>
    <row r="2341" spans="1:8">
      <c r="A2341" s="10">
        <v>2331</v>
      </c>
      <c r="B2341" s="11">
        <f>D2340</f>
        <v>2730.46875</v>
      </c>
      <c r="C2341" s="11">
        <f>$B$6</f>
        <v>1.171875</v>
      </c>
      <c r="D2341" s="11">
        <f>B2341+C2341</f>
        <v>2731.640625</v>
      </c>
      <c r="E2341" s="10">
        <f>MIN($B$7,ROUND(D2341/$B$6,0))</f>
        <v>2047</v>
      </c>
      <c r="F2341" s="10" t="str">
        <f>DEC2BIN(INT(E2341/64),5)&amp;DEC2BIN(MOD(E2341,64),6)</f>
        <v>11111111111</v>
      </c>
      <c r="G2341" s="10" t="str">
        <f>DEC2HEX(E2341,3)</f>
        <v>7FF</v>
      </c>
      <c r="H2341" s="10" t="str">
        <f>IF(ROUND(D2341/$B$6,0)&gt;$B$7,"YES","NO")</f>
        <v>YES</v>
      </c>
    </row>
    <row r="2342" spans="1:8">
      <c r="A2342" s="8">
        <v>2332</v>
      </c>
      <c r="B2342" s="9">
        <f>D2341</f>
        <v>2731.640625</v>
      </c>
      <c r="C2342" s="9">
        <f>$B$6</f>
        <v>1.171875</v>
      </c>
      <c r="D2342" s="9">
        <f>B2342+C2342</f>
        <v>2732.8125</v>
      </c>
      <c r="E2342" s="8">
        <f>MIN($B$7,ROUND(D2342/$B$6,0))</f>
        <v>2047</v>
      </c>
      <c r="F2342" s="8" t="str">
        <f>DEC2BIN(INT(E2342/64),5)&amp;DEC2BIN(MOD(E2342,64),6)</f>
        <v>11111111111</v>
      </c>
      <c r="G2342" s="8" t="str">
        <f>DEC2HEX(E2342,3)</f>
        <v>7FF</v>
      </c>
      <c r="H2342" s="8" t="str">
        <f>IF(ROUND(D2342/$B$6,0)&gt;$B$7,"YES","NO")</f>
        <v>YES</v>
      </c>
    </row>
    <row r="2343" spans="1:8">
      <c r="A2343" s="10">
        <v>2333</v>
      </c>
      <c r="B2343" s="11">
        <f>D2342</f>
        <v>2732.8125</v>
      </c>
      <c r="C2343" s="11">
        <f>$B$6</f>
        <v>1.171875</v>
      </c>
      <c r="D2343" s="11">
        <f>B2343+C2343</f>
        <v>2733.984375</v>
      </c>
      <c r="E2343" s="10">
        <f>MIN($B$7,ROUND(D2343/$B$6,0))</f>
        <v>2047</v>
      </c>
      <c r="F2343" s="10" t="str">
        <f>DEC2BIN(INT(E2343/64),5)&amp;DEC2BIN(MOD(E2343,64),6)</f>
        <v>11111111111</v>
      </c>
      <c r="G2343" s="10" t="str">
        <f>DEC2HEX(E2343,3)</f>
        <v>7FF</v>
      </c>
      <c r="H2343" s="10" t="str">
        <f>IF(ROUND(D2343/$B$6,0)&gt;$B$7,"YES","NO")</f>
        <v>YES</v>
      </c>
    </row>
    <row r="2344" spans="1:8">
      <c r="A2344" s="8">
        <v>2334</v>
      </c>
      <c r="B2344" s="9">
        <f>D2343</f>
        <v>2733.984375</v>
      </c>
      <c r="C2344" s="9">
        <f>$B$6</f>
        <v>1.171875</v>
      </c>
      <c r="D2344" s="9">
        <f>B2344+C2344</f>
        <v>2735.15625</v>
      </c>
      <c r="E2344" s="8">
        <f>MIN($B$7,ROUND(D2344/$B$6,0))</f>
        <v>2047</v>
      </c>
      <c r="F2344" s="8" t="str">
        <f>DEC2BIN(INT(E2344/64),5)&amp;DEC2BIN(MOD(E2344,64),6)</f>
        <v>11111111111</v>
      </c>
      <c r="G2344" s="8" t="str">
        <f>DEC2HEX(E2344,3)</f>
        <v>7FF</v>
      </c>
      <c r="H2344" s="8" t="str">
        <f>IF(ROUND(D2344/$B$6,0)&gt;$B$7,"YES","NO")</f>
        <v>YES</v>
      </c>
    </row>
    <row r="2345" spans="1:8">
      <c r="A2345" s="10">
        <v>2335</v>
      </c>
      <c r="B2345" s="11">
        <f>D2344</f>
        <v>2735.15625</v>
      </c>
      <c r="C2345" s="11">
        <f>$B$6</f>
        <v>1.171875</v>
      </c>
      <c r="D2345" s="11">
        <f>B2345+C2345</f>
        <v>2736.328125</v>
      </c>
      <c r="E2345" s="10">
        <f>MIN($B$7,ROUND(D2345/$B$6,0))</f>
        <v>2047</v>
      </c>
      <c r="F2345" s="10" t="str">
        <f>DEC2BIN(INT(E2345/64),5)&amp;DEC2BIN(MOD(E2345,64),6)</f>
        <v>11111111111</v>
      </c>
      <c r="G2345" s="10" t="str">
        <f>DEC2HEX(E2345,3)</f>
        <v>7FF</v>
      </c>
      <c r="H2345" s="10" t="str">
        <f>IF(ROUND(D2345/$B$6,0)&gt;$B$7,"YES","NO")</f>
        <v>YES</v>
      </c>
    </row>
    <row r="2346" spans="1:8">
      <c r="A2346" s="8">
        <v>2336</v>
      </c>
      <c r="B2346" s="9">
        <f>D2345</f>
        <v>2736.328125</v>
      </c>
      <c r="C2346" s="9">
        <f>$B$6</f>
        <v>1.171875</v>
      </c>
      <c r="D2346" s="9">
        <f>B2346+C2346</f>
        <v>2737.5</v>
      </c>
      <c r="E2346" s="8">
        <f>MIN($B$7,ROUND(D2346/$B$6,0))</f>
        <v>2047</v>
      </c>
      <c r="F2346" s="8" t="str">
        <f>DEC2BIN(INT(E2346/64),5)&amp;DEC2BIN(MOD(E2346,64),6)</f>
        <v>11111111111</v>
      </c>
      <c r="G2346" s="8" t="str">
        <f>DEC2HEX(E2346,3)</f>
        <v>7FF</v>
      </c>
      <c r="H2346" s="8" t="str">
        <f>IF(ROUND(D2346/$B$6,0)&gt;$B$7,"YES","NO")</f>
        <v>YES</v>
      </c>
    </row>
    <row r="2347" spans="1:8">
      <c r="A2347" s="10">
        <v>2337</v>
      </c>
      <c r="B2347" s="11">
        <f>D2346</f>
        <v>2737.5</v>
      </c>
      <c r="C2347" s="11">
        <f>$B$6</f>
        <v>1.171875</v>
      </c>
      <c r="D2347" s="11">
        <f>B2347+C2347</f>
        <v>2738.671875</v>
      </c>
      <c r="E2347" s="10">
        <f>MIN($B$7,ROUND(D2347/$B$6,0))</f>
        <v>2047</v>
      </c>
      <c r="F2347" s="10" t="str">
        <f>DEC2BIN(INT(E2347/64),5)&amp;DEC2BIN(MOD(E2347,64),6)</f>
        <v>11111111111</v>
      </c>
      <c r="G2347" s="10" t="str">
        <f>DEC2HEX(E2347,3)</f>
        <v>7FF</v>
      </c>
      <c r="H2347" s="10" t="str">
        <f>IF(ROUND(D2347/$B$6,0)&gt;$B$7,"YES","NO")</f>
        <v>YES</v>
      </c>
    </row>
    <row r="2348" spans="1:8">
      <c r="A2348" s="8">
        <v>2338</v>
      </c>
      <c r="B2348" s="9">
        <f>D2347</f>
        <v>2738.671875</v>
      </c>
      <c r="C2348" s="9">
        <f>$B$6</f>
        <v>1.171875</v>
      </c>
      <c r="D2348" s="9">
        <f>B2348+C2348</f>
        <v>2739.84375</v>
      </c>
      <c r="E2348" s="8">
        <f>MIN($B$7,ROUND(D2348/$B$6,0))</f>
        <v>2047</v>
      </c>
      <c r="F2348" s="8" t="str">
        <f>DEC2BIN(INT(E2348/64),5)&amp;DEC2BIN(MOD(E2348,64),6)</f>
        <v>11111111111</v>
      </c>
      <c r="G2348" s="8" t="str">
        <f>DEC2HEX(E2348,3)</f>
        <v>7FF</v>
      </c>
      <c r="H2348" s="8" t="str">
        <f>IF(ROUND(D2348/$B$6,0)&gt;$B$7,"YES","NO")</f>
        <v>YES</v>
      </c>
    </row>
    <row r="2349" spans="1:8">
      <c r="A2349" s="10">
        <v>2339</v>
      </c>
      <c r="B2349" s="11">
        <f>D2348</f>
        <v>2739.84375</v>
      </c>
      <c r="C2349" s="11">
        <f>$B$6</f>
        <v>1.171875</v>
      </c>
      <c r="D2349" s="11">
        <f>B2349+C2349</f>
        <v>2741.015625</v>
      </c>
      <c r="E2349" s="10">
        <f>MIN($B$7,ROUND(D2349/$B$6,0))</f>
        <v>2047</v>
      </c>
      <c r="F2349" s="10" t="str">
        <f>DEC2BIN(INT(E2349/64),5)&amp;DEC2BIN(MOD(E2349,64),6)</f>
        <v>11111111111</v>
      </c>
      <c r="G2349" s="10" t="str">
        <f>DEC2HEX(E2349,3)</f>
        <v>7FF</v>
      </c>
      <c r="H2349" s="10" t="str">
        <f>IF(ROUND(D2349/$B$6,0)&gt;$B$7,"YES","NO")</f>
        <v>YES</v>
      </c>
    </row>
    <row r="2350" spans="1:8">
      <c r="A2350" s="8">
        <v>2340</v>
      </c>
      <c r="B2350" s="9">
        <f>D2349</f>
        <v>2741.015625</v>
      </c>
      <c r="C2350" s="9">
        <f>$B$6</f>
        <v>1.171875</v>
      </c>
      <c r="D2350" s="9">
        <f>B2350+C2350</f>
        <v>2742.1875</v>
      </c>
      <c r="E2350" s="8">
        <f>MIN($B$7,ROUND(D2350/$B$6,0))</f>
        <v>2047</v>
      </c>
      <c r="F2350" s="8" t="str">
        <f>DEC2BIN(INT(E2350/64),5)&amp;DEC2BIN(MOD(E2350,64),6)</f>
        <v>11111111111</v>
      </c>
      <c r="G2350" s="8" t="str">
        <f>DEC2HEX(E2350,3)</f>
        <v>7FF</v>
      </c>
      <c r="H2350" s="8" t="str">
        <f>IF(ROUND(D2350/$B$6,0)&gt;$B$7,"YES","NO")</f>
        <v>YES</v>
      </c>
    </row>
    <row r="2351" spans="1:8">
      <c r="A2351" s="10">
        <v>2341</v>
      </c>
      <c r="B2351" s="11">
        <f>D2350</f>
        <v>2742.1875</v>
      </c>
      <c r="C2351" s="11">
        <f>$B$6</f>
        <v>1.171875</v>
      </c>
      <c r="D2351" s="11">
        <f>B2351+C2351</f>
        <v>2743.359375</v>
      </c>
      <c r="E2351" s="10">
        <f>MIN($B$7,ROUND(D2351/$B$6,0))</f>
        <v>2047</v>
      </c>
      <c r="F2351" s="10" t="str">
        <f>DEC2BIN(INT(E2351/64),5)&amp;DEC2BIN(MOD(E2351,64),6)</f>
        <v>11111111111</v>
      </c>
      <c r="G2351" s="10" t="str">
        <f>DEC2HEX(E2351,3)</f>
        <v>7FF</v>
      </c>
      <c r="H2351" s="10" t="str">
        <f>IF(ROUND(D2351/$B$6,0)&gt;$B$7,"YES","NO")</f>
        <v>YES</v>
      </c>
    </row>
    <row r="2352" spans="1:8">
      <c r="A2352" s="8">
        <v>2342</v>
      </c>
      <c r="B2352" s="9">
        <f>D2351</f>
        <v>2743.359375</v>
      </c>
      <c r="C2352" s="9">
        <f>$B$6</f>
        <v>1.171875</v>
      </c>
      <c r="D2352" s="9">
        <f>B2352+C2352</f>
        <v>2744.53125</v>
      </c>
      <c r="E2352" s="8">
        <f>MIN($B$7,ROUND(D2352/$B$6,0))</f>
        <v>2047</v>
      </c>
      <c r="F2352" s="8" t="str">
        <f>DEC2BIN(INT(E2352/64),5)&amp;DEC2BIN(MOD(E2352,64),6)</f>
        <v>11111111111</v>
      </c>
      <c r="G2352" s="8" t="str">
        <f>DEC2HEX(E2352,3)</f>
        <v>7FF</v>
      </c>
      <c r="H2352" s="8" t="str">
        <f>IF(ROUND(D2352/$B$6,0)&gt;$B$7,"YES","NO")</f>
        <v>YES</v>
      </c>
    </row>
    <row r="2353" spans="1:8">
      <c r="A2353" s="10">
        <v>2343</v>
      </c>
      <c r="B2353" s="11">
        <f>D2352</f>
        <v>2744.53125</v>
      </c>
      <c r="C2353" s="11">
        <f>$B$6</f>
        <v>1.171875</v>
      </c>
      <c r="D2353" s="11">
        <f>B2353+C2353</f>
        <v>2745.703125</v>
      </c>
      <c r="E2353" s="10">
        <f>MIN($B$7,ROUND(D2353/$B$6,0))</f>
        <v>2047</v>
      </c>
      <c r="F2353" s="10" t="str">
        <f>DEC2BIN(INT(E2353/64),5)&amp;DEC2BIN(MOD(E2353,64),6)</f>
        <v>11111111111</v>
      </c>
      <c r="G2353" s="10" t="str">
        <f>DEC2HEX(E2353,3)</f>
        <v>7FF</v>
      </c>
      <c r="H2353" s="10" t="str">
        <f>IF(ROUND(D2353/$B$6,0)&gt;$B$7,"YES","NO")</f>
        <v>YES</v>
      </c>
    </row>
    <row r="2354" spans="1:8">
      <c r="A2354" s="8">
        <v>2344</v>
      </c>
      <c r="B2354" s="9">
        <f>D2353</f>
        <v>2745.703125</v>
      </c>
      <c r="C2354" s="9">
        <f>$B$6</f>
        <v>1.171875</v>
      </c>
      <c r="D2354" s="9">
        <f>B2354+C2354</f>
        <v>2746.875</v>
      </c>
      <c r="E2354" s="8">
        <f>MIN($B$7,ROUND(D2354/$B$6,0))</f>
        <v>2047</v>
      </c>
      <c r="F2354" s="8" t="str">
        <f>DEC2BIN(INT(E2354/64),5)&amp;DEC2BIN(MOD(E2354,64),6)</f>
        <v>11111111111</v>
      </c>
      <c r="G2354" s="8" t="str">
        <f>DEC2HEX(E2354,3)</f>
        <v>7FF</v>
      </c>
      <c r="H2354" s="8" t="str">
        <f>IF(ROUND(D2354/$B$6,0)&gt;$B$7,"YES","NO")</f>
        <v>YES</v>
      </c>
    </row>
    <row r="2355" spans="1:8">
      <c r="A2355" s="10">
        <v>2345</v>
      </c>
      <c r="B2355" s="11">
        <f>D2354</f>
        <v>2746.875</v>
      </c>
      <c r="C2355" s="11">
        <f>$B$6</f>
        <v>1.171875</v>
      </c>
      <c r="D2355" s="11">
        <f>B2355+C2355</f>
        <v>2748.046875</v>
      </c>
      <c r="E2355" s="10">
        <f>MIN($B$7,ROUND(D2355/$B$6,0))</f>
        <v>2047</v>
      </c>
      <c r="F2355" s="10" t="str">
        <f>DEC2BIN(INT(E2355/64),5)&amp;DEC2BIN(MOD(E2355,64),6)</f>
        <v>11111111111</v>
      </c>
      <c r="G2355" s="10" t="str">
        <f>DEC2HEX(E2355,3)</f>
        <v>7FF</v>
      </c>
      <c r="H2355" s="10" t="str">
        <f>IF(ROUND(D2355/$B$6,0)&gt;$B$7,"YES","NO")</f>
        <v>YES</v>
      </c>
    </row>
    <row r="2356" spans="1:8">
      <c r="A2356" s="8">
        <v>2346</v>
      </c>
      <c r="B2356" s="9">
        <f>D2355</f>
        <v>2748.046875</v>
      </c>
      <c r="C2356" s="9">
        <f>$B$6</f>
        <v>1.171875</v>
      </c>
      <c r="D2356" s="9">
        <f>B2356+C2356</f>
        <v>2749.21875</v>
      </c>
      <c r="E2356" s="8">
        <f>MIN($B$7,ROUND(D2356/$B$6,0))</f>
        <v>2047</v>
      </c>
      <c r="F2356" s="8" t="str">
        <f>DEC2BIN(INT(E2356/64),5)&amp;DEC2BIN(MOD(E2356,64),6)</f>
        <v>11111111111</v>
      </c>
      <c r="G2356" s="8" t="str">
        <f>DEC2HEX(E2356,3)</f>
        <v>7FF</v>
      </c>
      <c r="H2356" s="8" t="str">
        <f>IF(ROUND(D2356/$B$6,0)&gt;$B$7,"YES","NO")</f>
        <v>YES</v>
      </c>
    </row>
    <row r="2357" spans="1:8">
      <c r="A2357" s="10">
        <v>2347</v>
      </c>
      <c r="B2357" s="11">
        <f>D2356</f>
        <v>2749.21875</v>
      </c>
      <c r="C2357" s="11">
        <f>$B$6</f>
        <v>1.171875</v>
      </c>
      <c r="D2357" s="11">
        <f>B2357+C2357</f>
        <v>2750.390625</v>
      </c>
      <c r="E2357" s="10">
        <f>MIN($B$7,ROUND(D2357/$B$6,0))</f>
        <v>2047</v>
      </c>
      <c r="F2357" s="10" t="str">
        <f>DEC2BIN(INT(E2357/64),5)&amp;DEC2BIN(MOD(E2357,64),6)</f>
        <v>11111111111</v>
      </c>
      <c r="G2357" s="10" t="str">
        <f>DEC2HEX(E2357,3)</f>
        <v>7FF</v>
      </c>
      <c r="H2357" s="10" t="str">
        <f>IF(ROUND(D2357/$B$6,0)&gt;$B$7,"YES","NO")</f>
        <v>YES</v>
      </c>
    </row>
    <row r="2358" spans="1:8">
      <c r="A2358" s="8">
        <v>2348</v>
      </c>
      <c r="B2358" s="9">
        <f>D2357</f>
        <v>2750.390625</v>
      </c>
      <c r="C2358" s="9">
        <f>$B$6</f>
        <v>1.171875</v>
      </c>
      <c r="D2358" s="9">
        <f>B2358+C2358</f>
        <v>2751.5625</v>
      </c>
      <c r="E2358" s="8">
        <f>MIN($B$7,ROUND(D2358/$B$6,0))</f>
        <v>2047</v>
      </c>
      <c r="F2358" s="8" t="str">
        <f>DEC2BIN(INT(E2358/64),5)&amp;DEC2BIN(MOD(E2358,64),6)</f>
        <v>11111111111</v>
      </c>
      <c r="G2358" s="8" t="str">
        <f>DEC2HEX(E2358,3)</f>
        <v>7FF</v>
      </c>
      <c r="H2358" s="8" t="str">
        <f>IF(ROUND(D2358/$B$6,0)&gt;$B$7,"YES","NO")</f>
        <v>YES</v>
      </c>
    </row>
    <row r="2359" spans="1:8">
      <c r="A2359" s="10">
        <v>2349</v>
      </c>
      <c r="B2359" s="11">
        <f>D2358</f>
        <v>2751.5625</v>
      </c>
      <c r="C2359" s="11">
        <f>$B$6</f>
        <v>1.171875</v>
      </c>
      <c r="D2359" s="11">
        <f>B2359+C2359</f>
        <v>2752.734375</v>
      </c>
      <c r="E2359" s="10">
        <f>MIN($B$7,ROUND(D2359/$B$6,0))</f>
        <v>2047</v>
      </c>
      <c r="F2359" s="10" t="str">
        <f>DEC2BIN(INT(E2359/64),5)&amp;DEC2BIN(MOD(E2359,64),6)</f>
        <v>11111111111</v>
      </c>
      <c r="G2359" s="10" t="str">
        <f>DEC2HEX(E2359,3)</f>
        <v>7FF</v>
      </c>
      <c r="H2359" s="10" t="str">
        <f>IF(ROUND(D2359/$B$6,0)&gt;$B$7,"YES","NO")</f>
        <v>YES</v>
      </c>
    </row>
    <row r="2360" spans="1:8">
      <c r="A2360" s="8">
        <v>2350</v>
      </c>
      <c r="B2360" s="9">
        <f>D2359</f>
        <v>2752.734375</v>
      </c>
      <c r="C2360" s="9">
        <f>$B$6</f>
        <v>1.171875</v>
      </c>
      <c r="D2360" s="9">
        <f>B2360+C2360</f>
        <v>2753.90625</v>
      </c>
      <c r="E2360" s="8">
        <f>MIN($B$7,ROUND(D2360/$B$6,0))</f>
        <v>2047</v>
      </c>
      <c r="F2360" s="8" t="str">
        <f>DEC2BIN(INT(E2360/64),5)&amp;DEC2BIN(MOD(E2360,64),6)</f>
        <v>11111111111</v>
      </c>
      <c r="G2360" s="8" t="str">
        <f>DEC2HEX(E2360,3)</f>
        <v>7FF</v>
      </c>
      <c r="H2360" s="8" t="str">
        <f>IF(ROUND(D2360/$B$6,0)&gt;$B$7,"YES","NO")</f>
        <v>YES</v>
      </c>
    </row>
    <row r="2361" spans="1:8">
      <c r="A2361" s="10">
        <v>2351</v>
      </c>
      <c r="B2361" s="11">
        <f>D2360</f>
        <v>2753.90625</v>
      </c>
      <c r="C2361" s="11">
        <f>$B$6</f>
        <v>1.171875</v>
      </c>
      <c r="D2361" s="11">
        <f>B2361+C2361</f>
        <v>2755.078125</v>
      </c>
      <c r="E2361" s="10">
        <f>MIN($B$7,ROUND(D2361/$B$6,0))</f>
        <v>2047</v>
      </c>
      <c r="F2361" s="10" t="str">
        <f>DEC2BIN(INT(E2361/64),5)&amp;DEC2BIN(MOD(E2361,64),6)</f>
        <v>11111111111</v>
      </c>
      <c r="G2361" s="10" t="str">
        <f>DEC2HEX(E2361,3)</f>
        <v>7FF</v>
      </c>
      <c r="H2361" s="10" t="str">
        <f>IF(ROUND(D2361/$B$6,0)&gt;$B$7,"YES","NO")</f>
        <v>YES</v>
      </c>
    </row>
    <row r="2362" spans="1:8">
      <c r="A2362" s="8">
        <v>2352</v>
      </c>
      <c r="B2362" s="9">
        <f>D2361</f>
        <v>2755.078125</v>
      </c>
      <c r="C2362" s="9">
        <f>$B$6</f>
        <v>1.171875</v>
      </c>
      <c r="D2362" s="9">
        <f>B2362+C2362</f>
        <v>2756.25</v>
      </c>
      <c r="E2362" s="8">
        <f>MIN($B$7,ROUND(D2362/$B$6,0))</f>
        <v>2047</v>
      </c>
      <c r="F2362" s="8" t="str">
        <f>DEC2BIN(INT(E2362/64),5)&amp;DEC2BIN(MOD(E2362,64),6)</f>
        <v>11111111111</v>
      </c>
      <c r="G2362" s="8" t="str">
        <f>DEC2HEX(E2362,3)</f>
        <v>7FF</v>
      </c>
      <c r="H2362" s="8" t="str">
        <f>IF(ROUND(D2362/$B$6,0)&gt;$B$7,"YES","NO")</f>
        <v>YES</v>
      </c>
    </row>
    <row r="2363" spans="1:8">
      <c r="A2363" s="10">
        <v>2353</v>
      </c>
      <c r="B2363" s="11">
        <f>D2362</f>
        <v>2756.25</v>
      </c>
      <c r="C2363" s="11">
        <f>$B$6</f>
        <v>1.171875</v>
      </c>
      <c r="D2363" s="11">
        <f>B2363+C2363</f>
        <v>2757.421875</v>
      </c>
      <c r="E2363" s="10">
        <f>MIN($B$7,ROUND(D2363/$B$6,0))</f>
        <v>2047</v>
      </c>
      <c r="F2363" s="10" t="str">
        <f>DEC2BIN(INT(E2363/64),5)&amp;DEC2BIN(MOD(E2363,64),6)</f>
        <v>11111111111</v>
      </c>
      <c r="G2363" s="10" t="str">
        <f>DEC2HEX(E2363,3)</f>
        <v>7FF</v>
      </c>
      <c r="H2363" s="10" t="str">
        <f>IF(ROUND(D2363/$B$6,0)&gt;$B$7,"YES","NO")</f>
        <v>YES</v>
      </c>
    </row>
    <row r="2364" spans="1:8">
      <c r="A2364" s="8">
        <v>2354</v>
      </c>
      <c r="B2364" s="9">
        <f>D2363</f>
        <v>2757.421875</v>
      </c>
      <c r="C2364" s="9">
        <f>$B$6</f>
        <v>1.171875</v>
      </c>
      <c r="D2364" s="9">
        <f>B2364+C2364</f>
        <v>2758.59375</v>
      </c>
      <c r="E2364" s="8">
        <f>MIN($B$7,ROUND(D2364/$B$6,0))</f>
        <v>2047</v>
      </c>
      <c r="F2364" s="8" t="str">
        <f>DEC2BIN(INT(E2364/64),5)&amp;DEC2BIN(MOD(E2364,64),6)</f>
        <v>11111111111</v>
      </c>
      <c r="G2364" s="8" t="str">
        <f>DEC2HEX(E2364,3)</f>
        <v>7FF</v>
      </c>
      <c r="H2364" s="8" t="str">
        <f>IF(ROUND(D2364/$B$6,0)&gt;$B$7,"YES","NO")</f>
        <v>YES</v>
      </c>
    </row>
    <row r="2365" spans="1:8">
      <c r="A2365" s="10">
        <v>2355</v>
      </c>
      <c r="B2365" s="11">
        <f>D2364</f>
        <v>2758.59375</v>
      </c>
      <c r="C2365" s="11">
        <f>$B$6</f>
        <v>1.171875</v>
      </c>
      <c r="D2365" s="11">
        <f>B2365+C2365</f>
        <v>2759.765625</v>
      </c>
      <c r="E2365" s="10">
        <f>MIN($B$7,ROUND(D2365/$B$6,0))</f>
        <v>2047</v>
      </c>
      <c r="F2365" s="10" t="str">
        <f>DEC2BIN(INT(E2365/64),5)&amp;DEC2BIN(MOD(E2365,64),6)</f>
        <v>11111111111</v>
      </c>
      <c r="G2365" s="10" t="str">
        <f>DEC2HEX(E2365,3)</f>
        <v>7FF</v>
      </c>
      <c r="H2365" s="10" t="str">
        <f>IF(ROUND(D2365/$B$6,0)&gt;$B$7,"YES","NO")</f>
        <v>YES</v>
      </c>
    </row>
    <row r="2366" spans="1:8">
      <c r="A2366" s="8">
        <v>2356</v>
      </c>
      <c r="B2366" s="9">
        <f>D2365</f>
        <v>2759.765625</v>
      </c>
      <c r="C2366" s="9">
        <f>$B$6</f>
        <v>1.171875</v>
      </c>
      <c r="D2366" s="9">
        <f>B2366+C2366</f>
        <v>2760.9375</v>
      </c>
      <c r="E2366" s="8">
        <f>MIN($B$7,ROUND(D2366/$B$6,0))</f>
        <v>2047</v>
      </c>
      <c r="F2366" s="8" t="str">
        <f>DEC2BIN(INT(E2366/64),5)&amp;DEC2BIN(MOD(E2366,64),6)</f>
        <v>11111111111</v>
      </c>
      <c r="G2366" s="8" t="str">
        <f>DEC2HEX(E2366,3)</f>
        <v>7FF</v>
      </c>
      <c r="H2366" s="8" t="str">
        <f>IF(ROUND(D2366/$B$6,0)&gt;$B$7,"YES","NO")</f>
        <v>YES</v>
      </c>
    </row>
    <row r="2367" spans="1:8">
      <c r="A2367" s="10">
        <v>2357</v>
      </c>
      <c r="B2367" s="11">
        <f>D2366</f>
        <v>2760.9375</v>
      </c>
      <c r="C2367" s="11">
        <f>$B$6</f>
        <v>1.171875</v>
      </c>
      <c r="D2367" s="11">
        <f>B2367+C2367</f>
        <v>2762.109375</v>
      </c>
      <c r="E2367" s="10">
        <f>MIN($B$7,ROUND(D2367/$B$6,0))</f>
        <v>2047</v>
      </c>
      <c r="F2367" s="10" t="str">
        <f>DEC2BIN(INT(E2367/64),5)&amp;DEC2BIN(MOD(E2367,64),6)</f>
        <v>11111111111</v>
      </c>
      <c r="G2367" s="10" t="str">
        <f>DEC2HEX(E2367,3)</f>
        <v>7FF</v>
      </c>
      <c r="H2367" s="10" t="str">
        <f>IF(ROUND(D2367/$B$6,0)&gt;$B$7,"YES","NO")</f>
        <v>YES</v>
      </c>
    </row>
    <row r="2368" spans="1:8">
      <c r="A2368" s="8">
        <v>2358</v>
      </c>
      <c r="B2368" s="9">
        <f>D2367</f>
        <v>2762.109375</v>
      </c>
      <c r="C2368" s="9">
        <f>$B$6</f>
        <v>1.171875</v>
      </c>
      <c r="D2368" s="9">
        <f>B2368+C2368</f>
        <v>2763.28125</v>
      </c>
      <c r="E2368" s="8">
        <f>MIN($B$7,ROUND(D2368/$B$6,0))</f>
        <v>2047</v>
      </c>
      <c r="F2368" s="8" t="str">
        <f>DEC2BIN(INT(E2368/64),5)&amp;DEC2BIN(MOD(E2368,64),6)</f>
        <v>11111111111</v>
      </c>
      <c r="G2368" s="8" t="str">
        <f>DEC2HEX(E2368,3)</f>
        <v>7FF</v>
      </c>
      <c r="H2368" s="8" t="str">
        <f>IF(ROUND(D2368/$B$6,0)&gt;$B$7,"YES","NO")</f>
        <v>YES</v>
      </c>
    </row>
    <row r="2369" spans="1:8">
      <c r="A2369" s="10">
        <v>2359</v>
      </c>
      <c r="B2369" s="11">
        <f>D2368</f>
        <v>2763.28125</v>
      </c>
      <c r="C2369" s="11">
        <f>$B$6</f>
        <v>1.171875</v>
      </c>
      <c r="D2369" s="11">
        <f>B2369+C2369</f>
        <v>2764.453125</v>
      </c>
      <c r="E2369" s="10">
        <f>MIN($B$7,ROUND(D2369/$B$6,0))</f>
        <v>2047</v>
      </c>
      <c r="F2369" s="10" t="str">
        <f>DEC2BIN(INT(E2369/64),5)&amp;DEC2BIN(MOD(E2369,64),6)</f>
        <v>11111111111</v>
      </c>
      <c r="G2369" s="10" t="str">
        <f>DEC2HEX(E2369,3)</f>
        <v>7FF</v>
      </c>
      <c r="H2369" s="10" t="str">
        <f>IF(ROUND(D2369/$B$6,0)&gt;$B$7,"YES","NO")</f>
        <v>YES</v>
      </c>
    </row>
    <row r="2370" spans="1:8">
      <c r="A2370" s="8">
        <v>2360</v>
      </c>
      <c r="B2370" s="9">
        <f>D2369</f>
        <v>2764.453125</v>
      </c>
      <c r="C2370" s="9">
        <f>$B$6</f>
        <v>1.171875</v>
      </c>
      <c r="D2370" s="9">
        <f>B2370+C2370</f>
        <v>2765.625</v>
      </c>
      <c r="E2370" s="8">
        <f>MIN($B$7,ROUND(D2370/$B$6,0))</f>
        <v>2047</v>
      </c>
      <c r="F2370" s="8" t="str">
        <f>DEC2BIN(INT(E2370/64),5)&amp;DEC2BIN(MOD(E2370,64),6)</f>
        <v>11111111111</v>
      </c>
      <c r="G2370" s="8" t="str">
        <f>DEC2HEX(E2370,3)</f>
        <v>7FF</v>
      </c>
      <c r="H2370" s="8" t="str">
        <f>IF(ROUND(D2370/$B$6,0)&gt;$B$7,"YES","NO")</f>
        <v>YES</v>
      </c>
    </row>
    <row r="2371" spans="1:8">
      <c r="A2371" s="10">
        <v>2361</v>
      </c>
      <c r="B2371" s="11">
        <f>D2370</f>
        <v>2765.625</v>
      </c>
      <c r="C2371" s="11">
        <f>$B$6</f>
        <v>1.171875</v>
      </c>
      <c r="D2371" s="11">
        <f>B2371+C2371</f>
        <v>2766.796875</v>
      </c>
      <c r="E2371" s="10">
        <f>MIN($B$7,ROUND(D2371/$B$6,0))</f>
        <v>2047</v>
      </c>
      <c r="F2371" s="10" t="str">
        <f>DEC2BIN(INT(E2371/64),5)&amp;DEC2BIN(MOD(E2371,64),6)</f>
        <v>11111111111</v>
      </c>
      <c r="G2371" s="10" t="str">
        <f>DEC2HEX(E2371,3)</f>
        <v>7FF</v>
      </c>
      <c r="H2371" s="10" t="str">
        <f>IF(ROUND(D2371/$B$6,0)&gt;$B$7,"YES","NO")</f>
        <v>YES</v>
      </c>
    </row>
    <row r="2372" spans="1:8">
      <c r="A2372" s="8">
        <v>2362</v>
      </c>
      <c r="B2372" s="9">
        <f>D2371</f>
        <v>2766.796875</v>
      </c>
      <c r="C2372" s="9">
        <f>$B$6</f>
        <v>1.171875</v>
      </c>
      <c r="D2372" s="9">
        <f>B2372+C2372</f>
        <v>2767.96875</v>
      </c>
      <c r="E2372" s="8">
        <f>MIN($B$7,ROUND(D2372/$B$6,0))</f>
        <v>2047</v>
      </c>
      <c r="F2372" s="8" t="str">
        <f>DEC2BIN(INT(E2372/64),5)&amp;DEC2BIN(MOD(E2372,64),6)</f>
        <v>11111111111</v>
      </c>
      <c r="G2372" s="8" t="str">
        <f>DEC2HEX(E2372,3)</f>
        <v>7FF</v>
      </c>
      <c r="H2372" s="8" t="str">
        <f>IF(ROUND(D2372/$B$6,0)&gt;$B$7,"YES","NO")</f>
        <v>YES</v>
      </c>
    </row>
    <row r="2373" spans="1:8">
      <c r="A2373" s="10">
        <v>2363</v>
      </c>
      <c r="B2373" s="11">
        <f>D2372</f>
        <v>2767.96875</v>
      </c>
      <c r="C2373" s="11">
        <f>$B$6</f>
        <v>1.171875</v>
      </c>
      <c r="D2373" s="11">
        <f>B2373+C2373</f>
        <v>2769.140625</v>
      </c>
      <c r="E2373" s="10">
        <f>MIN($B$7,ROUND(D2373/$B$6,0))</f>
        <v>2047</v>
      </c>
      <c r="F2373" s="10" t="str">
        <f>DEC2BIN(INT(E2373/64),5)&amp;DEC2BIN(MOD(E2373,64),6)</f>
        <v>11111111111</v>
      </c>
      <c r="G2373" s="10" t="str">
        <f>DEC2HEX(E2373,3)</f>
        <v>7FF</v>
      </c>
      <c r="H2373" s="10" t="str">
        <f>IF(ROUND(D2373/$B$6,0)&gt;$B$7,"YES","NO")</f>
        <v>YES</v>
      </c>
    </row>
    <row r="2374" spans="1:8">
      <c r="A2374" s="8">
        <v>2364</v>
      </c>
      <c r="B2374" s="9">
        <f>D2373</f>
        <v>2769.140625</v>
      </c>
      <c r="C2374" s="9">
        <f>$B$6</f>
        <v>1.171875</v>
      </c>
      <c r="D2374" s="9">
        <f>B2374+C2374</f>
        <v>2770.3125</v>
      </c>
      <c r="E2374" s="8">
        <f>MIN($B$7,ROUND(D2374/$B$6,0))</f>
        <v>2047</v>
      </c>
      <c r="F2374" s="8" t="str">
        <f>DEC2BIN(INT(E2374/64),5)&amp;DEC2BIN(MOD(E2374,64),6)</f>
        <v>11111111111</v>
      </c>
      <c r="G2374" s="8" t="str">
        <f>DEC2HEX(E2374,3)</f>
        <v>7FF</v>
      </c>
      <c r="H2374" s="8" t="str">
        <f>IF(ROUND(D2374/$B$6,0)&gt;$B$7,"YES","NO")</f>
        <v>YES</v>
      </c>
    </row>
    <row r="2375" spans="1:8">
      <c r="A2375" s="10">
        <v>2365</v>
      </c>
      <c r="B2375" s="11">
        <f>D2374</f>
        <v>2770.3125</v>
      </c>
      <c r="C2375" s="11">
        <f>$B$6</f>
        <v>1.171875</v>
      </c>
      <c r="D2375" s="11">
        <f>B2375+C2375</f>
        <v>2771.484375</v>
      </c>
      <c r="E2375" s="10">
        <f>MIN($B$7,ROUND(D2375/$B$6,0))</f>
        <v>2047</v>
      </c>
      <c r="F2375" s="10" t="str">
        <f>DEC2BIN(INT(E2375/64),5)&amp;DEC2BIN(MOD(E2375,64),6)</f>
        <v>11111111111</v>
      </c>
      <c r="G2375" s="10" t="str">
        <f>DEC2HEX(E2375,3)</f>
        <v>7FF</v>
      </c>
      <c r="H2375" s="10" t="str">
        <f>IF(ROUND(D2375/$B$6,0)&gt;$B$7,"YES","NO")</f>
        <v>YES</v>
      </c>
    </row>
    <row r="2376" spans="1:8">
      <c r="A2376" s="8">
        <v>2366</v>
      </c>
      <c r="B2376" s="9">
        <f>D2375</f>
        <v>2771.484375</v>
      </c>
      <c r="C2376" s="9">
        <f>$B$6</f>
        <v>1.171875</v>
      </c>
      <c r="D2376" s="9">
        <f>B2376+C2376</f>
        <v>2772.65625</v>
      </c>
      <c r="E2376" s="8">
        <f>MIN($B$7,ROUND(D2376/$B$6,0))</f>
        <v>2047</v>
      </c>
      <c r="F2376" s="8" t="str">
        <f>DEC2BIN(INT(E2376/64),5)&amp;DEC2BIN(MOD(E2376,64),6)</f>
        <v>11111111111</v>
      </c>
      <c r="G2376" s="8" t="str">
        <f>DEC2HEX(E2376,3)</f>
        <v>7FF</v>
      </c>
      <c r="H2376" s="8" t="str">
        <f>IF(ROUND(D2376/$B$6,0)&gt;$B$7,"YES","NO")</f>
        <v>YES</v>
      </c>
    </row>
    <row r="2377" spans="1:8">
      <c r="A2377" s="10">
        <v>2367</v>
      </c>
      <c r="B2377" s="11">
        <f>D2376</f>
        <v>2772.65625</v>
      </c>
      <c r="C2377" s="11">
        <f>$B$6</f>
        <v>1.171875</v>
      </c>
      <c r="D2377" s="11">
        <f>B2377+C2377</f>
        <v>2773.828125</v>
      </c>
      <c r="E2377" s="10">
        <f>MIN($B$7,ROUND(D2377/$B$6,0))</f>
        <v>2047</v>
      </c>
      <c r="F2377" s="10" t="str">
        <f>DEC2BIN(INT(E2377/64),5)&amp;DEC2BIN(MOD(E2377,64),6)</f>
        <v>11111111111</v>
      </c>
      <c r="G2377" s="10" t="str">
        <f>DEC2HEX(E2377,3)</f>
        <v>7FF</v>
      </c>
      <c r="H2377" s="10" t="str">
        <f>IF(ROUND(D2377/$B$6,0)&gt;$B$7,"YES","NO")</f>
        <v>YES</v>
      </c>
    </row>
    <row r="2378" spans="1:8">
      <c r="A2378" s="8">
        <v>2368</v>
      </c>
      <c r="B2378" s="9">
        <f>D2377</f>
        <v>2773.828125</v>
      </c>
      <c r="C2378" s="9">
        <f>$B$6</f>
        <v>1.171875</v>
      </c>
      <c r="D2378" s="9">
        <f>B2378+C2378</f>
        <v>2775</v>
      </c>
      <c r="E2378" s="8">
        <f>MIN($B$7,ROUND(D2378/$B$6,0))</f>
        <v>2047</v>
      </c>
      <c r="F2378" s="8" t="str">
        <f>DEC2BIN(INT(E2378/64),5)&amp;DEC2BIN(MOD(E2378,64),6)</f>
        <v>11111111111</v>
      </c>
      <c r="G2378" s="8" t="str">
        <f>DEC2HEX(E2378,3)</f>
        <v>7FF</v>
      </c>
      <c r="H2378" s="8" t="str">
        <f>IF(ROUND(D2378/$B$6,0)&gt;$B$7,"YES","NO")</f>
        <v>YES</v>
      </c>
    </row>
    <row r="2379" spans="1:8">
      <c r="A2379" s="10">
        <v>2369</v>
      </c>
      <c r="B2379" s="11">
        <f>D2378</f>
        <v>2775</v>
      </c>
      <c r="C2379" s="11">
        <f>$B$6</f>
        <v>1.171875</v>
      </c>
      <c r="D2379" s="11">
        <f>B2379+C2379</f>
        <v>2776.171875</v>
      </c>
      <c r="E2379" s="10">
        <f>MIN($B$7,ROUND(D2379/$B$6,0))</f>
        <v>2047</v>
      </c>
      <c r="F2379" s="10" t="str">
        <f>DEC2BIN(INT(E2379/64),5)&amp;DEC2BIN(MOD(E2379,64),6)</f>
        <v>11111111111</v>
      </c>
      <c r="G2379" s="10" t="str">
        <f>DEC2HEX(E2379,3)</f>
        <v>7FF</v>
      </c>
      <c r="H2379" s="10" t="str">
        <f>IF(ROUND(D2379/$B$6,0)&gt;$B$7,"YES","NO")</f>
        <v>YES</v>
      </c>
    </row>
    <row r="2380" spans="1:8">
      <c r="A2380" s="8">
        <v>2370</v>
      </c>
      <c r="B2380" s="9">
        <f>D2379</f>
        <v>2776.171875</v>
      </c>
      <c r="C2380" s="9">
        <f>$B$6</f>
        <v>1.171875</v>
      </c>
      <c r="D2380" s="9">
        <f>B2380+C2380</f>
        <v>2777.34375</v>
      </c>
      <c r="E2380" s="8">
        <f>MIN($B$7,ROUND(D2380/$B$6,0))</f>
        <v>2047</v>
      </c>
      <c r="F2380" s="8" t="str">
        <f>DEC2BIN(INT(E2380/64),5)&amp;DEC2BIN(MOD(E2380,64),6)</f>
        <v>11111111111</v>
      </c>
      <c r="G2380" s="8" t="str">
        <f>DEC2HEX(E2380,3)</f>
        <v>7FF</v>
      </c>
      <c r="H2380" s="8" t="str">
        <f>IF(ROUND(D2380/$B$6,0)&gt;$B$7,"YES","NO")</f>
        <v>YES</v>
      </c>
    </row>
    <row r="2381" spans="1:8">
      <c r="A2381" s="10">
        <v>2371</v>
      </c>
      <c r="B2381" s="11">
        <f>D2380</f>
        <v>2777.34375</v>
      </c>
      <c r="C2381" s="11">
        <f>$B$6</f>
        <v>1.171875</v>
      </c>
      <c r="D2381" s="11">
        <f>B2381+C2381</f>
        <v>2778.515625</v>
      </c>
      <c r="E2381" s="10">
        <f>MIN($B$7,ROUND(D2381/$B$6,0))</f>
        <v>2047</v>
      </c>
      <c r="F2381" s="10" t="str">
        <f>DEC2BIN(INT(E2381/64),5)&amp;DEC2BIN(MOD(E2381,64),6)</f>
        <v>11111111111</v>
      </c>
      <c r="G2381" s="10" t="str">
        <f>DEC2HEX(E2381,3)</f>
        <v>7FF</v>
      </c>
      <c r="H2381" s="10" t="str">
        <f>IF(ROUND(D2381/$B$6,0)&gt;$B$7,"YES","NO")</f>
        <v>YES</v>
      </c>
    </row>
    <row r="2382" spans="1:8">
      <c r="A2382" s="8">
        <v>2372</v>
      </c>
      <c r="B2382" s="9">
        <f>D2381</f>
        <v>2778.515625</v>
      </c>
      <c r="C2382" s="9">
        <f>$B$6</f>
        <v>1.171875</v>
      </c>
      <c r="D2382" s="9">
        <f>B2382+C2382</f>
        <v>2779.6875</v>
      </c>
      <c r="E2382" s="8">
        <f>MIN($B$7,ROUND(D2382/$B$6,0))</f>
        <v>2047</v>
      </c>
      <c r="F2382" s="8" t="str">
        <f>DEC2BIN(INT(E2382/64),5)&amp;DEC2BIN(MOD(E2382,64),6)</f>
        <v>11111111111</v>
      </c>
      <c r="G2382" s="8" t="str">
        <f>DEC2HEX(E2382,3)</f>
        <v>7FF</v>
      </c>
      <c r="H2382" s="8" t="str">
        <f>IF(ROUND(D2382/$B$6,0)&gt;$B$7,"YES","NO")</f>
        <v>YES</v>
      </c>
    </row>
    <row r="2383" spans="1:8">
      <c r="A2383" s="10">
        <v>2373</v>
      </c>
      <c r="B2383" s="11">
        <f>D2382</f>
        <v>2779.6875</v>
      </c>
      <c r="C2383" s="11">
        <f>$B$6</f>
        <v>1.171875</v>
      </c>
      <c r="D2383" s="11">
        <f>B2383+C2383</f>
        <v>2780.859375</v>
      </c>
      <c r="E2383" s="10">
        <f>MIN($B$7,ROUND(D2383/$B$6,0))</f>
        <v>2047</v>
      </c>
      <c r="F2383" s="10" t="str">
        <f>DEC2BIN(INT(E2383/64),5)&amp;DEC2BIN(MOD(E2383,64),6)</f>
        <v>11111111111</v>
      </c>
      <c r="G2383" s="10" t="str">
        <f>DEC2HEX(E2383,3)</f>
        <v>7FF</v>
      </c>
      <c r="H2383" s="10" t="str">
        <f>IF(ROUND(D2383/$B$6,0)&gt;$B$7,"YES","NO")</f>
        <v>YES</v>
      </c>
    </row>
    <row r="2384" spans="1:8">
      <c r="A2384" s="8">
        <v>2374</v>
      </c>
      <c r="B2384" s="9">
        <f>D2383</f>
        <v>2780.859375</v>
      </c>
      <c r="C2384" s="9">
        <f>$B$6</f>
        <v>1.171875</v>
      </c>
      <c r="D2384" s="9">
        <f>B2384+C2384</f>
        <v>2782.03125</v>
      </c>
      <c r="E2384" s="8">
        <f>MIN($B$7,ROUND(D2384/$B$6,0))</f>
        <v>2047</v>
      </c>
      <c r="F2384" s="8" t="str">
        <f>DEC2BIN(INT(E2384/64),5)&amp;DEC2BIN(MOD(E2384,64),6)</f>
        <v>11111111111</v>
      </c>
      <c r="G2384" s="8" t="str">
        <f>DEC2HEX(E2384,3)</f>
        <v>7FF</v>
      </c>
      <c r="H2384" s="8" t="str">
        <f>IF(ROUND(D2384/$B$6,0)&gt;$B$7,"YES","NO")</f>
        <v>YES</v>
      </c>
    </row>
    <row r="2385" spans="1:8">
      <c r="A2385" s="10">
        <v>2375</v>
      </c>
      <c r="B2385" s="11">
        <f>D2384</f>
        <v>2782.03125</v>
      </c>
      <c r="C2385" s="11">
        <f>$B$6</f>
        <v>1.171875</v>
      </c>
      <c r="D2385" s="11">
        <f>B2385+C2385</f>
        <v>2783.203125</v>
      </c>
      <c r="E2385" s="10">
        <f>MIN($B$7,ROUND(D2385/$B$6,0))</f>
        <v>2047</v>
      </c>
      <c r="F2385" s="10" t="str">
        <f>DEC2BIN(INT(E2385/64),5)&amp;DEC2BIN(MOD(E2385,64),6)</f>
        <v>11111111111</v>
      </c>
      <c r="G2385" s="10" t="str">
        <f>DEC2HEX(E2385,3)</f>
        <v>7FF</v>
      </c>
      <c r="H2385" s="10" t="str">
        <f>IF(ROUND(D2385/$B$6,0)&gt;$B$7,"YES","NO")</f>
        <v>YES</v>
      </c>
    </row>
    <row r="2386" spans="1:8">
      <c r="A2386" s="8">
        <v>2376</v>
      </c>
      <c r="B2386" s="9">
        <f>D2385</f>
        <v>2783.203125</v>
      </c>
      <c r="C2386" s="9">
        <f>$B$6</f>
        <v>1.171875</v>
      </c>
      <c r="D2386" s="9">
        <f>B2386+C2386</f>
        <v>2784.375</v>
      </c>
      <c r="E2386" s="8">
        <f>MIN($B$7,ROUND(D2386/$B$6,0))</f>
        <v>2047</v>
      </c>
      <c r="F2386" s="8" t="str">
        <f>DEC2BIN(INT(E2386/64),5)&amp;DEC2BIN(MOD(E2386,64),6)</f>
        <v>11111111111</v>
      </c>
      <c r="G2386" s="8" t="str">
        <f>DEC2HEX(E2386,3)</f>
        <v>7FF</v>
      </c>
      <c r="H2386" s="8" t="str">
        <f>IF(ROUND(D2386/$B$6,0)&gt;$B$7,"YES","NO")</f>
        <v>YES</v>
      </c>
    </row>
    <row r="2387" spans="1:8">
      <c r="A2387" s="10">
        <v>2377</v>
      </c>
      <c r="B2387" s="11">
        <f>D2386</f>
        <v>2784.375</v>
      </c>
      <c r="C2387" s="11">
        <f>$B$6</f>
        <v>1.171875</v>
      </c>
      <c r="D2387" s="11">
        <f>B2387+C2387</f>
        <v>2785.546875</v>
      </c>
      <c r="E2387" s="10">
        <f>MIN($B$7,ROUND(D2387/$B$6,0))</f>
        <v>2047</v>
      </c>
      <c r="F2387" s="10" t="str">
        <f>DEC2BIN(INT(E2387/64),5)&amp;DEC2BIN(MOD(E2387,64),6)</f>
        <v>11111111111</v>
      </c>
      <c r="G2387" s="10" t="str">
        <f>DEC2HEX(E2387,3)</f>
        <v>7FF</v>
      </c>
      <c r="H2387" s="10" t="str">
        <f>IF(ROUND(D2387/$B$6,0)&gt;$B$7,"YES","NO")</f>
        <v>YES</v>
      </c>
    </row>
    <row r="2388" spans="1:8">
      <c r="A2388" s="8">
        <v>2378</v>
      </c>
      <c r="B2388" s="9">
        <f>D2387</f>
        <v>2785.546875</v>
      </c>
      <c r="C2388" s="9">
        <f>$B$6</f>
        <v>1.171875</v>
      </c>
      <c r="D2388" s="9">
        <f>B2388+C2388</f>
        <v>2786.71875</v>
      </c>
      <c r="E2388" s="8">
        <f>MIN($B$7,ROUND(D2388/$B$6,0))</f>
        <v>2047</v>
      </c>
      <c r="F2388" s="8" t="str">
        <f>DEC2BIN(INT(E2388/64),5)&amp;DEC2BIN(MOD(E2388,64),6)</f>
        <v>11111111111</v>
      </c>
      <c r="G2388" s="8" t="str">
        <f>DEC2HEX(E2388,3)</f>
        <v>7FF</v>
      </c>
      <c r="H2388" s="8" t="str">
        <f>IF(ROUND(D2388/$B$6,0)&gt;$B$7,"YES","NO")</f>
        <v>YES</v>
      </c>
    </row>
    <row r="2389" spans="1:8">
      <c r="A2389" s="10">
        <v>2379</v>
      </c>
      <c r="B2389" s="11">
        <f>D2388</f>
        <v>2786.71875</v>
      </c>
      <c r="C2389" s="11">
        <f>$B$6</f>
        <v>1.171875</v>
      </c>
      <c r="D2389" s="11">
        <f>B2389+C2389</f>
        <v>2787.890625</v>
      </c>
      <c r="E2389" s="10">
        <f>MIN($B$7,ROUND(D2389/$B$6,0))</f>
        <v>2047</v>
      </c>
      <c r="F2389" s="10" t="str">
        <f>DEC2BIN(INT(E2389/64),5)&amp;DEC2BIN(MOD(E2389,64),6)</f>
        <v>11111111111</v>
      </c>
      <c r="G2389" s="10" t="str">
        <f>DEC2HEX(E2389,3)</f>
        <v>7FF</v>
      </c>
      <c r="H2389" s="10" t="str">
        <f>IF(ROUND(D2389/$B$6,0)&gt;$B$7,"YES","NO")</f>
        <v>YES</v>
      </c>
    </row>
    <row r="2390" spans="1:8">
      <c r="A2390" s="8">
        <v>2380</v>
      </c>
      <c r="B2390" s="9">
        <f>D2389</f>
        <v>2787.890625</v>
      </c>
      <c r="C2390" s="9">
        <f>$B$6</f>
        <v>1.171875</v>
      </c>
      <c r="D2390" s="9">
        <f>B2390+C2390</f>
        <v>2789.0625</v>
      </c>
      <c r="E2390" s="8">
        <f>MIN($B$7,ROUND(D2390/$B$6,0))</f>
        <v>2047</v>
      </c>
      <c r="F2390" s="8" t="str">
        <f>DEC2BIN(INT(E2390/64),5)&amp;DEC2BIN(MOD(E2390,64),6)</f>
        <v>11111111111</v>
      </c>
      <c r="G2390" s="8" t="str">
        <f>DEC2HEX(E2390,3)</f>
        <v>7FF</v>
      </c>
      <c r="H2390" s="8" t="str">
        <f>IF(ROUND(D2390/$B$6,0)&gt;$B$7,"YES","NO")</f>
        <v>YES</v>
      </c>
    </row>
    <row r="2391" spans="1:8">
      <c r="A2391" s="10">
        <v>2381</v>
      </c>
      <c r="B2391" s="11">
        <f>D2390</f>
        <v>2789.0625</v>
      </c>
      <c r="C2391" s="11">
        <f>$B$6</f>
        <v>1.171875</v>
      </c>
      <c r="D2391" s="11">
        <f>B2391+C2391</f>
        <v>2790.234375</v>
      </c>
      <c r="E2391" s="10">
        <f>MIN($B$7,ROUND(D2391/$B$6,0))</f>
        <v>2047</v>
      </c>
      <c r="F2391" s="10" t="str">
        <f>DEC2BIN(INT(E2391/64),5)&amp;DEC2BIN(MOD(E2391,64),6)</f>
        <v>11111111111</v>
      </c>
      <c r="G2391" s="10" t="str">
        <f>DEC2HEX(E2391,3)</f>
        <v>7FF</v>
      </c>
      <c r="H2391" s="10" t="str">
        <f>IF(ROUND(D2391/$B$6,0)&gt;$B$7,"YES","NO")</f>
        <v>YES</v>
      </c>
    </row>
    <row r="2392" spans="1:8">
      <c r="A2392" s="8">
        <v>2382</v>
      </c>
      <c r="B2392" s="9">
        <f>D2391</f>
        <v>2790.234375</v>
      </c>
      <c r="C2392" s="9">
        <f>$B$6</f>
        <v>1.171875</v>
      </c>
      <c r="D2392" s="9">
        <f>B2392+C2392</f>
        <v>2791.40625</v>
      </c>
      <c r="E2392" s="8">
        <f>MIN($B$7,ROUND(D2392/$B$6,0))</f>
        <v>2047</v>
      </c>
      <c r="F2392" s="8" t="str">
        <f>DEC2BIN(INT(E2392/64),5)&amp;DEC2BIN(MOD(E2392,64),6)</f>
        <v>11111111111</v>
      </c>
      <c r="G2392" s="8" t="str">
        <f>DEC2HEX(E2392,3)</f>
        <v>7FF</v>
      </c>
      <c r="H2392" s="8" t="str">
        <f>IF(ROUND(D2392/$B$6,0)&gt;$B$7,"YES","NO")</f>
        <v>YES</v>
      </c>
    </row>
    <row r="2393" spans="1:8">
      <c r="A2393" s="10">
        <v>2383</v>
      </c>
      <c r="B2393" s="11">
        <f>D2392</f>
        <v>2791.40625</v>
      </c>
      <c r="C2393" s="11">
        <f>$B$6</f>
        <v>1.171875</v>
      </c>
      <c r="D2393" s="11">
        <f>B2393+C2393</f>
        <v>2792.578125</v>
      </c>
      <c r="E2393" s="10">
        <f>MIN($B$7,ROUND(D2393/$B$6,0))</f>
        <v>2047</v>
      </c>
      <c r="F2393" s="10" t="str">
        <f>DEC2BIN(INT(E2393/64),5)&amp;DEC2BIN(MOD(E2393,64),6)</f>
        <v>11111111111</v>
      </c>
      <c r="G2393" s="10" t="str">
        <f>DEC2HEX(E2393,3)</f>
        <v>7FF</v>
      </c>
      <c r="H2393" s="10" t="str">
        <f>IF(ROUND(D2393/$B$6,0)&gt;$B$7,"YES","NO")</f>
        <v>YES</v>
      </c>
    </row>
    <row r="2394" spans="1:8">
      <c r="A2394" s="8">
        <v>2384</v>
      </c>
      <c r="B2394" s="9">
        <f>D2393</f>
        <v>2792.578125</v>
      </c>
      <c r="C2394" s="9">
        <f>$B$6</f>
        <v>1.171875</v>
      </c>
      <c r="D2394" s="9">
        <f>B2394+C2394</f>
        <v>2793.75</v>
      </c>
      <c r="E2394" s="8">
        <f>MIN($B$7,ROUND(D2394/$B$6,0))</f>
        <v>2047</v>
      </c>
      <c r="F2394" s="8" t="str">
        <f>DEC2BIN(INT(E2394/64),5)&amp;DEC2BIN(MOD(E2394,64),6)</f>
        <v>11111111111</v>
      </c>
      <c r="G2394" s="8" t="str">
        <f>DEC2HEX(E2394,3)</f>
        <v>7FF</v>
      </c>
      <c r="H2394" s="8" t="str">
        <f>IF(ROUND(D2394/$B$6,0)&gt;$B$7,"YES","NO")</f>
        <v>YES</v>
      </c>
    </row>
    <row r="2395" spans="1:8">
      <c r="A2395" s="10">
        <v>2385</v>
      </c>
      <c r="B2395" s="11">
        <f>D2394</f>
        <v>2793.75</v>
      </c>
      <c r="C2395" s="11">
        <f>$B$6</f>
        <v>1.171875</v>
      </c>
      <c r="D2395" s="11">
        <f>B2395+C2395</f>
        <v>2794.921875</v>
      </c>
      <c r="E2395" s="10">
        <f>MIN($B$7,ROUND(D2395/$B$6,0))</f>
        <v>2047</v>
      </c>
      <c r="F2395" s="10" t="str">
        <f>DEC2BIN(INT(E2395/64),5)&amp;DEC2BIN(MOD(E2395,64),6)</f>
        <v>11111111111</v>
      </c>
      <c r="G2395" s="10" t="str">
        <f>DEC2HEX(E2395,3)</f>
        <v>7FF</v>
      </c>
      <c r="H2395" s="10" t="str">
        <f>IF(ROUND(D2395/$B$6,0)&gt;$B$7,"YES","NO")</f>
        <v>YES</v>
      </c>
    </row>
    <row r="2396" spans="1:8">
      <c r="A2396" s="8">
        <v>2386</v>
      </c>
      <c r="B2396" s="9">
        <f>D2395</f>
        <v>2794.921875</v>
      </c>
      <c r="C2396" s="9">
        <f>$B$6</f>
        <v>1.171875</v>
      </c>
      <c r="D2396" s="9">
        <f>B2396+C2396</f>
        <v>2796.09375</v>
      </c>
      <c r="E2396" s="8">
        <f>MIN($B$7,ROUND(D2396/$B$6,0))</f>
        <v>2047</v>
      </c>
      <c r="F2396" s="8" t="str">
        <f>DEC2BIN(INT(E2396/64),5)&amp;DEC2BIN(MOD(E2396,64),6)</f>
        <v>11111111111</v>
      </c>
      <c r="G2396" s="8" t="str">
        <f>DEC2HEX(E2396,3)</f>
        <v>7FF</v>
      </c>
      <c r="H2396" s="8" t="str">
        <f>IF(ROUND(D2396/$B$6,0)&gt;$B$7,"YES","NO")</f>
        <v>YES</v>
      </c>
    </row>
    <row r="2397" spans="1:8">
      <c r="A2397" s="10">
        <v>2387</v>
      </c>
      <c r="B2397" s="11">
        <f>D2396</f>
        <v>2796.09375</v>
      </c>
      <c r="C2397" s="11">
        <f>$B$6</f>
        <v>1.171875</v>
      </c>
      <c r="D2397" s="11">
        <f>B2397+C2397</f>
        <v>2797.265625</v>
      </c>
      <c r="E2397" s="10">
        <f>MIN($B$7,ROUND(D2397/$B$6,0))</f>
        <v>2047</v>
      </c>
      <c r="F2397" s="10" t="str">
        <f>DEC2BIN(INT(E2397/64),5)&amp;DEC2BIN(MOD(E2397,64),6)</f>
        <v>11111111111</v>
      </c>
      <c r="G2397" s="10" t="str">
        <f>DEC2HEX(E2397,3)</f>
        <v>7FF</v>
      </c>
      <c r="H2397" s="10" t="str">
        <f>IF(ROUND(D2397/$B$6,0)&gt;$B$7,"YES","NO")</f>
        <v>YES</v>
      </c>
    </row>
    <row r="2398" spans="1:8">
      <c r="A2398" s="8">
        <v>2388</v>
      </c>
      <c r="B2398" s="9">
        <f>D2397</f>
        <v>2797.265625</v>
      </c>
      <c r="C2398" s="9">
        <f>$B$6</f>
        <v>1.171875</v>
      </c>
      <c r="D2398" s="9">
        <f>B2398+C2398</f>
        <v>2798.4375</v>
      </c>
      <c r="E2398" s="8">
        <f>MIN($B$7,ROUND(D2398/$B$6,0))</f>
        <v>2047</v>
      </c>
      <c r="F2398" s="8" t="str">
        <f>DEC2BIN(INT(E2398/64),5)&amp;DEC2BIN(MOD(E2398,64),6)</f>
        <v>11111111111</v>
      </c>
      <c r="G2398" s="8" t="str">
        <f>DEC2HEX(E2398,3)</f>
        <v>7FF</v>
      </c>
      <c r="H2398" s="8" t="str">
        <f>IF(ROUND(D2398/$B$6,0)&gt;$B$7,"YES","NO")</f>
        <v>YES</v>
      </c>
    </row>
    <row r="2399" spans="1:8">
      <c r="A2399" s="10">
        <v>2389</v>
      </c>
      <c r="B2399" s="11">
        <f>D2398</f>
        <v>2798.4375</v>
      </c>
      <c r="C2399" s="11">
        <f>$B$6</f>
        <v>1.171875</v>
      </c>
      <c r="D2399" s="11">
        <f>B2399+C2399</f>
        <v>2799.609375</v>
      </c>
      <c r="E2399" s="10">
        <f>MIN($B$7,ROUND(D2399/$B$6,0))</f>
        <v>2047</v>
      </c>
      <c r="F2399" s="10" t="str">
        <f>DEC2BIN(INT(E2399/64),5)&amp;DEC2BIN(MOD(E2399,64),6)</f>
        <v>11111111111</v>
      </c>
      <c r="G2399" s="10" t="str">
        <f>DEC2HEX(E2399,3)</f>
        <v>7FF</v>
      </c>
      <c r="H2399" s="10" t="str">
        <f>IF(ROUND(D2399/$B$6,0)&gt;$B$7,"YES","NO")</f>
        <v>YES</v>
      </c>
    </row>
    <row r="2400" spans="1:8">
      <c r="A2400" s="8">
        <v>2390</v>
      </c>
      <c r="B2400" s="9">
        <f>D2399</f>
        <v>2799.609375</v>
      </c>
      <c r="C2400" s="9">
        <f>$B$6</f>
        <v>1.171875</v>
      </c>
      <c r="D2400" s="9">
        <f>B2400+C2400</f>
        <v>2800.78125</v>
      </c>
      <c r="E2400" s="8">
        <f>MIN($B$7,ROUND(D2400/$B$6,0))</f>
        <v>2047</v>
      </c>
      <c r="F2400" s="8" t="str">
        <f>DEC2BIN(INT(E2400/64),5)&amp;DEC2BIN(MOD(E2400,64),6)</f>
        <v>11111111111</v>
      </c>
      <c r="G2400" s="8" t="str">
        <f>DEC2HEX(E2400,3)</f>
        <v>7FF</v>
      </c>
      <c r="H2400" s="8" t="str">
        <f>IF(ROUND(D2400/$B$6,0)&gt;$B$7,"YES","NO")</f>
        <v>YES</v>
      </c>
    </row>
    <row r="2401" spans="1:8">
      <c r="A2401" s="10">
        <v>2391</v>
      </c>
      <c r="B2401" s="11">
        <f>D2400</f>
        <v>2800.78125</v>
      </c>
      <c r="C2401" s="11">
        <f>$B$6</f>
        <v>1.171875</v>
      </c>
      <c r="D2401" s="11">
        <f>B2401+C2401</f>
        <v>2801.953125</v>
      </c>
      <c r="E2401" s="10">
        <f>MIN($B$7,ROUND(D2401/$B$6,0))</f>
        <v>2047</v>
      </c>
      <c r="F2401" s="10" t="str">
        <f>DEC2BIN(INT(E2401/64),5)&amp;DEC2BIN(MOD(E2401,64),6)</f>
        <v>11111111111</v>
      </c>
      <c r="G2401" s="10" t="str">
        <f>DEC2HEX(E2401,3)</f>
        <v>7FF</v>
      </c>
      <c r="H2401" s="10" t="str">
        <f>IF(ROUND(D2401/$B$6,0)&gt;$B$7,"YES","NO")</f>
        <v>YES</v>
      </c>
    </row>
    <row r="2402" spans="1:8">
      <c r="A2402" s="8">
        <v>2392</v>
      </c>
      <c r="B2402" s="9">
        <f>D2401</f>
        <v>2801.953125</v>
      </c>
      <c r="C2402" s="9">
        <f>$B$6</f>
        <v>1.171875</v>
      </c>
      <c r="D2402" s="9">
        <f>B2402+C2402</f>
        <v>2803.125</v>
      </c>
      <c r="E2402" s="8">
        <f>MIN($B$7,ROUND(D2402/$B$6,0))</f>
        <v>2047</v>
      </c>
      <c r="F2402" s="8" t="str">
        <f>DEC2BIN(INT(E2402/64),5)&amp;DEC2BIN(MOD(E2402,64),6)</f>
        <v>11111111111</v>
      </c>
      <c r="G2402" s="8" t="str">
        <f>DEC2HEX(E2402,3)</f>
        <v>7FF</v>
      </c>
      <c r="H2402" s="8" t="str">
        <f>IF(ROUND(D2402/$B$6,0)&gt;$B$7,"YES","NO")</f>
        <v>YES</v>
      </c>
    </row>
    <row r="2403" spans="1:8">
      <c r="A2403" s="10">
        <v>2393</v>
      </c>
      <c r="B2403" s="11">
        <f>D2402</f>
        <v>2803.125</v>
      </c>
      <c r="C2403" s="11">
        <f>$B$6</f>
        <v>1.171875</v>
      </c>
      <c r="D2403" s="11">
        <f>B2403+C2403</f>
        <v>2804.296875</v>
      </c>
      <c r="E2403" s="10">
        <f>MIN($B$7,ROUND(D2403/$B$6,0))</f>
        <v>2047</v>
      </c>
      <c r="F2403" s="10" t="str">
        <f>DEC2BIN(INT(E2403/64),5)&amp;DEC2BIN(MOD(E2403,64),6)</f>
        <v>11111111111</v>
      </c>
      <c r="G2403" s="10" t="str">
        <f>DEC2HEX(E2403,3)</f>
        <v>7FF</v>
      </c>
      <c r="H2403" s="10" t="str">
        <f>IF(ROUND(D2403/$B$6,0)&gt;$B$7,"YES","NO")</f>
        <v>YES</v>
      </c>
    </row>
    <row r="2404" spans="1:8">
      <c r="A2404" s="8">
        <v>2394</v>
      </c>
      <c r="B2404" s="9">
        <f>D2403</f>
        <v>2804.296875</v>
      </c>
      <c r="C2404" s="9">
        <f>$B$6</f>
        <v>1.171875</v>
      </c>
      <c r="D2404" s="9">
        <f>B2404+C2404</f>
        <v>2805.46875</v>
      </c>
      <c r="E2404" s="8">
        <f>MIN($B$7,ROUND(D2404/$B$6,0))</f>
        <v>2047</v>
      </c>
      <c r="F2404" s="8" t="str">
        <f>DEC2BIN(INT(E2404/64),5)&amp;DEC2BIN(MOD(E2404,64),6)</f>
        <v>11111111111</v>
      </c>
      <c r="G2404" s="8" t="str">
        <f>DEC2HEX(E2404,3)</f>
        <v>7FF</v>
      </c>
      <c r="H2404" s="8" t="str">
        <f>IF(ROUND(D2404/$B$6,0)&gt;$B$7,"YES","NO")</f>
        <v>YES</v>
      </c>
    </row>
    <row r="2405" spans="1:8">
      <c r="A2405" s="10">
        <v>2395</v>
      </c>
      <c r="B2405" s="11">
        <f>D2404</f>
        <v>2805.46875</v>
      </c>
      <c r="C2405" s="11">
        <f>$B$6</f>
        <v>1.171875</v>
      </c>
      <c r="D2405" s="11">
        <f>B2405+C2405</f>
        <v>2806.640625</v>
      </c>
      <c r="E2405" s="10">
        <f>MIN($B$7,ROUND(D2405/$B$6,0))</f>
        <v>2047</v>
      </c>
      <c r="F2405" s="10" t="str">
        <f>DEC2BIN(INT(E2405/64),5)&amp;DEC2BIN(MOD(E2405,64),6)</f>
        <v>11111111111</v>
      </c>
      <c r="G2405" s="10" t="str">
        <f>DEC2HEX(E2405,3)</f>
        <v>7FF</v>
      </c>
      <c r="H2405" s="10" t="str">
        <f>IF(ROUND(D2405/$B$6,0)&gt;$B$7,"YES","NO")</f>
        <v>YES</v>
      </c>
    </row>
    <row r="2406" spans="1:8">
      <c r="A2406" s="8">
        <v>2396</v>
      </c>
      <c r="B2406" s="9">
        <f>D2405</f>
        <v>2806.640625</v>
      </c>
      <c r="C2406" s="9">
        <f>$B$6</f>
        <v>1.171875</v>
      </c>
      <c r="D2406" s="9">
        <f>B2406+C2406</f>
        <v>2807.8125</v>
      </c>
      <c r="E2406" s="8">
        <f>MIN($B$7,ROUND(D2406/$B$6,0))</f>
        <v>2047</v>
      </c>
      <c r="F2406" s="8" t="str">
        <f>DEC2BIN(INT(E2406/64),5)&amp;DEC2BIN(MOD(E2406,64),6)</f>
        <v>11111111111</v>
      </c>
      <c r="G2406" s="8" t="str">
        <f>DEC2HEX(E2406,3)</f>
        <v>7FF</v>
      </c>
      <c r="H2406" s="8" t="str">
        <f>IF(ROUND(D2406/$B$6,0)&gt;$B$7,"YES","NO")</f>
        <v>YES</v>
      </c>
    </row>
    <row r="2407" spans="1:8">
      <c r="A2407" s="10">
        <v>2397</v>
      </c>
      <c r="B2407" s="11">
        <f>D2406</f>
        <v>2807.8125</v>
      </c>
      <c r="C2407" s="11">
        <f>$B$6</f>
        <v>1.171875</v>
      </c>
      <c r="D2407" s="11">
        <f>B2407+C2407</f>
        <v>2808.984375</v>
      </c>
      <c r="E2407" s="10">
        <f>MIN($B$7,ROUND(D2407/$B$6,0))</f>
        <v>2047</v>
      </c>
      <c r="F2407" s="10" t="str">
        <f>DEC2BIN(INT(E2407/64),5)&amp;DEC2BIN(MOD(E2407,64),6)</f>
        <v>11111111111</v>
      </c>
      <c r="G2407" s="10" t="str">
        <f>DEC2HEX(E2407,3)</f>
        <v>7FF</v>
      </c>
      <c r="H2407" s="10" t="str">
        <f>IF(ROUND(D2407/$B$6,0)&gt;$B$7,"YES","NO")</f>
        <v>YES</v>
      </c>
    </row>
    <row r="2408" spans="1:8">
      <c r="A2408" s="8">
        <v>2398</v>
      </c>
      <c r="B2408" s="9">
        <f>D2407</f>
        <v>2808.984375</v>
      </c>
      <c r="C2408" s="9">
        <f>$B$6</f>
        <v>1.171875</v>
      </c>
      <c r="D2408" s="9">
        <f>B2408+C2408</f>
        <v>2810.15625</v>
      </c>
      <c r="E2408" s="8">
        <f>MIN($B$7,ROUND(D2408/$B$6,0))</f>
        <v>2047</v>
      </c>
      <c r="F2408" s="8" t="str">
        <f>DEC2BIN(INT(E2408/64),5)&amp;DEC2BIN(MOD(E2408,64),6)</f>
        <v>11111111111</v>
      </c>
      <c r="G2408" s="8" t="str">
        <f>DEC2HEX(E2408,3)</f>
        <v>7FF</v>
      </c>
      <c r="H2408" s="8" t="str">
        <f>IF(ROUND(D2408/$B$6,0)&gt;$B$7,"YES","NO")</f>
        <v>YES</v>
      </c>
    </row>
    <row r="2409" spans="1:8">
      <c r="A2409" s="10">
        <v>2399</v>
      </c>
      <c r="B2409" s="11">
        <f>D2408</f>
        <v>2810.15625</v>
      </c>
      <c r="C2409" s="11">
        <f>$B$6</f>
        <v>1.171875</v>
      </c>
      <c r="D2409" s="11">
        <f>B2409+C2409</f>
        <v>2811.328125</v>
      </c>
      <c r="E2409" s="10">
        <f>MIN($B$7,ROUND(D2409/$B$6,0))</f>
        <v>2047</v>
      </c>
      <c r="F2409" s="10" t="str">
        <f>DEC2BIN(INT(E2409/64),5)&amp;DEC2BIN(MOD(E2409,64),6)</f>
        <v>11111111111</v>
      </c>
      <c r="G2409" s="10" t="str">
        <f>DEC2HEX(E2409,3)</f>
        <v>7FF</v>
      </c>
      <c r="H2409" s="10" t="str">
        <f>IF(ROUND(D2409/$B$6,0)&gt;$B$7,"YES","NO")</f>
        <v>YES</v>
      </c>
    </row>
    <row r="2410" spans="1:8">
      <c r="A2410" s="8">
        <v>2400</v>
      </c>
      <c r="B2410" s="9">
        <f>D2409</f>
        <v>2811.328125</v>
      </c>
      <c r="C2410" s="9">
        <f>$B$6</f>
        <v>1.171875</v>
      </c>
      <c r="D2410" s="9">
        <f>B2410+C2410</f>
        <v>2812.5</v>
      </c>
      <c r="E2410" s="8">
        <f>MIN($B$7,ROUND(D2410/$B$6,0))</f>
        <v>2047</v>
      </c>
      <c r="F2410" s="8" t="str">
        <f>DEC2BIN(INT(E2410/64),5)&amp;DEC2BIN(MOD(E2410,64),6)</f>
        <v>11111111111</v>
      </c>
      <c r="G2410" s="8" t="str">
        <f>DEC2HEX(E2410,3)</f>
        <v>7FF</v>
      </c>
      <c r="H2410" s="8" t="str">
        <f>IF(ROUND(D2410/$B$6,0)&gt;$B$7,"YES","NO")</f>
        <v>YES</v>
      </c>
    </row>
  </sheetData>
  <autoFilter ref="A9:H241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Abhishek Rajesh Godkar</cp:lastModifiedBy>
  <cp:revision>0</cp:revision>
  <dcterms:created xsi:type="dcterms:W3CDTF">2026-10-06T10:18:24Z</dcterms:created>
  <dcterms:modified xsi:type="dcterms:W3CDTF">2026-10-06T10:19:29Z</dcterms:modified>
  <cp:category/>
  <cp:contentStatus/>
</cp:coreProperties>
</file>